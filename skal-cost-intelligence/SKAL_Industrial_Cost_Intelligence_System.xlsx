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CONTROL_PANEL" sheetId="2" state="visible" r:id="rId2"/>
    <sheet name="02_CALENDAR" sheetId="3" state="visible" r:id="rId3"/>
    <sheet name="03_PRODUCTS" sheetId="4" state="visible" r:id="rId4"/>
    <sheet name="04_MATERIALS" sheetId="5" state="visible" r:id="rId5"/>
    <sheet name="05_SUPPLIERS" sheetId="6" state="visible" r:id="rId6"/>
    <sheet name="06_BOM" sheetId="7" state="visible" r:id="rId7"/>
    <sheet name="07_BOM_VERSION" sheetId="8" state="visible" r:id="rId8"/>
    <sheet name="09_LANDED_COST" sheetId="9" state="visible" r:id="rId9"/>
    <sheet name="10_TAX_RULES" sheetId="10" state="visible" r:id="rId10"/>
    <sheet name="11_TAX_CREDITS" sheetId="11" state="visible" r:id="rId11"/>
    <sheet name="15_RESOURCE_RATES" sheetId="12" state="visible" r:id="rId12"/>
    <sheet name="16_STANDARD_TIMES" sheetId="13" state="visible" r:id="rId13"/>
    <sheet name="17_PRODUCTION_OF" sheetId="14" state="visible" r:id="rId14"/>
    <sheet name="18_ACTUAL_CONSUMPTION" sheetId="15" state="visible" r:id="rId15"/>
    <sheet name="26_STANDARD_COST" sheetId="16" state="visible" r:id="rId16"/>
    <sheet name="27_ACTUAL_COST" sheetId="17" state="visible" r:id="rId17"/>
    <sheet name="28_VARIANCES" sheetId="18" state="visible" r:id="rId18"/>
    <sheet name="29_CAPACITY" sheetId="19" state="visible" r:id="rId19"/>
    <sheet name="08_PURCHASES" sheetId="20" state="visible" r:id="rId20"/>
    <sheet name="12_RESOURCES" sheetId="21" state="visible" r:id="rId21"/>
    <sheet name="13_COST_CENTERS" sheetId="22" state="visible" r:id="rId22"/>
    <sheet name="14_ROUTINGS" sheetId="23" state="visible" r:id="rId23"/>
    <sheet name="19_LOSSES" sheetId="24" state="visible" r:id="rId24"/>
    <sheet name="20_REPROCESS" sheetId="25" state="visible" r:id="rId25"/>
    <sheet name="21_ENERGY" sheetId="26" state="visible" r:id="rId26"/>
    <sheet name="22_LABOR" sheetId="27" state="visible" r:id="rId27"/>
    <sheet name="23_MAINTENANCE" sheetId="28" state="visible" r:id="rId28"/>
    <sheet name="24_QUALITY" sheetId="29" state="visible" r:id="rId29"/>
    <sheet name="25_INVENTORY" sheetId="30" state="visible" r:id="rId30"/>
    <sheet name="30_CONSTRAINT" sheetId="31" state="visible" r:id="rId31"/>
    <sheet name="33_SALES" sheetId="32" state="visible" r:id="rId32"/>
    <sheet name="34_FREIGHT_OUT" sheetId="33" state="visible" r:id="rId33"/>
    <sheet name="35_COMMISSIONS" sheetId="34" state="visible" r:id="rId34"/>
    <sheet name="36_RECEIVABLES" sheetId="35" state="visible" r:id="rId35"/>
    <sheet name="37_BARTER" sheetId="36" state="visible" r:id="rId36"/>
    <sheet name="41_RECON_PHYSICAL" sheetId="37" state="visible" r:id="rId37"/>
    <sheet name="31_COST_GAP" sheetId="38" state="visible" r:id="rId38"/>
    <sheet name="32_SAVINGS" sheetId="39" state="visible" r:id="rId39"/>
    <sheet name="38_COST_TO_SERVE" sheetId="40" state="visible" r:id="rId40"/>
    <sheet name="40_PROFITABILITY" sheetId="41" state="visible" r:id="rId41"/>
    <sheet name="39_PRICING" sheetId="42" state="visible" r:id="rId42"/>
    <sheet name="42_RECON_COST" sheetId="43" state="visible" r:id="rId43"/>
    <sheet name="43_RECON_ACCOUNTING" sheetId="44" state="visible" r:id="rId44"/>
    <sheet name="44_EXEC_DASHBOARD" sheetId="45" state="visible" r:id="rId45"/>
    <sheet name="45_PRODUCTION_DASHBOARD" sheetId="46" state="visible" r:id="rId46"/>
    <sheet name="46_PROCUREMENT_DASHBOARD" sheetId="47" state="visible" r:id="rId47"/>
    <sheet name="47_COMMERCIAL_DASHBOARD" sheetId="48" state="visible" r:id="rId48"/>
    <sheet name="48_COST_REDUCTION_DASHBOARD" sheetId="49" state="visible" r:id="rId49"/>
    <sheet name="DATA_DICTIONARY" sheetId="50" state="visible" r:id="rId50"/>
    <sheet name="DATA_GAPS" sheetId="51" state="visible" r:id="rId51"/>
    <sheet name="LEGACY_RECON" sheetId="52" state="visible" r:id="rId52"/>
    <sheet name="CONTROLS_ALERTS" sheetId="53" state="visible" r:id="rId53"/>
    <sheet name="R0_DADOS_REAIS" sheetId="54" state="visible" r:id="rId54"/>
    <sheet name="R1_FORNECEDORES_REAL" sheetId="55" state="visible" r:id="rId55"/>
    <sheet name="R2_COMPRAS_REAIS" sheetId="56" state="visible" r:id="rId56"/>
    <sheet name="R3_LANDED_REAL" sheetId="57" state="visible" r:id="rId57"/>
    <sheet name="R4_NOTAS_LEDGER" sheetId="58" state="visible" r:id="rId58"/>
    <sheet name="R5_FRETES_CTE" sheetId="59" state="visible" r:id="rId59"/>
  </sheets>
  <definedNames>
    <definedName name="MODO_DEMO">'01_CONTROL_PANEL'!$C$7</definedName>
    <definedName name="KG_SACO_STD">'01_CONTROL_PANEL'!$C$9</definedName>
    <definedName name="SACO_PALETE_STD">'01_CONTROL_PANEL'!$C$10</definedName>
    <definedName name="KG_SACO_EXT">'01_CONTROL_PANEL'!$C$11</definedName>
    <definedName name="SACO_PALETE_EXT">'01_CONTROL_PANEL'!$C$12</definedName>
    <definedName name="KG_PALETE">'01_CONTROL_PANEL'!$C$13</definedName>
    <definedName name="CONCHA_M3">'01_CONTROL_PANEL'!$C$14</definedName>
    <definedName name="ICMS_NOMINAL">'01_CONTROL_PANEL'!$C$16</definedName>
    <definedName name="ICMS_REDUCAO">'01_CONTROL_PANEL'!$C$17</definedName>
    <definedName name="ICMS_PCT_DEVIDO">'01_CONTROL_PANEL'!$C$18</definedName>
    <definedName name="ICMS_EFETIVO">'01_CONTROL_PANEL'!$C$19</definedName>
    <definedName name="PIS_DEBITO">'01_CONTROL_PANEL'!$C$21</definedName>
    <definedName name="COFINS_DEBITO">'01_CONTROL_PANEL'!$C$22</definedName>
    <definedName name="IRPJ_ALIQ">'01_CONTROL_PANEL'!$C$24</definedName>
    <definedName name="IRPJ_ADIC">'01_CONTROL_PANEL'!$C$25</definedName>
    <definedName name="CSLL_ALIQ">'01_CONTROL_PANEL'!$C$26</definedName>
    <definedName name="SUDENE_REDUCAO">'01_CONTROL_PANEL'!$C$27</definedName>
    <definedName name="CUSTO_CAPITAL_ANO">'01_CONTROL_PANEL'!$C$29</definedName>
    <definedName name="INADIMPL_PCT">'01_CONTROL_PANEL'!$C$30</definedName>
    <definedName name="DIAS_ANO">'01_CONTROL_PANEL'!$C$31</definedName>
    <definedName name="MAT_CLASSE_A">'01_CONTROL_PANEL'!$C$33</definedName>
    <definedName name="MAT_CLASSE_B">'01_CONTROL_PANEL'!$C$34</definedName>
    <definedName name="VOLUME_ANO_T">'01_CONTROL_PANEL'!$C$35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00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808080"/>
      <sz val="9"/>
    </font>
    <font>
      <name val="Calibri"/>
      <b val="1"/>
      <color rgb="001F3864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CC"/>
      <sz val="10"/>
    </font>
    <font>
      <name val="Calibri"/>
      <b val="1"/>
      <color rgb="00FFFFFF"/>
      <sz val="11"/>
    </font>
    <font>
      <name val="Calibri"/>
      <color rgb="001F4E78"/>
      <sz val="10"/>
    </font>
    <font>
      <name val="Calibri"/>
      <b val="1"/>
      <color rgb="001F3864"/>
      <sz val="14"/>
    </font>
    <font>
      <name val="Calibri"/>
      <b val="1"/>
      <color rgb="00C00000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2E549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10" fontId="7" fillId="3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left" vertical="center" wrapText="1"/>
    </xf>
    <xf numFmtId="10" fontId="7" fillId="3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 wrapText="1"/>
    </xf>
    <xf numFmtId="4" fontId="9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4" fontId="10" fillId="4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4" fontId="10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9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60" customWidth="1" min="4" max="4"/>
    <col width="14" customWidth="1" min="5" max="5"/>
  </cols>
  <sheetData>
    <row r="1" ht="26" customHeight="1">
      <c r="A1" s="1" t="inlineStr">
        <is>
          <t>SKAL INDUSTRIAL COST INTELLIGENCE SYSTEM</t>
        </is>
      </c>
    </row>
    <row r="2">
      <c r="A2" s="2" t="inlineStr">
        <is>
          <t>Digital Cost Twin da operacao industrial — Grupo Kalfix / SKAL. Gerado por build_skal_cost_system.py (fonte da verdade da estrutura).</t>
        </is>
      </c>
    </row>
    <row r="4" ht="46" customHeight="1">
      <c r="B4" s="3" t="inlineStr">
        <is>
          <t>O QUE E</t>
        </is>
      </c>
      <c r="C4" s="4" t="inlineStr">
        <is>
          <t>Sistema modular e auditavel que responde, para qualquer SKU: quanto custou, quanto deveria ter custado, quanto custaria hoje, qual o desvio, onde/porque ocorreu, quanto e controlavel, e quanto vale elimina-lo.</t>
        </is>
      </c>
    </row>
    <row r="5" ht="46" customHeight="1">
      <c r="B5" s="3" t="inlineStr">
        <is>
          <t>CINCO FUNCOES</t>
        </is>
      </c>
      <c r="C5" s="4" t="inlineStr">
        <is>
          <t>1) Cost Accounting (quanto custou) 2) Cost Engineering (quanto deveria) 3) Cost Control (onde desviou) 4) Cost Reduction (quanto economizar) 5) Profitability Intelligence (onde ganha/perde dinheiro).</t>
        </is>
      </c>
    </row>
    <row r="6" ht="46" customHeight="1">
      <c r="B6" s="3" t="inlineStr">
        <is>
          <t>COMO USAR</t>
        </is>
      </c>
      <c r="C6" s="4" t="inlineStr">
        <is>
          <t>Preencha as celulas AMARELAS (INPUT). Celulas brancas sao FORMULA; azuis sao dados de outra aba (LINKED); verdes sao CONTROL; vermelhas sao ALERT. Nao altere formulas estruturais. Premissas globais ficam em 01_CONTROL_PANEL.</t>
        </is>
      </c>
    </row>
    <row r="7" ht="46" customHeight="1">
      <c r="B7" s="3" t="inlineStr">
        <is>
          <t>MODO DEMO</t>
        </is>
      </c>
      <c r="C7" s="4" t="inlineStr">
        <is>
          <t>01_CONTROL_PANEL!MODO_DEMO liga um pequeno dataset de DEMONSTRACAO (marcado em cada linha) que permite os testes matematicos. Numeros DEMO NAO sao dados reais da SKAL — veja DATA_GAPS para o que precisa ser preenchido.</t>
        </is>
      </c>
    </row>
    <row r="8" ht="46" customHeight="1">
      <c r="B8" s="3" t="inlineStr">
        <is>
          <t>RECONCILIACAO</t>
        </is>
      </c>
      <c r="C8" s="4" t="inlineStr">
        <is>
          <t>Regra central: Standard Cost + Variances (PPV+Uso+Mix+Yield) = Actual Cost, residual -&gt; 0. BOM fecha fisicamente. Nenhum custo e rateado sem driver causal (vai para UNALLOCATED).</t>
        </is>
      </c>
    </row>
    <row r="10">
      <c r="B10" s="3" t="inlineStr">
        <is>
          <t>DICIONARIO DE INDICADORES-CHAVE</t>
        </is>
      </c>
    </row>
    <row r="11" ht="30" customHeight="1">
      <c r="B11" s="5" t="inlineStr">
        <is>
          <t>Indicador</t>
        </is>
      </c>
      <c r="C11" s="5" t="inlineStr">
        <is>
          <t>Definicao / Formula</t>
        </is>
      </c>
      <c r="D11" s="5" t="inlineStr">
        <is>
          <t>Unidade</t>
        </is>
      </c>
      <c r="E11" s="5" t="inlineStr">
        <is>
          <t>Resp.</t>
        </is>
      </c>
    </row>
    <row r="12">
      <c r="B12" s="6" t="inlineStr">
        <is>
          <t>Landed Net Cost</t>
        </is>
      </c>
      <c r="C12" s="6" t="inlineStr">
        <is>
          <t>Bruto - descontos - creditos recup. + frete/seguro/descarga + trib. nao recup.</t>
        </is>
      </c>
      <c r="D12" s="6" t="inlineStr">
        <is>
          <t>R$/t</t>
        </is>
      </c>
      <c r="E12" s="6" t="inlineStr">
        <is>
          <t>Compras/Fiscal</t>
        </is>
      </c>
    </row>
    <row r="13">
      <c r="B13" s="6" t="inlineStr">
        <is>
          <t>Material Cost / Good Ton</t>
        </is>
      </c>
      <c r="C13" s="6" t="inlineStr">
        <is>
          <t>Custo total materiais consumidos / toneladas boas liberadas</t>
        </is>
      </c>
      <c r="D13" s="6" t="inlineStr">
        <is>
          <t>R$/t</t>
        </is>
      </c>
      <c r="E13" s="6" t="inlineStr">
        <is>
          <t>Producao/Contr.</t>
        </is>
      </c>
    </row>
    <row r="14">
      <c r="B14" s="6" t="inlineStr">
        <is>
          <t>PPV</t>
        </is>
      </c>
      <c r="C14" s="6" t="inlineStr">
        <is>
          <t>(Preco real - preco padrao) x quantidade real</t>
        </is>
      </c>
      <c r="D14" s="6" t="inlineStr">
        <is>
          <t>R$</t>
        </is>
      </c>
      <c r="E14" s="6" t="inlineStr">
        <is>
          <t>Compras</t>
        </is>
      </c>
    </row>
    <row r="15">
      <c r="B15" s="6" t="inlineStr">
        <is>
          <t>Usage Variance</t>
        </is>
      </c>
      <c r="C15" s="6" t="inlineStr">
        <is>
          <t>(Qtd real - qtd padrao permitida) x preco padrao</t>
        </is>
      </c>
      <c r="D15" s="6" t="inlineStr">
        <is>
          <t>R$</t>
        </is>
      </c>
      <c r="E15" s="6" t="inlineStr">
        <is>
          <t>Producao</t>
        </is>
      </c>
    </row>
    <row r="16">
      <c r="B16" s="6" t="inlineStr">
        <is>
          <t>Mix Variance</t>
        </is>
      </c>
      <c r="C16" s="6" t="inlineStr">
        <is>
          <t>Efeito da alteracao da composicao relativa da formula (sub-split do uso)</t>
        </is>
      </c>
      <c r="D16" s="6" t="inlineStr">
        <is>
          <t>R$</t>
        </is>
      </c>
      <c r="E16" s="6" t="inlineStr">
        <is>
          <t>Tecnico</t>
        </is>
      </c>
    </row>
    <row r="17">
      <c r="B17" s="6" t="inlineStr">
        <is>
          <t>Yield Variance</t>
        </is>
      </c>
      <c r="C17" s="6" t="inlineStr">
        <is>
          <t>(Output bom esperado - obtido) valorizado ao custo padrao</t>
        </is>
      </c>
      <c r="D17" s="6" t="inlineStr">
        <is>
          <t>R$</t>
        </is>
      </c>
      <c r="E17" s="6" t="inlineStr">
        <is>
          <t>Producao</t>
        </is>
      </c>
    </row>
    <row r="18">
      <c r="B18" s="6" t="inlineStr">
        <is>
          <t>Unused Capacity Cost</t>
        </is>
      </c>
      <c r="C18" s="6" t="inlineStr">
        <is>
          <t>Horas ociosas x custo/hora de capacidade pratica (NAO rateado ao produto)</t>
        </is>
      </c>
      <c r="D18" s="6" t="inlineStr">
        <is>
          <t>R$</t>
        </is>
      </c>
      <c r="E18" s="6" t="inlineStr">
        <is>
          <t>Controladoria</t>
        </is>
      </c>
    </row>
    <row r="19">
      <c r="B19" s="6" t="inlineStr">
        <is>
          <t>COPQ</t>
        </is>
      </c>
      <c r="C19" s="6" t="inlineStr">
        <is>
          <t>Custo da ma qualidade: scrap+reprocesso+retrabalho+devolucao+frete reverso...</t>
        </is>
      </c>
      <c r="D19" s="6" t="inlineStr">
        <is>
          <t>R$</t>
        </is>
      </c>
      <c r="E19" s="6" t="inlineStr">
        <is>
          <t>Qualidade</t>
        </is>
      </c>
    </row>
    <row r="20">
      <c r="B20" s="6" t="inlineStr">
        <is>
          <t>Cost Gap</t>
        </is>
      </c>
      <c r="C20" s="6" t="inlineStr">
        <is>
          <t>Actual -&gt; Current Std -&gt; Best Demonstrated -&gt; Entitlement -&gt; Teorico</t>
        </is>
      </c>
      <c r="D20" s="6" t="inlineStr">
        <is>
          <t>R$/t</t>
        </is>
      </c>
      <c r="E20" s="6" t="inlineStr">
        <is>
          <t>Controladoria</t>
        </is>
      </c>
    </row>
    <row r="21">
      <c r="B21" s="6" t="inlineStr">
        <is>
          <t>Pocket Price</t>
        </is>
      </c>
      <c r="C21" s="6" t="inlineStr">
        <is>
          <t>Preco tabela - descontos - bonif - rebate - comissao - frete - custo prazo - inadimpl.</t>
        </is>
      </c>
      <c r="D21" s="6" t="inlineStr">
        <is>
          <t>R$</t>
        </is>
      </c>
      <c r="E21" s="6" t="inlineStr">
        <is>
          <t>Comercial</t>
        </is>
      </c>
    </row>
    <row r="22">
      <c r="B22" s="6" t="inlineStr">
        <is>
          <t>Pocket Margin</t>
        </is>
      </c>
      <c r="C22" s="6" t="inlineStr">
        <is>
          <t>Pocket Price - custo reposicao - cost to serve - tributacao economica</t>
        </is>
      </c>
      <c r="D22" s="6" t="inlineStr">
        <is>
          <t>R$</t>
        </is>
      </c>
      <c r="E22" s="6" t="inlineStr">
        <is>
          <t>Comercial/Contr.</t>
        </is>
      </c>
    </row>
    <row r="23">
      <c r="B23" s="6" t="inlineStr">
        <is>
          <t>MC/hora do gargalo</t>
        </is>
      </c>
      <c r="C23" s="6" t="inlineStr">
        <is>
          <t>Margem de contribuicao por hora do recurso restritivo (TOC)</t>
        </is>
      </c>
      <c r="D23" s="6" t="inlineStr">
        <is>
          <t>R$/h</t>
        </is>
      </c>
      <c r="E23" s="6" t="inlineStr">
        <is>
          <t>Producao/Contr.</t>
        </is>
      </c>
    </row>
    <row r="24">
      <c r="B24" s="6" t="inlineStr">
        <is>
          <t>Saving Realizado</t>
        </is>
      </c>
      <c r="C24" s="6" t="inlineStr">
        <is>
          <t>Saving com evidencia operacional + confirmacao financeira + reconciliacao</t>
        </is>
      </c>
      <c r="D24" s="6" t="inlineStr">
        <is>
          <t>R$</t>
        </is>
      </c>
      <c r="E24" s="6" t="inlineStr">
        <is>
          <t>Controladoria</t>
        </is>
      </c>
    </row>
    <row r="26">
      <c r="B26" s="3" t="inlineStr">
        <is>
          <t>INDICE DE ABAS</t>
        </is>
      </c>
    </row>
    <row r="27" ht="30" customHeight="1">
      <c r="B27" s="5" t="inlineStr">
        <is>
          <t>Aba</t>
        </is>
      </c>
      <c r="C27" s="5" t="inlineStr">
        <is>
          <t>Grupo</t>
        </is>
      </c>
      <c r="D27" s="5" t="inlineStr">
        <is>
          <t>Proposito</t>
        </is>
      </c>
    </row>
    <row r="28">
      <c r="B28" s="6" t="inlineStr">
        <is>
          <t>00_README</t>
        </is>
      </c>
      <c r="C28" s="6" t="inlineStr">
        <is>
          <t>Doc</t>
        </is>
      </c>
      <c r="D28" s="6" t="inlineStr">
        <is>
          <t>Documentacao, metodologia e indice</t>
        </is>
      </c>
    </row>
    <row r="29">
      <c r="B29" s="6" t="inlineStr">
        <is>
          <t>01_CONTROL_PANEL</t>
        </is>
      </c>
      <c r="C29" s="6" t="inlineStr">
        <is>
          <t>Core</t>
        </is>
      </c>
      <c r="D29" s="6" t="inlineStr">
        <is>
          <t>Premissas globais parametrizadas</t>
        </is>
      </c>
    </row>
    <row r="30">
      <c r="B30" s="6" t="inlineStr">
        <is>
          <t>02_CALENDAR</t>
        </is>
      </c>
      <c r="C30" s="6" t="inlineStr">
        <is>
          <t>Core</t>
        </is>
      </c>
      <c r="D30" s="6" t="inlineStr">
        <is>
          <t>Periodos e vigencias</t>
        </is>
      </c>
    </row>
    <row r="31">
      <c r="B31" s="6" t="inlineStr">
        <is>
          <t>03_PRODUCTS</t>
        </is>
      </c>
      <c r="C31" s="6" t="inlineStr">
        <is>
          <t>Master Data</t>
        </is>
      </c>
      <c r="D31" s="6" t="inlineStr">
        <is>
          <t>Cadastro de produtos (SKU)</t>
        </is>
      </c>
    </row>
    <row r="32">
      <c r="B32" s="6" t="inlineStr">
        <is>
          <t>04_MATERIALS</t>
        </is>
      </c>
      <c r="C32" s="6" t="inlineStr">
        <is>
          <t>Master Data</t>
        </is>
      </c>
      <c r="D32" s="6" t="inlineStr">
        <is>
          <t>Cadastro de materias-primas</t>
        </is>
      </c>
    </row>
    <row r="33">
      <c r="B33" s="6" t="inlineStr">
        <is>
          <t>05_SUPPLIERS</t>
        </is>
      </c>
      <c r="C33" s="6" t="inlineStr">
        <is>
          <t>Master Data</t>
        </is>
      </c>
      <c r="D33" s="6" t="inlineStr">
        <is>
          <t>Cadastro de fornecedores</t>
        </is>
      </c>
    </row>
    <row r="34">
      <c r="B34" s="6" t="inlineStr">
        <is>
          <t>06_BOM</t>
        </is>
      </c>
      <c r="C34" s="6" t="inlineStr">
        <is>
          <t>Engineering</t>
        </is>
      </c>
      <c r="D34" s="6" t="inlineStr">
        <is>
          <t>Formulacao tecnica e economica (BOM)</t>
        </is>
      </c>
    </row>
    <row r="35">
      <c r="B35" s="6" t="inlineStr">
        <is>
          <t>07_BOM_VERSION</t>
        </is>
      </c>
      <c r="C35" s="6" t="inlineStr">
        <is>
          <t>Engineering</t>
        </is>
      </c>
      <c r="D35" s="6" t="inlineStr">
        <is>
          <t>Controle de versoes de formulacao</t>
        </is>
      </c>
    </row>
    <row r="36">
      <c r="B36" s="6" t="inlineStr">
        <is>
          <t>09_LANDED_COST</t>
        </is>
      </c>
      <c r="C36" s="6" t="inlineStr">
        <is>
          <t>Procurement</t>
        </is>
      </c>
      <c r="D36" s="6" t="inlineStr">
        <is>
          <t>Custo liquido posto fabrica</t>
        </is>
      </c>
    </row>
    <row r="37">
      <c r="B37" s="6" t="inlineStr">
        <is>
          <t>10_TAX_RULES</t>
        </is>
      </c>
      <c r="C37" s="6" t="inlineStr">
        <is>
          <t>Tax</t>
        </is>
      </c>
      <c r="D37" s="6" t="inlineStr">
        <is>
          <t>Motor tributario (regras por vigencia)</t>
        </is>
      </c>
    </row>
    <row r="38">
      <c r="B38" s="6" t="inlineStr">
        <is>
          <t>11_TAX_CREDITS</t>
        </is>
      </c>
      <c r="C38" s="6" t="inlineStr">
        <is>
          <t>Tax</t>
        </is>
      </c>
      <c r="D38" s="6" t="inlineStr">
        <is>
          <t>Creditos tributarios (potencial-&gt;monetizado)</t>
        </is>
      </c>
    </row>
    <row r="39">
      <c r="B39" s="6" t="inlineStr">
        <is>
          <t>15_RESOURCE_RATES</t>
        </is>
      </c>
      <c r="C39" s="6" t="inlineStr">
        <is>
          <t>Resources</t>
        </is>
      </c>
      <c r="D39" s="6" t="inlineStr">
        <is>
          <t>R$/hora de capacidade pratica</t>
        </is>
      </c>
    </row>
    <row r="40">
      <c r="B40" s="6" t="inlineStr">
        <is>
          <t>16_STANDARD_TIMES</t>
        </is>
      </c>
      <c r="C40" s="6" t="inlineStr">
        <is>
          <t>Resources</t>
        </is>
      </c>
      <c r="D40" s="6" t="inlineStr">
        <is>
          <t>Tempos padrao por produto</t>
        </is>
      </c>
    </row>
    <row r="41">
      <c r="B41" s="6" t="inlineStr">
        <is>
          <t>17_PRODUCTION_OF</t>
        </is>
      </c>
      <c r="C41" s="6" t="inlineStr">
        <is>
          <t>Production</t>
        </is>
      </c>
      <c r="D41" s="6" t="inlineStr">
        <is>
          <t>Ordens de fabricacao (OF)</t>
        </is>
      </c>
    </row>
    <row r="42">
      <c r="B42" s="6" t="inlineStr">
        <is>
          <t>18_ACTUAL_CONSUMPTION</t>
        </is>
      </c>
      <c r="C42" s="6" t="inlineStr">
        <is>
          <t>Production</t>
        </is>
      </c>
      <c r="D42" s="6" t="inlineStr">
        <is>
          <t>Consumos reais por OF x material</t>
        </is>
      </c>
    </row>
    <row r="43">
      <c r="B43" s="6" t="inlineStr">
        <is>
          <t>26_STANDARD_COST</t>
        </is>
      </c>
      <c r="C43" s="6" t="inlineStr">
        <is>
          <t>Costing</t>
        </is>
      </c>
      <c r="D43" s="6" t="inlineStr">
        <is>
          <t>Custo padrao (standard cost)</t>
        </is>
      </c>
    </row>
    <row r="44">
      <c r="B44" s="6" t="inlineStr">
        <is>
          <t>27_ACTUAL_COST</t>
        </is>
      </c>
      <c r="C44" s="6" t="inlineStr">
        <is>
          <t>Costing</t>
        </is>
      </c>
      <c r="D44" s="6" t="inlineStr">
        <is>
          <t>Custo real (actual cost)</t>
        </is>
      </c>
    </row>
    <row r="45">
      <c r="B45" s="6" t="inlineStr">
        <is>
          <t>28_VARIANCES</t>
        </is>
      </c>
      <c r="C45" s="6" t="inlineStr">
        <is>
          <t>Costing</t>
        </is>
      </c>
      <c r="D45" s="6" t="inlineStr">
        <is>
          <t>Motor de variacoes (PPV/Uso/Mix/Yield/Conversao)</t>
        </is>
      </c>
    </row>
    <row r="46">
      <c r="B46" s="6" t="inlineStr">
        <is>
          <t>29_CAPACITY</t>
        </is>
      </c>
      <c r="C46" s="6" t="inlineStr">
        <is>
          <t>Capacity</t>
        </is>
      </c>
      <c r="D46" s="6" t="inlineStr">
        <is>
          <t>Capacidade e ociosidade (unused capacity)</t>
        </is>
      </c>
    </row>
    <row r="47">
      <c r="B47" s="6" t="inlineStr">
        <is>
          <t>08_PURCHASES</t>
        </is>
      </c>
      <c r="C47" s="6" t="inlineStr">
        <is>
          <t>Procurement</t>
        </is>
      </c>
      <c r="D47" s="6" t="inlineStr">
        <is>
          <t>Compras reais (notas)</t>
        </is>
      </c>
    </row>
    <row r="48">
      <c r="B48" s="6" t="inlineStr">
        <is>
          <t>12_RESOURCES</t>
        </is>
      </c>
      <c r="C48" s="6" t="inlineStr">
        <is>
          <t>Resources</t>
        </is>
      </c>
      <c r="D48" s="6" t="inlineStr">
        <is>
          <t>Maquinas/equipamentos</t>
        </is>
      </c>
    </row>
    <row r="49">
      <c r="B49" s="6" t="inlineStr">
        <is>
          <t>13_COST_CENTERS</t>
        </is>
      </c>
      <c r="C49" s="6" t="inlineStr">
        <is>
          <t>Resources</t>
        </is>
      </c>
      <c r="D49" s="6" t="inlineStr">
        <is>
          <t>Centros de custo</t>
        </is>
      </c>
    </row>
    <row r="50">
      <c r="B50" s="6" t="inlineStr">
        <is>
          <t>14_ROUTINGS</t>
        </is>
      </c>
      <c r="C50" s="6" t="inlineStr">
        <is>
          <t>Resources</t>
        </is>
      </c>
      <c r="D50" s="6" t="inlineStr">
        <is>
          <t>Roteiros produtivos</t>
        </is>
      </c>
    </row>
    <row r="51">
      <c r="B51" s="6" t="inlineStr">
        <is>
          <t>19_LOSSES</t>
        </is>
      </c>
      <c r="C51" s="6" t="inlineStr">
        <is>
          <t>Production</t>
        </is>
      </c>
      <c r="D51" s="6" t="inlineStr">
        <is>
          <t>Perdas (normal/anormal)</t>
        </is>
      </c>
    </row>
    <row r="52">
      <c r="B52" s="6" t="inlineStr">
        <is>
          <t>20_REPROCESS</t>
        </is>
      </c>
      <c r="C52" s="6" t="inlineStr">
        <is>
          <t>Production</t>
        </is>
      </c>
      <c r="D52" s="6" t="inlineStr">
        <is>
          <t>Reprocessamentos (custo economico separado)</t>
        </is>
      </c>
    </row>
    <row r="53">
      <c r="B53" s="6" t="inlineStr">
        <is>
          <t>21_ENERGY</t>
        </is>
      </c>
      <c r="C53" s="6" t="inlineStr">
        <is>
          <t>Production</t>
        </is>
      </c>
      <c r="D53" s="6" t="inlineStr">
        <is>
          <t>Energia (tarifa/demanda/consumo)</t>
        </is>
      </c>
    </row>
    <row r="54">
      <c r="B54" s="6" t="inlineStr">
        <is>
          <t>22_LABOR</t>
        </is>
      </c>
      <c r="C54" s="6" t="inlineStr">
        <is>
          <t>Production</t>
        </is>
      </c>
      <c r="D54" s="6" t="inlineStr">
        <is>
          <t>Mao de obra (estrutural/variavel)</t>
        </is>
      </c>
    </row>
    <row r="55">
      <c r="B55" s="6" t="inlineStr">
        <is>
          <t>23_MAINTENANCE</t>
        </is>
      </c>
      <c r="C55" s="6" t="inlineStr">
        <is>
          <t>Production</t>
        </is>
      </c>
      <c r="D55" s="6" t="inlineStr">
        <is>
          <t>Manutencao (prev/pred/corr/emerg)</t>
        </is>
      </c>
    </row>
    <row r="56">
      <c r="B56" s="6" t="inlineStr">
        <is>
          <t>24_QUALITY</t>
        </is>
      </c>
      <c r="C56" s="6" t="inlineStr">
        <is>
          <t>Quality</t>
        </is>
      </c>
      <c r="D56" s="6" t="inlineStr">
        <is>
          <t>Qualidade (4 classes COPQ)</t>
        </is>
      </c>
    </row>
    <row r="57">
      <c r="B57" s="6" t="inlineStr">
        <is>
          <t>25_INVENTORY</t>
        </is>
      </c>
      <c r="C57" s="6" t="inlineStr">
        <is>
          <t>Inventory</t>
        </is>
      </c>
      <c r="D57" s="6" t="inlineStr">
        <is>
          <t>Estoques (MP/WIP/PA) e carrying cost</t>
        </is>
      </c>
    </row>
    <row r="58">
      <c r="B58" s="6" t="inlineStr">
        <is>
          <t>30_CONSTRAINT</t>
        </is>
      </c>
      <c r="C58" s="6" t="inlineStr">
        <is>
          <t>Capacity</t>
        </is>
      </c>
      <c r="D58" s="6" t="inlineStr">
        <is>
          <t>Gargalo (TOC) e MC/hora</t>
        </is>
      </c>
    </row>
    <row r="59">
      <c r="B59" s="6" t="inlineStr">
        <is>
          <t>33_SALES</t>
        </is>
      </c>
      <c r="C59" s="6" t="inlineStr">
        <is>
          <t>Commercial</t>
        </is>
      </c>
      <c r="D59" s="6" t="inlineStr">
        <is>
          <t>Vendas (cliente x SKU)</t>
        </is>
      </c>
    </row>
    <row r="60">
      <c r="B60" s="6" t="inlineStr">
        <is>
          <t>34_FREIGHT_OUT</t>
        </is>
      </c>
      <c r="C60" s="6" t="inlineStr">
        <is>
          <t>Commercial</t>
        </is>
      </c>
      <c r="D60" s="6" t="inlineStr">
        <is>
          <t>Frete de saida</t>
        </is>
      </c>
    </row>
    <row r="61">
      <c r="B61" s="6" t="inlineStr">
        <is>
          <t>35_COMMISSIONS</t>
        </is>
      </c>
      <c r="C61" s="6" t="inlineStr">
        <is>
          <t>Commercial</t>
        </is>
      </c>
      <c r="D61" s="6" t="inlineStr">
        <is>
          <t>Comissoes</t>
        </is>
      </c>
    </row>
    <row r="62">
      <c r="B62" s="6" t="inlineStr">
        <is>
          <t>36_RECEIVABLES</t>
        </is>
      </c>
      <c r="C62" s="6" t="inlineStr">
        <is>
          <t>Commercial</t>
        </is>
      </c>
      <c r="D62" s="6" t="inlineStr">
        <is>
          <t>Prazo e inadimplencia</t>
        </is>
      </c>
    </row>
    <row r="63">
      <c r="B63" s="6" t="inlineStr">
        <is>
          <t>37_BARTER</t>
        </is>
      </c>
      <c r="C63" s="6" t="inlineStr">
        <is>
          <t>Commercial</t>
        </is>
      </c>
      <c r="D63" s="6" t="inlineStr">
        <is>
          <t>Permutas (valor economico liquido)</t>
        </is>
      </c>
    </row>
    <row r="64">
      <c r="B64" s="6" t="inlineStr">
        <is>
          <t>41_RECON_PHYSICAL</t>
        </is>
      </c>
      <c r="C64" s="6" t="inlineStr">
        <is>
          <t>Reconciliation</t>
        </is>
      </c>
      <c r="D64" s="6" t="inlineStr">
        <is>
          <t>Reconciliacao fisica de estoque</t>
        </is>
      </c>
    </row>
    <row r="65">
      <c r="B65" s="6" t="inlineStr">
        <is>
          <t>31_COST_GAP</t>
        </is>
      </c>
      <c r="C65" s="6" t="inlineStr">
        <is>
          <t>Costing</t>
        </is>
      </c>
      <c r="D65" s="6" t="inlineStr">
        <is>
          <t>Cost gap — 5 niveis de custo</t>
        </is>
      </c>
    </row>
    <row r="66">
      <c r="B66" s="6" t="inlineStr">
        <is>
          <t>32_SAVINGS</t>
        </is>
      </c>
      <c r="C66" s="6" t="inlineStr">
        <is>
          <t>Cost Reduction</t>
        </is>
      </c>
      <c r="D66" s="6" t="inlineStr">
        <is>
          <t>Motor de reducao de custos (savings funnel)</t>
        </is>
      </c>
    </row>
    <row r="67">
      <c r="B67" s="6" t="inlineStr">
        <is>
          <t>38_COST_TO_SERVE</t>
        </is>
      </c>
      <c r="C67" s="6" t="inlineStr">
        <is>
          <t>Commercial</t>
        </is>
      </c>
      <c r="D67" s="6" t="inlineStr">
        <is>
          <t>Custo de servir (cost to serve)</t>
        </is>
      </c>
    </row>
    <row r="68">
      <c r="B68" s="6" t="inlineStr">
        <is>
          <t>40_PROFITABILITY</t>
        </is>
      </c>
      <c r="C68" s="6" t="inlineStr">
        <is>
          <t>Commercial</t>
        </is>
      </c>
      <c r="D68" s="6" t="inlineStr">
        <is>
          <t>Rentabilidade cliente x SKU (pocket margin)</t>
        </is>
      </c>
    </row>
    <row r="69">
      <c r="B69" s="6" t="inlineStr">
        <is>
          <t>39_PRICING</t>
        </is>
      </c>
      <c r="C69" s="6" t="inlineStr">
        <is>
          <t>Commercial</t>
        </is>
      </c>
      <c r="D69" s="6" t="inlineStr">
        <is>
          <t>Motor de precificacao (7 niveis)</t>
        </is>
      </c>
    </row>
    <row r="70">
      <c r="B70" s="6" t="inlineStr">
        <is>
          <t>42_RECON_COST</t>
        </is>
      </c>
      <c r="C70" s="6" t="inlineStr">
        <is>
          <t>Reconciliation</t>
        </is>
      </c>
      <c r="D70" s="6" t="inlineStr">
        <is>
          <t>Reconciliacao industrial (Std+Var=Actual)</t>
        </is>
      </c>
    </row>
    <row r="71">
      <c r="B71" s="6" t="inlineStr">
        <is>
          <t>43_RECON_ACCOUNTING</t>
        </is>
      </c>
      <c r="C71" s="6" t="inlineStr">
        <is>
          <t>Reconciliation</t>
        </is>
      </c>
      <c r="D71" s="6" t="inlineStr">
        <is>
          <t>Ponte custo industrial &lt;-&gt; contabilidade (CPV)</t>
        </is>
      </c>
    </row>
    <row r="72">
      <c r="B72" s="6" t="inlineStr">
        <is>
          <t>44_EXEC_DASHBOARD</t>
        </is>
      </c>
      <c r="C72" s="6" t="inlineStr">
        <is>
          <t>Dashboard</t>
        </is>
      </c>
      <c r="D72" s="6" t="inlineStr">
        <is>
          <t>Painel executivo do proprietario</t>
        </is>
      </c>
    </row>
    <row r="73">
      <c r="B73" s="6" t="inlineStr">
        <is>
          <t>45_PRODUCTION_DASHBOARD</t>
        </is>
      </c>
      <c r="C73" s="6" t="inlineStr">
        <is>
          <t>Dashboard</t>
        </is>
      </c>
      <c r="D73" s="6" t="inlineStr">
        <is>
          <t>Painel de producao</t>
        </is>
      </c>
    </row>
    <row r="74">
      <c r="B74" s="6" t="inlineStr">
        <is>
          <t>46_PROCUREMENT_DASHBOARD</t>
        </is>
      </c>
      <c r="C74" s="6" t="inlineStr">
        <is>
          <t>Dashboard</t>
        </is>
      </c>
      <c r="D74" s="6" t="inlineStr">
        <is>
          <t>Painel de compras</t>
        </is>
      </c>
    </row>
    <row r="75">
      <c r="B75" s="6" t="inlineStr">
        <is>
          <t>47_COMMERCIAL_DASHBOARD</t>
        </is>
      </c>
      <c r="C75" s="6" t="inlineStr">
        <is>
          <t>Dashboard</t>
        </is>
      </c>
      <c r="D75" s="6" t="inlineStr">
        <is>
          <t>Painel comercial</t>
        </is>
      </c>
    </row>
    <row r="76">
      <c r="B76" s="6" t="inlineStr">
        <is>
          <t>48_COST_REDUCTION_DASHBOARD</t>
        </is>
      </c>
      <c r="C76" s="6" t="inlineStr">
        <is>
          <t>Dashboard</t>
        </is>
      </c>
      <c r="D76" s="6" t="inlineStr">
        <is>
          <t>Painel de reducao de custos</t>
        </is>
      </c>
    </row>
    <row r="77">
      <c r="B77" s="6" t="inlineStr">
        <is>
          <t>DATA_DICTIONARY</t>
        </is>
      </c>
      <c r="C77" s="6" t="inlineStr">
        <is>
          <t>Doc</t>
        </is>
      </c>
      <c r="D77" s="6" t="inlineStr">
        <is>
          <t>Dicionario de dados (campos e definicoes)</t>
        </is>
      </c>
    </row>
    <row r="78">
      <c r="B78" s="6" t="inlineStr">
        <is>
          <t>DATA_GAPS</t>
        </is>
      </c>
      <c r="C78" s="6" t="inlineStr">
        <is>
          <t>Doc</t>
        </is>
      </c>
      <c r="D78" s="6" t="inlineStr">
        <is>
          <t>Relatorio de lacunas de dados</t>
        </is>
      </c>
    </row>
    <row r="79">
      <c r="B79" s="6" t="inlineStr">
        <is>
          <t>LEGACY_RECON</t>
        </is>
      </c>
      <c r="C79" s="6" t="inlineStr">
        <is>
          <t>Doc</t>
        </is>
      </c>
      <c r="D79" s="6" t="inlineStr">
        <is>
          <t>Reconciliacao modelo legado vs novo</t>
        </is>
      </c>
    </row>
    <row r="80">
      <c r="B80" s="6" t="inlineStr">
        <is>
          <t>CONTROLS_ALERTS</t>
        </is>
      </c>
      <c r="C80" s="6" t="inlineStr">
        <is>
          <t>Doc</t>
        </is>
      </c>
      <c r="D80" s="6" t="inlineStr">
        <is>
          <t>Alertas e testes automaticos do modelo</t>
        </is>
      </c>
    </row>
    <row r="81">
      <c r="B81" s="6" t="inlineStr">
        <is>
          <t>R0_DADOS_REAIS</t>
        </is>
      </c>
      <c r="C81" s="6" t="inlineStr">
        <is>
          <t>Real</t>
        </is>
      </c>
      <c r="D81" s="6" t="inlineStr">
        <is>
          <t>Sumario dos dados reais de compras</t>
        </is>
      </c>
    </row>
    <row r="82">
      <c r="B82" s="6" t="inlineStr">
        <is>
          <t>R1_FORNECEDORES_REAL</t>
        </is>
      </c>
      <c r="C82" s="6" t="inlineStr">
        <is>
          <t>Real</t>
        </is>
      </c>
      <c r="D82" s="6" t="inlineStr">
        <is>
          <t>Fornecedores reais (ranking de gasto)</t>
        </is>
      </c>
    </row>
    <row r="83">
      <c r="B83" s="6" t="inlineStr">
        <is>
          <t>R2_COMPRAS_REAIS</t>
        </is>
      </c>
      <c r="C83" s="6" t="inlineStr">
        <is>
          <t>Real</t>
        </is>
      </c>
      <c r="D83" s="6" t="inlineStr">
        <is>
          <t>Compras reais por item (OCR legivel)</t>
        </is>
      </c>
    </row>
    <row r="84">
      <c r="B84" s="6" t="inlineStr">
        <is>
          <t>R3_LANDED_REAL</t>
        </is>
      </c>
      <c r="C84" s="6" t="inlineStr">
        <is>
          <t>Real</t>
        </is>
      </c>
      <c r="D84" s="6" t="inlineStr">
        <is>
          <t>Custo real posto fabrica (landed) — com frete inbound</t>
        </is>
      </c>
    </row>
    <row r="85">
      <c r="B85" s="6" t="inlineStr">
        <is>
          <t>R4_NOTAS_LEDGER</t>
        </is>
      </c>
      <c r="C85" s="6" t="inlineStr">
        <is>
          <t>Real</t>
        </is>
      </c>
      <c r="D85" s="6" t="inlineStr">
        <is>
          <t>Ledger de notas de entrada (documento a documento)</t>
        </is>
      </c>
    </row>
    <row r="86">
      <c r="B86" s="6" t="inlineStr">
        <is>
          <t>R5_FRETES_CTE</t>
        </is>
      </c>
      <c r="C86" s="6" t="inlineStr">
        <is>
          <t>Real</t>
        </is>
      </c>
      <c r="D86" s="6" t="inlineStr">
        <is>
          <t>Fretes inbound (CT-e)</t>
        </is>
      </c>
    </row>
  </sheetData>
  <mergeCells count="7">
    <mergeCell ref="C5:E5"/>
    <mergeCell ref="A2:E2"/>
    <mergeCell ref="C8:E8"/>
    <mergeCell ref="C4:E4"/>
    <mergeCell ref="A1:E1"/>
    <mergeCell ref="C7:E7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M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2" customWidth="1" min="4" max="4"/>
    <col width="40" customWidth="1" min="5" max="5"/>
    <col width="18" customWidth="1" min="6" max="6"/>
    <col width="16" customWidth="1" min="7" max="7"/>
  </cols>
  <sheetData>
    <row r="1" ht="26" customHeight="1">
      <c r="A1" s="1" t="inlineStr">
        <is>
          <t>PAINEL DE CONTROLE — PREMISSAS GLOBAIS</t>
        </is>
      </c>
    </row>
    <row r="2">
      <c r="A2" s="2" t="inlineStr">
        <is>
          <t>Toda premissa critica vive aqui e e referenciada por NOME. Nenhuma aliquota digitada dentro de formula. Edite apenas a coluna VALOR (amarela).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#</t>
        </is>
      </c>
      <c r="B6" s="5" t="inlineStr">
        <is>
          <t>Parametro</t>
        </is>
      </c>
      <c r="C6" s="5" t="inlineStr">
        <is>
          <t>Valor</t>
        </is>
      </c>
      <c r="D6" s="5" t="inlineStr">
        <is>
          <t>Un.</t>
        </is>
      </c>
      <c r="E6" s="5" t="inlineStr">
        <is>
          <t>Descricao / regra</t>
        </is>
      </c>
      <c r="F6" s="5" t="inlineStr">
        <is>
          <t>Fonte</t>
        </is>
      </c>
      <c r="G6" s="5" t="inlineStr">
        <is>
          <t>Responsavel</t>
        </is>
      </c>
    </row>
    <row r="7">
      <c r="A7" s="15" t="inlineStr">
        <is>
          <t>MODO_DEMO</t>
        </is>
      </c>
      <c r="B7" s="6" t="inlineStr">
        <is>
          <t>Modo demonstracao (TRUE/FALSE)</t>
        </is>
      </c>
      <c r="C7" s="16" t="b">
        <v>1</v>
      </c>
      <c r="D7" s="17" t="inlineStr">
        <is>
          <t>-</t>
        </is>
      </c>
      <c r="E7" s="6" t="inlineStr">
        <is>
          <t>TRUE liga dataset DEMO p/ testes; FALSE zera exemplos</t>
        </is>
      </c>
      <c r="F7" s="18" t="inlineStr">
        <is>
          <t>Controladoria</t>
        </is>
      </c>
      <c r="G7" s="18" t="inlineStr">
        <is>
          <t>Controller</t>
        </is>
      </c>
    </row>
    <row r="8">
      <c r="A8" s="6" t="inlineStr"/>
      <c r="B8" s="19" t="inlineStr">
        <is>
          <t>— CONVERSOES DE EMBALAGEM —</t>
        </is>
      </c>
    </row>
    <row r="9">
      <c r="A9" s="15" t="inlineStr">
        <is>
          <t>KG_SACO_STD</t>
        </is>
      </c>
      <c r="B9" s="6" t="inlineStr">
        <is>
          <t>kg por saco (padrao)</t>
        </is>
      </c>
      <c r="C9" s="20" t="n">
        <v>15</v>
      </c>
      <c r="D9" s="17" t="inlineStr">
        <is>
          <t>kg</t>
        </is>
      </c>
      <c r="E9" s="6" t="inlineStr">
        <is>
          <t>Linhas gerais SKAL</t>
        </is>
      </c>
      <c r="F9" s="18" t="inlineStr">
        <is>
          <t>Producao</t>
        </is>
      </c>
      <c r="G9" s="18" t="inlineStr">
        <is>
          <t>Sup. Prod.</t>
        </is>
      </c>
    </row>
    <row r="10">
      <c r="A10" s="15" t="inlineStr">
        <is>
          <t>SACO_PALETE_STD</t>
        </is>
      </c>
      <c r="B10" s="6" t="inlineStr">
        <is>
          <t>sacos por palete (padrao)</t>
        </is>
      </c>
      <c r="C10" s="20" t="n">
        <v>100</v>
      </c>
      <c r="D10" s="17" t="inlineStr">
        <is>
          <t>un</t>
        </is>
      </c>
      <c r="E10" s="6" t="inlineStr">
        <is>
          <t>Linhas gerais</t>
        </is>
      </c>
      <c r="F10" s="18" t="inlineStr">
        <is>
          <t>Producao</t>
        </is>
      </c>
      <c r="G10" s="18" t="inlineStr">
        <is>
          <t>Sup. Prod.</t>
        </is>
      </c>
    </row>
    <row r="11">
      <c r="A11" s="15" t="inlineStr">
        <is>
          <t>KG_SACO_EXT</t>
        </is>
      </c>
      <c r="B11" s="6" t="inlineStr">
        <is>
          <t>kg por saco (linha Extras)</t>
        </is>
      </c>
      <c r="C11" s="20" t="n">
        <v>20</v>
      </c>
      <c r="D11" s="17" t="inlineStr">
        <is>
          <t>kg</t>
        </is>
      </c>
      <c r="E11" s="6" t="inlineStr">
        <is>
          <t>Multiuso/Graute/Reboco/Contrapiso</t>
        </is>
      </c>
      <c r="F11" s="18" t="inlineStr">
        <is>
          <t>Producao</t>
        </is>
      </c>
      <c r="G11" s="18" t="inlineStr">
        <is>
          <t>Sup. Prod.</t>
        </is>
      </c>
    </row>
    <row r="12">
      <c r="A12" s="15" t="inlineStr">
        <is>
          <t>SACO_PALETE_EXT</t>
        </is>
      </c>
      <c r="B12" s="6" t="inlineStr">
        <is>
          <t>sacos por palete (Extras)</t>
        </is>
      </c>
      <c r="C12" s="20" t="n">
        <v>75</v>
      </c>
      <c r="D12" s="17" t="inlineStr">
        <is>
          <t>un</t>
        </is>
      </c>
      <c r="E12" s="6" t="inlineStr">
        <is>
          <t>Linha Extras</t>
        </is>
      </c>
      <c r="F12" s="18" t="inlineStr">
        <is>
          <t>Producao</t>
        </is>
      </c>
      <c r="G12" s="18" t="inlineStr">
        <is>
          <t>Sup. Prod.</t>
        </is>
      </c>
    </row>
    <row r="13">
      <c r="A13" s="15" t="inlineStr">
        <is>
          <t>KG_PALETE</t>
        </is>
      </c>
      <c r="B13" s="6" t="inlineStr">
        <is>
          <t>kg por palete (todas)</t>
        </is>
      </c>
      <c r="C13" s="20" t="n">
        <v>1500</v>
      </c>
      <c r="D13" s="17" t="inlineStr">
        <is>
          <t>kg</t>
        </is>
      </c>
      <c r="E13" s="6" t="inlineStr">
        <is>
          <t>1.500 kg/palete em ambas as linhas</t>
        </is>
      </c>
      <c r="F13" s="18" t="inlineStr">
        <is>
          <t>Producao</t>
        </is>
      </c>
      <c r="G13" s="18" t="inlineStr">
        <is>
          <t>Sup. Prod.</t>
        </is>
      </c>
    </row>
    <row r="14">
      <c r="A14" s="15" t="inlineStr">
        <is>
          <t>CONCHA_M3</t>
        </is>
      </c>
      <c r="B14" s="6" t="inlineStr">
        <is>
          <t>m3 por concha (Komatsu WA200-5)</t>
        </is>
      </c>
      <c r="C14" s="21" t="n">
        <v>2.1</v>
      </c>
      <c r="D14" s="17" t="inlineStr">
        <is>
          <t>m3</t>
        </is>
      </c>
      <c r="E14" s="6" t="inlineStr">
        <is>
          <t>Elo com Painel do Forno (areia)</t>
        </is>
      </c>
      <c r="F14" s="18" t="inlineStr">
        <is>
          <t>Producao</t>
        </is>
      </c>
      <c r="G14" s="18" t="inlineStr">
        <is>
          <t>Sup. Prod.</t>
        </is>
      </c>
    </row>
    <row r="15">
      <c r="A15" s="6" t="inlineStr"/>
      <c r="B15" s="19" t="inlineStr">
        <is>
          <t>— ICMS (beneficio 80%) —</t>
        </is>
      </c>
    </row>
    <row r="16">
      <c r="A16" s="15" t="inlineStr">
        <is>
          <t>ICMS_NOMINAL</t>
        </is>
      </c>
      <c r="B16" s="6" t="inlineStr">
        <is>
          <t>ICMS aliquota nominal</t>
        </is>
      </c>
      <c r="C16" s="22" t="n">
        <v>0.225</v>
      </c>
      <c r="D16" s="17" t="inlineStr">
        <is>
          <t>%</t>
        </is>
      </c>
      <c r="E16" s="6" t="inlineStr">
        <is>
          <t>Aliquota cheia</t>
        </is>
      </c>
      <c r="F16" s="18" t="inlineStr">
        <is>
          <t>Fiscal</t>
        </is>
      </c>
      <c r="G16" s="18" t="inlineStr">
        <is>
          <t>Cont. Fiscal</t>
        </is>
      </c>
    </row>
    <row r="17">
      <c r="A17" s="15" t="inlineStr">
        <is>
          <t>ICMS_REDUCAO</t>
        </is>
      </c>
      <c r="B17" s="6" t="inlineStr">
        <is>
          <t>ICMS reducao do beneficio</t>
        </is>
      </c>
      <c r="C17" s="22" t="n">
        <v>0.8</v>
      </c>
      <c r="D17" s="17" t="inlineStr">
        <is>
          <t>%</t>
        </is>
      </c>
      <c r="E17" s="6" t="inlineStr">
        <is>
          <t>Reducao de 80% do ICMS devido</t>
        </is>
      </c>
      <c r="F17" s="18" t="inlineStr">
        <is>
          <t>Fiscal</t>
        </is>
      </c>
      <c r="G17" s="18" t="inlineStr">
        <is>
          <t>Cont. Fiscal</t>
        </is>
      </c>
    </row>
    <row r="18">
      <c r="A18" s="15" t="inlineStr">
        <is>
          <t>ICMS_PCT_DEVIDO</t>
        </is>
      </c>
      <c r="B18" s="6" t="inlineStr">
        <is>
          <t>ICMS % efetivamente devido</t>
        </is>
      </c>
      <c r="C18" s="23">
        <f>1-ICMS_REDUCAO</f>
        <v/>
      </c>
      <c r="D18" s="17" t="inlineStr">
        <is>
          <t>%</t>
        </is>
      </c>
      <c r="E18" s="6" t="inlineStr">
        <is>
          <t>1 menos reducao (da 20%)</t>
        </is>
      </c>
      <c r="F18" s="18" t="inlineStr">
        <is>
          <t>Fiscal</t>
        </is>
      </c>
      <c r="G18" s="18" t="inlineStr">
        <is>
          <t>Cont. Fiscal</t>
        </is>
      </c>
    </row>
    <row r="19">
      <c r="A19" s="15" t="inlineStr">
        <is>
          <t>ICMS_EFETIVO</t>
        </is>
      </c>
      <c r="B19" s="6" t="inlineStr">
        <is>
          <t>ICMS efetivo (calc.)</t>
        </is>
      </c>
      <c r="C19" s="23">
        <f>ICMS_NOMINAL*ICMS_PCT_DEVIDO</f>
        <v/>
      </c>
      <c r="D19" s="17" t="inlineStr">
        <is>
          <t>%</t>
        </is>
      </c>
      <c r="E19" s="6" t="inlineStr">
        <is>
          <t>nominal x %devido (=4,5%) NUNCA hardcoded</t>
        </is>
      </c>
      <c r="F19" s="18" t="inlineStr">
        <is>
          <t>Fiscal</t>
        </is>
      </c>
      <c r="G19" s="18" t="inlineStr">
        <is>
          <t>Cont. Fiscal</t>
        </is>
      </c>
    </row>
    <row r="20">
      <c r="A20" s="6" t="inlineStr"/>
      <c r="B20" s="19" t="inlineStr">
        <is>
          <t>— PIS/COFINS (Lucro Real, nao cumulativo) —</t>
        </is>
      </c>
    </row>
    <row r="21">
      <c r="A21" s="15" t="inlineStr">
        <is>
          <t>PIS_DEBITO</t>
        </is>
      </c>
      <c r="B21" s="6" t="inlineStr">
        <is>
          <t>PIS debito</t>
        </is>
      </c>
      <c r="C21" s="22" t="n">
        <v>0.0165</v>
      </c>
      <c r="D21" s="17" t="inlineStr">
        <is>
          <t>%</t>
        </is>
      </c>
      <c r="E21" s="6" t="inlineStr">
        <is>
          <t>Nao cumulativo</t>
        </is>
      </c>
      <c r="F21" s="18" t="inlineStr">
        <is>
          <t>Fiscal</t>
        </is>
      </c>
      <c r="G21" s="18" t="inlineStr">
        <is>
          <t>Cont. Fiscal</t>
        </is>
      </c>
    </row>
    <row r="22">
      <c r="A22" s="15" t="inlineStr">
        <is>
          <t>COFINS_DEBITO</t>
        </is>
      </c>
      <c r="B22" s="6" t="inlineStr">
        <is>
          <t>COFINS debito</t>
        </is>
      </c>
      <c r="C22" s="22" t="n">
        <v>0.076</v>
      </c>
      <c r="D22" s="17" t="inlineStr">
        <is>
          <t>%</t>
        </is>
      </c>
      <c r="E22" s="6" t="inlineStr">
        <is>
          <t>Nao cumulativo (soma 9,25%)</t>
        </is>
      </c>
      <c r="F22" s="18" t="inlineStr">
        <is>
          <t>Fiscal</t>
        </is>
      </c>
      <c r="G22" s="18" t="inlineStr">
        <is>
          <t>Cont. Fiscal</t>
        </is>
      </c>
    </row>
    <row r="23">
      <c r="A23" s="6" t="inlineStr"/>
      <c r="B23" s="19" t="inlineStr">
        <is>
          <t>— IRPJ / CSLL / SUDENE —</t>
        </is>
      </c>
    </row>
    <row r="24">
      <c r="A24" s="15" t="inlineStr">
        <is>
          <t>IRPJ_ALIQ</t>
        </is>
      </c>
      <c r="B24" s="6" t="inlineStr">
        <is>
          <t>IRPJ aliquota</t>
        </is>
      </c>
      <c r="C24" s="22" t="n">
        <v>0.15</v>
      </c>
      <c r="D24" s="17" t="inlineStr">
        <is>
          <t>%</t>
        </is>
      </c>
      <c r="E24" s="6" t="inlineStr">
        <is>
          <t>15% + adicional</t>
        </is>
      </c>
      <c r="F24" s="18" t="inlineStr">
        <is>
          <t>Fiscal</t>
        </is>
      </c>
      <c r="G24" s="18" t="inlineStr">
        <is>
          <t>Cont. Fiscal</t>
        </is>
      </c>
    </row>
    <row r="25">
      <c r="A25" s="15" t="inlineStr">
        <is>
          <t>IRPJ_ADIC</t>
        </is>
      </c>
      <c r="B25" s="6" t="inlineStr">
        <is>
          <t>IRPJ adicional (&gt;20k/mes)</t>
        </is>
      </c>
      <c r="C25" s="22" t="n">
        <v>0.1</v>
      </c>
      <c r="D25" s="17" t="inlineStr">
        <is>
          <t>%</t>
        </is>
      </c>
      <c r="E25" s="6" t="inlineStr">
        <is>
          <t>10% sobre excedente</t>
        </is>
      </c>
      <c r="F25" s="18" t="inlineStr">
        <is>
          <t>Fiscal</t>
        </is>
      </c>
      <c r="G25" s="18" t="inlineStr">
        <is>
          <t>Cont. Fiscal</t>
        </is>
      </c>
    </row>
    <row r="26">
      <c r="A26" s="15" t="inlineStr">
        <is>
          <t>CSLL_ALIQ</t>
        </is>
      </c>
      <c r="B26" s="6" t="inlineStr">
        <is>
          <t>CSLL aliquota</t>
        </is>
      </c>
      <c r="C26" s="22" t="n">
        <v>0.09</v>
      </c>
      <c r="D26" s="17" t="inlineStr">
        <is>
          <t>%</t>
        </is>
      </c>
      <c r="E26" s="6" t="inlineStr">
        <is>
          <t>NUNCA aplicar reducao SUDENE a CSLL</t>
        </is>
      </c>
      <c r="F26" s="18" t="inlineStr">
        <is>
          <t>Fiscal</t>
        </is>
      </c>
      <c r="G26" s="18" t="inlineStr">
        <is>
          <t>Cont. Fiscal</t>
        </is>
      </c>
    </row>
    <row r="27">
      <c r="A27" s="15" t="inlineStr">
        <is>
          <t>SUDENE_REDUCAO</t>
        </is>
      </c>
      <c r="B27" s="6" t="inlineStr">
        <is>
          <t>SUDENE reducao IRPJ elegivel</t>
        </is>
      </c>
      <c r="C27" s="22" t="n">
        <v>0.75</v>
      </c>
      <c r="D27" s="17" t="inlineStr">
        <is>
          <t>%</t>
        </is>
      </c>
      <c r="E27" s="6" t="inlineStr">
        <is>
          <t>75% do IRPJ elegivel (parametrizavel)</t>
        </is>
      </c>
      <c r="F27" s="18" t="inlineStr">
        <is>
          <t>Fiscal</t>
        </is>
      </c>
      <c r="G27" s="18" t="inlineStr">
        <is>
          <t>Diretoria</t>
        </is>
      </c>
    </row>
    <row r="28">
      <c r="A28" s="6" t="inlineStr"/>
      <c r="B28" s="19" t="inlineStr">
        <is>
          <t>— FINANCEIRO —</t>
        </is>
      </c>
    </row>
    <row r="29">
      <c r="A29" s="15" t="inlineStr">
        <is>
          <t>CUSTO_CAPITAL_ANO</t>
        </is>
      </c>
      <c r="B29" s="6" t="inlineStr">
        <is>
          <t>Custo de capital anual</t>
        </is>
      </c>
      <c r="C29" s="22" t="n">
        <v>0.18</v>
      </c>
      <c r="D29" s="17" t="inlineStr">
        <is>
          <t>%</t>
        </is>
      </c>
      <c r="E29" s="6" t="inlineStr">
        <is>
          <t>Para custo de prazo e estoque (DEMO)</t>
        </is>
      </c>
      <c r="F29" s="18" t="inlineStr">
        <is>
          <t>Financeiro</t>
        </is>
      </c>
      <c r="G29" s="18" t="inlineStr">
        <is>
          <t>CFO</t>
        </is>
      </c>
    </row>
    <row r="30">
      <c r="A30" s="15" t="inlineStr">
        <is>
          <t>INADIMPL_PCT</t>
        </is>
      </c>
      <c r="B30" s="6" t="inlineStr">
        <is>
          <t>Inadimplencia esperada (%)</t>
        </is>
      </c>
      <c r="C30" s="22" t="n">
        <v>0.015</v>
      </c>
      <c r="D30" s="17" t="inlineStr">
        <is>
          <t>%</t>
        </is>
      </c>
      <c r="E30" s="6" t="inlineStr">
        <is>
          <t>Taxa historica parametrizada (DEMO)</t>
        </is>
      </c>
      <c r="F30" s="18" t="inlineStr">
        <is>
          <t>Financeiro</t>
        </is>
      </c>
      <c r="G30" s="18" t="inlineStr">
        <is>
          <t>Credito</t>
        </is>
      </c>
    </row>
    <row r="31">
      <c r="A31" s="15" t="inlineStr">
        <is>
          <t>DIAS_ANO</t>
        </is>
      </c>
      <c r="B31" s="6" t="inlineStr">
        <is>
          <t>Dias no ano (base financeira)</t>
        </is>
      </c>
      <c r="C31" s="20" t="n">
        <v>365</v>
      </c>
      <c r="D31" s="17" t="inlineStr">
        <is>
          <t>d</t>
        </is>
      </c>
      <c r="E31" s="6" t="inlineStr">
        <is>
          <t>Base p/ custo de prazo</t>
        </is>
      </c>
      <c r="F31" s="18" t="inlineStr">
        <is>
          <t>Financeiro</t>
        </is>
      </c>
      <c r="G31" s="18" t="inlineStr">
        <is>
          <t>CFO</t>
        </is>
      </c>
    </row>
    <row r="32">
      <c r="A32" s="6" t="inlineStr"/>
      <c r="B32" s="19" t="inlineStr">
        <is>
          <t>— MATERIALIDADE / GOVERNANCA —</t>
        </is>
      </c>
    </row>
    <row r="33">
      <c r="A33" s="15" t="inlineStr">
        <is>
          <t>MAT_CLASSE_A</t>
        </is>
      </c>
      <c r="B33" s="6" t="inlineStr">
        <is>
          <t>Materialidade Classe A (R$/ano)</t>
        </is>
      </c>
      <c r="C33" s="20" t="n">
        <v>100000</v>
      </c>
      <c r="D33" s="17" t="inlineStr">
        <is>
          <t>R$</t>
        </is>
      </c>
      <c r="E33" s="6" t="inlineStr">
        <is>
          <t>Impacto alto</t>
        </is>
      </c>
      <c r="F33" s="18" t="inlineStr">
        <is>
          <t>Controladoria</t>
        </is>
      </c>
      <c r="G33" s="18" t="inlineStr">
        <is>
          <t>Controller</t>
        </is>
      </c>
    </row>
    <row r="34">
      <c r="A34" s="15" t="inlineStr">
        <is>
          <t>MAT_CLASSE_B</t>
        </is>
      </c>
      <c r="B34" s="6" t="inlineStr">
        <is>
          <t>Materialidade Classe B (R$/ano)</t>
        </is>
      </c>
      <c r="C34" s="20" t="n">
        <v>25000</v>
      </c>
      <c r="D34" s="17" t="inlineStr">
        <is>
          <t>R$</t>
        </is>
      </c>
      <c r="E34" s="6" t="inlineStr">
        <is>
          <t>Impacto medio</t>
        </is>
      </c>
      <c r="F34" s="18" t="inlineStr">
        <is>
          <t>Controladoria</t>
        </is>
      </c>
      <c r="G34" s="18" t="inlineStr">
        <is>
          <t>Controller</t>
        </is>
      </c>
    </row>
    <row r="35">
      <c r="A35" s="15" t="inlineStr">
        <is>
          <t>VOLUME_ANO_T</t>
        </is>
      </c>
      <c r="B35" s="6" t="inlineStr">
        <is>
          <t>Volume anual referencia (t)</t>
        </is>
      </c>
      <c r="C35" s="20" t="n">
        <v>70000</v>
      </c>
      <c r="D35" s="17" t="inlineStr">
        <is>
          <t>t</t>
        </is>
      </c>
      <c r="E35" s="6" t="inlineStr">
        <is>
          <t>Para anualizar gaps (DEMO)</t>
        </is>
      </c>
      <c r="F35" s="18" t="inlineStr">
        <is>
          <t>Comercial</t>
        </is>
      </c>
      <c r="G35" s="18" t="inlineStr">
        <is>
          <t>Diretoria</t>
        </is>
      </c>
    </row>
  </sheetData>
  <mergeCells count="14">
    <mergeCell ref="F4:G4"/>
    <mergeCell ref="B20:G20"/>
    <mergeCell ref="J4:K4"/>
    <mergeCell ref="A1:G1"/>
    <mergeCell ref="L4:M4"/>
    <mergeCell ref="B28:G28"/>
    <mergeCell ref="B23:G23"/>
    <mergeCell ref="B8:G8"/>
    <mergeCell ref="B32:G32"/>
    <mergeCell ref="A2:G2"/>
    <mergeCell ref="D4:E4"/>
    <mergeCell ref="H4:I4"/>
    <mergeCell ref="B15:G1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2" customWidth="1" min="5" max="5"/>
    <col width="10" customWidth="1" min="6" max="6"/>
    <col width="26" customWidth="1" min="7" max="7"/>
    <col width="12" customWidth="1" min="8" max="8"/>
  </cols>
  <sheetData>
    <row r="1" ht="26" customHeight="1">
      <c r="A1" s="1" t="inlineStr">
        <is>
          <t>CALENDAR</t>
        </is>
      </c>
    </row>
    <row r="2">
      <c r="A2" s="2" t="inlineStr">
        <is>
          <t>Controle temporal. A reforma tributaria e tratada por DATA DE VIGENCIA (ver 10_TAX_RULES), nunca sobrescrevendo regra antiga.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PERIOD_ID</t>
        </is>
      </c>
      <c r="B6" s="5" t="inlineStr">
        <is>
          <t>Ano</t>
        </is>
      </c>
      <c r="C6" s="5" t="inlineStr">
        <is>
          <t>Mes</t>
        </is>
      </c>
      <c r="D6" s="5" t="inlineStr">
        <is>
          <t>Data ini</t>
        </is>
      </c>
      <c r="E6" s="5" t="inlineStr">
        <is>
          <t>Data fim</t>
        </is>
      </c>
      <c r="F6" s="5" t="inlineStr">
        <is>
          <t>Dias uteis</t>
        </is>
      </c>
      <c r="G6" s="5" t="inlineStr">
        <is>
          <t>Regime tributario vigente</t>
        </is>
      </c>
      <c r="H6" s="5" t="inlineStr">
        <is>
          <t>Status</t>
        </is>
      </c>
    </row>
    <row r="7" ht="15" customHeight="1">
      <c r="A7" s="24" t="inlineStr">
        <is>
          <t>2026-01</t>
        </is>
      </c>
      <c r="B7" s="25" t="n">
        <v>2026</v>
      </c>
      <c r="C7" s="25" t="n">
        <v>1</v>
      </c>
      <c r="D7" s="26" t="inlineStr">
        <is>
          <t>2026-01-01</t>
        </is>
      </c>
      <c r="E7" s="26" t="inlineStr">
        <is>
          <t>2026-01-31</t>
        </is>
      </c>
      <c r="F7" s="25" t="n">
        <v>22</v>
      </c>
      <c r="G7" s="18" t="inlineStr">
        <is>
          <t>ICMS benef. 80% + PIS/COFINS n-cum</t>
        </is>
      </c>
      <c r="H7" s="18" t="inlineStr">
        <is>
          <t>Fechado</t>
        </is>
      </c>
    </row>
    <row r="8" ht="15" customHeight="1">
      <c r="A8" s="24" t="inlineStr">
        <is>
          <t>2026-02</t>
        </is>
      </c>
      <c r="B8" s="25" t="n">
        <v>2026</v>
      </c>
      <c r="C8" s="25" t="n">
        <v>2</v>
      </c>
      <c r="D8" s="26" t="inlineStr">
        <is>
          <t>2026-02-01</t>
        </is>
      </c>
      <c r="E8" s="26" t="inlineStr">
        <is>
          <t>2026-02-28</t>
        </is>
      </c>
      <c r="F8" s="25" t="n">
        <v>20</v>
      </c>
      <c r="G8" s="18" t="inlineStr">
        <is>
          <t>ICMS benef. 80% + PIS/COFINS n-cum</t>
        </is>
      </c>
      <c r="H8" s="18" t="inlineStr">
        <is>
          <t>Fechado</t>
        </is>
      </c>
    </row>
    <row r="9" ht="15" customHeight="1">
      <c r="A9" s="24" t="inlineStr">
        <is>
          <t>2026-03</t>
        </is>
      </c>
      <c r="B9" s="25" t="n">
        <v>2026</v>
      </c>
      <c r="C9" s="25" t="n">
        <v>3</v>
      </c>
      <c r="D9" s="26" t="inlineStr">
        <is>
          <t>2026-03-01</t>
        </is>
      </c>
      <c r="E9" s="26" t="inlineStr">
        <is>
          <t>2026-03-31</t>
        </is>
      </c>
      <c r="F9" s="25" t="n">
        <v>21</v>
      </c>
      <c r="G9" s="18" t="inlineStr">
        <is>
          <t>ICMS benef. 80% + PIS/COFINS n-cum</t>
        </is>
      </c>
      <c r="H9" s="18" t="inlineStr">
        <is>
          <t>Aberto</t>
        </is>
      </c>
    </row>
    <row r="10" ht="15" customHeight="1">
      <c r="A10" s="24" t="n"/>
      <c r="B10" s="25" t="n"/>
      <c r="C10" s="25" t="n"/>
      <c r="D10" s="26" t="n"/>
      <c r="E10" s="26" t="n"/>
      <c r="F10" s="25" t="n"/>
      <c r="G10" s="18" t="n"/>
      <c r="H10" s="18" t="n"/>
    </row>
    <row r="11" ht="15" customHeight="1">
      <c r="A11" s="27" t="inlineStr">
        <is>
          <t>^ Linhas acima = dados DEMO (marcados). Abaixo: campos de entrada em branco para dados reais.</t>
        </is>
      </c>
      <c r="B11" s="25" t="n"/>
      <c r="C11" s="25" t="n"/>
      <c r="D11" s="26" t="n"/>
      <c r="E11" s="26" t="n"/>
      <c r="F11" s="25" t="n"/>
      <c r="G11" s="18" t="n"/>
      <c r="H11" s="18" t="n"/>
    </row>
    <row r="12" ht="15" customHeight="1">
      <c r="A12" s="24" t="n"/>
      <c r="B12" s="25" t="n"/>
      <c r="C12" s="25" t="n"/>
      <c r="D12" s="26" t="n"/>
      <c r="E12" s="26" t="n"/>
      <c r="F12" s="25" t="n"/>
      <c r="G12" s="18" t="n"/>
      <c r="H12" s="18" t="n"/>
    </row>
    <row r="13" ht="15" customHeight="1">
      <c r="A13" s="24" t="n"/>
      <c r="B13" s="25" t="n"/>
      <c r="C13" s="25" t="n"/>
      <c r="D13" s="26" t="n"/>
      <c r="E13" s="26" t="n"/>
      <c r="F13" s="25" t="n"/>
      <c r="G13" s="18" t="n"/>
      <c r="H13" s="18" t="n"/>
    </row>
    <row r="14" ht="15" customHeight="1">
      <c r="A14" s="24" t="n"/>
      <c r="B14" s="25" t="n"/>
      <c r="C14" s="25" t="n"/>
      <c r="D14" s="26" t="n"/>
      <c r="E14" s="26" t="n"/>
      <c r="F14" s="25" t="n"/>
      <c r="G14" s="18" t="n"/>
      <c r="H14" s="18" t="n"/>
    </row>
    <row r="15" ht="15" customHeight="1">
      <c r="A15" s="24" t="n"/>
      <c r="B15" s="25" t="n"/>
      <c r="C15" s="25" t="n"/>
      <c r="D15" s="26" t="n"/>
      <c r="E15" s="26" t="n"/>
      <c r="F15" s="25" t="n"/>
      <c r="G15" s="18" t="n"/>
      <c r="H15" s="18" t="n"/>
    </row>
    <row r="16" ht="15" customHeight="1">
      <c r="A16" s="24" t="n"/>
      <c r="B16" s="25" t="n"/>
      <c r="C16" s="25" t="n"/>
      <c r="D16" s="26" t="n"/>
      <c r="E16" s="26" t="n"/>
      <c r="F16" s="25" t="n"/>
      <c r="G16" s="18" t="n"/>
      <c r="H16" s="18" t="n"/>
    </row>
    <row r="17" ht="15" customHeight="1">
      <c r="A17" s="24" t="n"/>
      <c r="B17" s="25" t="n"/>
      <c r="C17" s="25" t="n"/>
      <c r="D17" s="26" t="n"/>
      <c r="E17" s="26" t="n"/>
      <c r="F17" s="25" t="n"/>
      <c r="G17" s="18" t="n"/>
      <c r="H17" s="18" t="n"/>
    </row>
    <row r="18" ht="15" customHeight="1">
      <c r="A18" s="24" t="n"/>
      <c r="B18" s="25" t="n"/>
      <c r="C18" s="25" t="n"/>
      <c r="D18" s="26" t="n"/>
      <c r="E18" s="26" t="n"/>
      <c r="F18" s="25" t="n"/>
      <c r="G18" s="18" t="n"/>
      <c r="H18" s="18" t="n"/>
    </row>
    <row r="19" ht="15" customHeight="1">
      <c r="A19" s="24" t="n"/>
      <c r="B19" s="25" t="n"/>
      <c r="C19" s="25" t="n"/>
      <c r="D19" s="26" t="n"/>
      <c r="E19" s="26" t="n"/>
      <c r="F19" s="25" t="n"/>
      <c r="G19" s="18" t="n"/>
      <c r="H19" s="18" t="n"/>
    </row>
    <row r="20" ht="15" customHeight="1">
      <c r="A20" s="24" t="n"/>
      <c r="B20" s="25" t="n"/>
      <c r="C20" s="25" t="n"/>
      <c r="D20" s="26" t="n"/>
      <c r="E20" s="26" t="n"/>
      <c r="F20" s="25" t="n"/>
      <c r="G20" s="18" t="n"/>
      <c r="H20" s="18" t="n"/>
    </row>
    <row r="21" ht="15" customHeight="1">
      <c r="A21" s="24" t="n"/>
      <c r="B21" s="25" t="n"/>
      <c r="C21" s="25" t="n"/>
      <c r="D21" s="26" t="n"/>
      <c r="E21" s="26" t="n"/>
      <c r="F21" s="25" t="n"/>
      <c r="G21" s="18" t="n"/>
      <c r="H21" s="18" t="n"/>
    </row>
    <row r="22" ht="15" customHeight="1">
      <c r="A22" s="24" t="n"/>
      <c r="B22" s="25" t="n"/>
      <c r="C22" s="25" t="n"/>
      <c r="D22" s="26" t="n"/>
      <c r="E22" s="26" t="n"/>
      <c r="F22" s="25" t="n"/>
      <c r="G22" s="18" t="n"/>
      <c r="H22" s="18" t="n"/>
    </row>
    <row r="23" ht="15" customHeight="1">
      <c r="A23" s="24" t="n"/>
      <c r="B23" s="25" t="n"/>
      <c r="C23" s="25" t="n"/>
      <c r="D23" s="26" t="n"/>
      <c r="E23" s="26" t="n"/>
      <c r="F23" s="25" t="n"/>
      <c r="G23" s="18" t="n"/>
      <c r="H23" s="18" t="n"/>
    </row>
    <row r="24" ht="15" customHeight="1">
      <c r="A24" s="24" t="n"/>
      <c r="B24" s="25" t="n"/>
      <c r="C24" s="25" t="n"/>
      <c r="D24" s="26" t="n"/>
      <c r="E24" s="26" t="n"/>
      <c r="F24" s="25" t="n"/>
      <c r="G24" s="18" t="n"/>
      <c r="H24" s="18" t="n"/>
    </row>
    <row r="25" ht="15" customHeight="1">
      <c r="A25" s="24" t="n"/>
      <c r="B25" s="25" t="n"/>
      <c r="C25" s="25" t="n"/>
      <c r="D25" s="26" t="n"/>
      <c r="E25" s="26" t="n"/>
      <c r="F25" s="25" t="n"/>
      <c r="G25" s="18" t="n"/>
      <c r="H25" s="18" t="n"/>
    </row>
    <row r="26" ht="15" customHeight="1">
      <c r="A26" s="24" t="n"/>
      <c r="B26" s="25" t="n"/>
      <c r="C26" s="25" t="n"/>
      <c r="D26" s="26" t="n"/>
      <c r="E26" s="26" t="n"/>
      <c r="F26" s="25" t="n"/>
      <c r="G26" s="18" t="n"/>
      <c r="H26" s="18" t="n"/>
    </row>
    <row r="27" ht="15" customHeight="1">
      <c r="A27" s="24" t="n"/>
      <c r="B27" s="25" t="n"/>
      <c r="C27" s="25" t="n"/>
      <c r="D27" s="26" t="n"/>
      <c r="E27" s="26" t="n"/>
      <c r="F27" s="25" t="n"/>
      <c r="G27" s="18" t="n"/>
      <c r="H27" s="18" t="n"/>
    </row>
    <row r="28" ht="15" customHeight="1">
      <c r="A28" s="24" t="n"/>
      <c r="B28" s="25" t="n"/>
      <c r="C28" s="25" t="n"/>
      <c r="D28" s="26" t="n"/>
      <c r="E28" s="26" t="n"/>
      <c r="F28" s="25" t="n"/>
      <c r="G28" s="18" t="n"/>
      <c r="H28" s="18" t="n"/>
    </row>
    <row r="29" ht="15" customHeight="1">
      <c r="A29" s="24" t="n"/>
      <c r="B29" s="25" t="n"/>
      <c r="C29" s="25" t="n"/>
      <c r="D29" s="26" t="n"/>
      <c r="E29" s="26" t="n"/>
      <c r="F29" s="25" t="n"/>
      <c r="G29" s="18" t="n"/>
      <c r="H29" s="18" t="n"/>
    </row>
    <row r="30" ht="15" customHeight="1">
      <c r="A30" s="24" t="n"/>
      <c r="B30" s="25" t="n"/>
      <c r="C30" s="25" t="n"/>
      <c r="D30" s="26" t="n"/>
      <c r="E30" s="26" t="n"/>
      <c r="F30" s="25" t="n"/>
      <c r="G30" s="18" t="n"/>
      <c r="H30" s="18" t="n"/>
    </row>
    <row r="31" ht="15" customHeight="1">
      <c r="A31" s="24" t="n"/>
      <c r="B31" s="25" t="n"/>
      <c r="C31" s="25" t="n"/>
      <c r="D31" s="26" t="n"/>
      <c r="E31" s="26" t="n"/>
      <c r="F31" s="25" t="n"/>
      <c r="G31" s="18" t="n"/>
      <c r="H31" s="18" t="n"/>
    </row>
    <row r="32" ht="15" customHeight="1">
      <c r="A32" s="24" t="n"/>
      <c r="B32" s="25" t="n"/>
      <c r="C32" s="25" t="n"/>
      <c r="D32" s="26" t="n"/>
      <c r="E32" s="26" t="n"/>
      <c r="F32" s="25" t="n"/>
      <c r="G32" s="18" t="n"/>
      <c r="H32" s="18" t="n"/>
    </row>
    <row r="33" ht="15" customHeight="1">
      <c r="A33" s="24" t="n"/>
      <c r="B33" s="25" t="n"/>
      <c r="C33" s="25" t="n"/>
      <c r="D33" s="26" t="n"/>
      <c r="E33" s="26" t="n"/>
      <c r="F33" s="25" t="n"/>
      <c r="G33" s="18" t="n"/>
      <c r="H33" s="18" t="n"/>
    </row>
    <row r="34" ht="15" customHeight="1">
      <c r="A34" s="24" t="n"/>
      <c r="B34" s="25" t="n"/>
      <c r="C34" s="25" t="n"/>
      <c r="D34" s="26" t="n"/>
      <c r="E34" s="26" t="n"/>
      <c r="F34" s="25" t="n"/>
      <c r="G34" s="18" t="n"/>
      <c r="H34" s="18" t="n"/>
    </row>
    <row r="35" ht="15" customHeight="1">
      <c r="A35" s="24" t="n"/>
      <c r="B35" s="25" t="n"/>
      <c r="C35" s="25" t="n"/>
      <c r="D35" s="26" t="n"/>
      <c r="E35" s="26" t="n"/>
      <c r="F35" s="25" t="n"/>
      <c r="G35" s="18" t="n"/>
      <c r="H35" s="18" t="n"/>
    </row>
    <row r="36" ht="15" customHeight="1">
      <c r="A36" s="24" t="n"/>
      <c r="B36" s="25" t="n"/>
      <c r="C36" s="25" t="n"/>
      <c r="D36" s="26" t="n"/>
      <c r="E36" s="26" t="n"/>
      <c r="F36" s="25" t="n"/>
      <c r="G36" s="18" t="n"/>
      <c r="H36" s="18" t="n"/>
    </row>
    <row r="37" ht="15" customHeight="1">
      <c r="A37" s="24" t="n"/>
      <c r="B37" s="25" t="n"/>
      <c r="C37" s="25" t="n"/>
      <c r="D37" s="26" t="n"/>
      <c r="E37" s="26" t="n"/>
      <c r="F37" s="25" t="n"/>
      <c r="G37" s="18" t="n"/>
      <c r="H37" s="18" t="n"/>
    </row>
    <row r="38" ht="15" customHeight="1">
      <c r="A38" s="24" t="n"/>
      <c r="B38" s="25" t="n"/>
      <c r="C38" s="25" t="n"/>
      <c r="D38" s="26" t="n"/>
      <c r="E38" s="26" t="n"/>
      <c r="F38" s="25" t="n"/>
      <c r="G38" s="18" t="n"/>
      <c r="H38" s="18" t="n"/>
    </row>
    <row r="39" ht="15" customHeight="1">
      <c r="A39" s="24" t="n"/>
      <c r="B39" s="25" t="n"/>
      <c r="C39" s="25" t="n"/>
      <c r="D39" s="26" t="n"/>
      <c r="E39" s="26" t="n"/>
      <c r="F39" s="25" t="n"/>
      <c r="G39" s="18" t="n"/>
      <c r="H39" s="18" t="n"/>
    </row>
    <row r="40" ht="15" customHeight="1">
      <c r="A40" s="24" t="n"/>
      <c r="B40" s="25" t="n"/>
      <c r="C40" s="25" t="n"/>
      <c r="D40" s="26" t="n"/>
      <c r="E40" s="26" t="n"/>
      <c r="F40" s="25" t="n"/>
      <c r="G40" s="18" t="n"/>
      <c r="H40" s="18" t="n"/>
    </row>
    <row r="41" ht="15" customHeight="1">
      <c r="A41" s="24" t="n"/>
      <c r="B41" s="25" t="n"/>
      <c r="C41" s="25" t="n"/>
      <c r="D41" s="26" t="n"/>
      <c r="E41" s="26" t="n"/>
      <c r="F41" s="25" t="n"/>
      <c r="G41" s="18" t="n"/>
      <c r="H41" s="18" t="n"/>
    </row>
    <row r="42" ht="15" customHeight="1">
      <c r="A42" s="24" t="n"/>
      <c r="B42" s="25" t="n"/>
      <c r="C42" s="25" t="n"/>
      <c r="D42" s="26" t="n"/>
      <c r="E42" s="26" t="n"/>
      <c r="F42" s="25" t="n"/>
      <c r="G42" s="18" t="n"/>
      <c r="H42" s="18" t="n"/>
    </row>
    <row r="43" ht="15" customHeight="1">
      <c r="A43" s="24" t="n"/>
      <c r="B43" s="25" t="n"/>
      <c r="C43" s="25" t="n"/>
      <c r="D43" s="26" t="n"/>
      <c r="E43" s="26" t="n"/>
      <c r="F43" s="25" t="n"/>
      <c r="G43" s="18" t="n"/>
      <c r="H43" s="18" t="n"/>
    </row>
    <row r="44" ht="15" customHeight="1">
      <c r="A44" s="24" t="n"/>
      <c r="B44" s="25" t="n"/>
      <c r="C44" s="25" t="n"/>
      <c r="D44" s="26" t="n"/>
      <c r="E44" s="26" t="n"/>
      <c r="F44" s="25" t="n"/>
      <c r="G44" s="18" t="n"/>
      <c r="H44" s="18" t="n"/>
    </row>
    <row r="45" ht="15" customHeight="1">
      <c r="A45" s="24" t="n"/>
      <c r="B45" s="25" t="n"/>
      <c r="C45" s="25" t="n"/>
      <c r="D45" s="26" t="n"/>
      <c r="E45" s="26" t="n"/>
      <c r="F45" s="25" t="n"/>
      <c r="G45" s="18" t="n"/>
      <c r="H45" s="18" t="n"/>
    </row>
    <row r="46" ht="15" customHeight="1">
      <c r="A46" s="24" t="n"/>
      <c r="B46" s="25" t="n"/>
      <c r="C46" s="25" t="n"/>
      <c r="D46" s="26" t="n"/>
      <c r="E46" s="26" t="n"/>
      <c r="F46" s="25" t="n"/>
      <c r="G46" s="18" t="n"/>
      <c r="H46" s="18" t="n"/>
    </row>
    <row r="47" ht="15" customHeight="1">
      <c r="A47" s="24" t="n"/>
      <c r="B47" s="25" t="n"/>
      <c r="C47" s="25" t="n"/>
      <c r="D47" s="26" t="n"/>
      <c r="E47" s="26" t="n"/>
      <c r="F47" s="25" t="n"/>
      <c r="G47" s="18" t="n"/>
      <c r="H47" s="18" t="n"/>
    </row>
    <row r="48" ht="15" customHeight="1">
      <c r="A48" s="24" t="n"/>
      <c r="B48" s="25" t="n"/>
      <c r="C48" s="25" t="n"/>
      <c r="D48" s="26" t="n"/>
      <c r="E48" s="26" t="n"/>
      <c r="F48" s="25" t="n"/>
      <c r="G48" s="18" t="n"/>
      <c r="H48" s="18" t="n"/>
    </row>
    <row r="49" ht="15" customHeight="1">
      <c r="A49" s="24" t="n"/>
      <c r="B49" s="25" t="n"/>
      <c r="C49" s="25" t="n"/>
      <c r="D49" s="26" t="n"/>
      <c r="E49" s="26" t="n"/>
      <c r="F49" s="25" t="n"/>
      <c r="G49" s="18" t="n"/>
      <c r="H49" s="18" t="n"/>
    </row>
    <row r="50" ht="15" customHeight="1">
      <c r="A50" s="24" t="n"/>
      <c r="B50" s="25" t="n"/>
      <c r="C50" s="25" t="n"/>
      <c r="D50" s="26" t="n"/>
      <c r="E50" s="26" t="n"/>
      <c r="F50" s="25" t="n"/>
      <c r="G50" s="18" t="n"/>
      <c r="H50" s="18" t="n"/>
    </row>
    <row r="51" ht="15" customHeight="1">
      <c r="A51" s="24" t="n"/>
      <c r="B51" s="25" t="n"/>
      <c r="C51" s="25" t="n"/>
      <c r="D51" s="26" t="n"/>
      <c r="E51" s="26" t="n"/>
      <c r="F51" s="25" t="n"/>
      <c r="G51" s="18" t="n"/>
      <c r="H51" s="18" t="n"/>
    </row>
    <row r="52" ht="15" customHeight="1">
      <c r="A52" s="24" t="n"/>
      <c r="B52" s="25" t="n"/>
      <c r="C52" s="25" t="n"/>
      <c r="D52" s="26" t="n"/>
      <c r="E52" s="26" t="n"/>
      <c r="F52" s="25" t="n"/>
      <c r="G52" s="18" t="n"/>
      <c r="H52" s="18" t="n"/>
    </row>
    <row r="53" ht="15" customHeight="1">
      <c r="A53" s="24" t="n"/>
      <c r="B53" s="25" t="n"/>
      <c r="C53" s="25" t="n"/>
      <c r="D53" s="26" t="n"/>
      <c r="E53" s="26" t="n"/>
      <c r="F53" s="25" t="n"/>
      <c r="G53" s="18" t="n"/>
      <c r="H53" s="18" t="n"/>
    </row>
    <row r="54" ht="15" customHeight="1">
      <c r="A54" s="24" t="n"/>
      <c r="B54" s="25" t="n"/>
      <c r="C54" s="25" t="n"/>
      <c r="D54" s="26" t="n"/>
      <c r="E54" s="26" t="n"/>
      <c r="F54" s="25" t="n"/>
      <c r="G54" s="18" t="n"/>
      <c r="H54" s="18" t="n"/>
    </row>
    <row r="55" ht="15" customHeight="1">
      <c r="A55" s="24" t="n"/>
      <c r="B55" s="25" t="n"/>
      <c r="C55" s="25" t="n"/>
      <c r="D55" s="26" t="n"/>
      <c r="E55" s="26" t="n"/>
      <c r="F55" s="25" t="n"/>
      <c r="G55" s="18" t="n"/>
      <c r="H55" s="18" t="n"/>
    </row>
    <row r="56" ht="15" customHeight="1">
      <c r="A56" s="24" t="n"/>
      <c r="B56" s="25" t="n"/>
      <c r="C56" s="25" t="n"/>
      <c r="D56" s="26" t="n"/>
      <c r="E56" s="26" t="n"/>
      <c r="F56" s="25" t="n"/>
      <c r="G56" s="18" t="n"/>
      <c r="H56" s="18" t="n"/>
    </row>
    <row r="57" ht="15" customHeight="1">
      <c r="A57" s="24" t="n"/>
      <c r="B57" s="25" t="n"/>
      <c r="C57" s="25" t="n"/>
      <c r="D57" s="26" t="n"/>
      <c r="E57" s="26" t="n"/>
      <c r="F57" s="25" t="n"/>
      <c r="G57" s="18" t="n"/>
      <c r="H57" s="18" t="n"/>
    </row>
    <row r="58" ht="15" customHeight="1">
      <c r="A58" s="24" t="n"/>
      <c r="B58" s="25" t="n"/>
      <c r="C58" s="25" t="n"/>
      <c r="D58" s="26" t="n"/>
      <c r="E58" s="26" t="n"/>
      <c r="F58" s="25" t="n"/>
      <c r="G58" s="18" t="n"/>
      <c r="H58" s="18" t="n"/>
    </row>
    <row r="59" ht="15" customHeight="1">
      <c r="A59" s="24" t="n"/>
      <c r="B59" s="25" t="n"/>
      <c r="C59" s="25" t="n"/>
      <c r="D59" s="26" t="n"/>
      <c r="E59" s="26" t="n"/>
      <c r="F59" s="25" t="n"/>
      <c r="G59" s="18" t="n"/>
      <c r="H59" s="18" t="n"/>
    </row>
    <row r="60" ht="15" customHeight="1">
      <c r="A60" s="24" t="n"/>
      <c r="B60" s="25" t="n"/>
      <c r="C60" s="25" t="n"/>
      <c r="D60" s="26" t="n"/>
      <c r="E60" s="26" t="n"/>
      <c r="F60" s="25" t="n"/>
      <c r="G60" s="18" t="n"/>
      <c r="H60" s="18" t="n"/>
    </row>
    <row r="61" ht="15" customHeight="1">
      <c r="A61" s="24" t="n"/>
      <c r="B61" s="25" t="n"/>
      <c r="C61" s="25" t="n"/>
      <c r="D61" s="26" t="n"/>
      <c r="E61" s="26" t="n"/>
      <c r="F61" s="25" t="n"/>
      <c r="G61" s="18" t="n"/>
      <c r="H61" s="18" t="n"/>
    </row>
    <row r="62" ht="15" customHeight="1">
      <c r="A62" s="24" t="n"/>
      <c r="B62" s="25" t="n"/>
      <c r="C62" s="25" t="n"/>
      <c r="D62" s="26" t="n"/>
      <c r="E62" s="26" t="n"/>
      <c r="F62" s="25" t="n"/>
      <c r="G62" s="18" t="n"/>
      <c r="H62" s="18" t="n"/>
    </row>
    <row r="63" ht="15" customHeight="1">
      <c r="A63" s="24" t="n"/>
      <c r="B63" s="25" t="n"/>
      <c r="C63" s="25" t="n"/>
      <c r="D63" s="26" t="n"/>
      <c r="E63" s="26" t="n"/>
      <c r="F63" s="25" t="n"/>
      <c r="G63" s="18" t="n"/>
      <c r="H63" s="18" t="n"/>
    </row>
    <row r="64" ht="15" customHeight="1">
      <c r="A64" s="24" t="n"/>
      <c r="B64" s="25" t="n"/>
      <c r="C64" s="25" t="n"/>
      <c r="D64" s="26" t="n"/>
      <c r="E64" s="26" t="n"/>
      <c r="F64" s="25" t="n"/>
      <c r="G64" s="18" t="n"/>
      <c r="H64" s="18" t="n"/>
    </row>
    <row r="65" ht="15" customHeight="1">
      <c r="A65" s="24" t="n"/>
      <c r="B65" s="25" t="n"/>
      <c r="C65" s="25" t="n"/>
      <c r="D65" s="26" t="n"/>
      <c r="E65" s="26" t="n"/>
      <c r="F65" s="25" t="n"/>
      <c r="G65" s="18" t="n"/>
      <c r="H65" s="18" t="n"/>
    </row>
    <row r="66" ht="15" customHeight="1">
      <c r="A66" s="24" t="n"/>
      <c r="B66" s="25" t="n"/>
      <c r="C66" s="25" t="n"/>
      <c r="D66" s="26" t="n"/>
      <c r="E66" s="26" t="n"/>
      <c r="F66" s="25" t="n"/>
      <c r="G66" s="18" t="n"/>
      <c r="H66" s="18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S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2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2" customWidth="1" min="18" max="18"/>
    <col width="12" customWidth="1" min="19" max="19"/>
  </cols>
  <sheetData>
    <row r="1" ht="26" customHeight="1">
      <c r="A1" s="1" t="inlineStr">
        <is>
          <t>PRODUCTS</t>
        </is>
      </c>
    </row>
    <row r="2">
      <c r="A2" s="2" t="inlineStr">
        <is>
          <t>Conversoes de embalagem automaticas. Excecao linha Extras (Multiuso/Graute/Reboco/Contrapiso): 20 kg/saco, 75 sacos/palete.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Descricao</t>
        </is>
      </c>
      <c r="C6" s="5" t="inlineStr">
        <is>
          <t>Familia</t>
        </is>
      </c>
      <c r="D6" s="5" t="inlineStr">
        <is>
          <t>Linha</t>
        </is>
      </c>
      <c r="E6" s="5" t="inlineStr">
        <is>
          <t>Unid.
comercial</t>
        </is>
      </c>
      <c r="F6" s="5" t="inlineStr">
        <is>
          <t>Extras?</t>
        </is>
      </c>
      <c r="G6" s="5" t="inlineStr">
        <is>
          <t>kg/saco</t>
        </is>
      </c>
      <c r="H6" s="5" t="inlineStr">
        <is>
          <t>sacos/
palete</t>
        </is>
      </c>
      <c r="I6" s="5" t="inlineStr">
        <is>
          <t>kg/palete</t>
        </is>
      </c>
      <c r="J6" s="5" t="inlineStr">
        <is>
          <t>FORMULA_ID</t>
        </is>
      </c>
      <c r="K6" s="5" t="inlineStr">
        <is>
          <t>Versao</t>
        </is>
      </c>
      <c r="L6" s="5" t="inlineStr">
        <is>
          <t>ROUTING_ID</t>
        </is>
      </c>
      <c r="M6" s="5" t="inlineStr">
        <is>
          <t>RESOURCE
principal</t>
        </is>
      </c>
      <c r="N6" s="5" t="inlineStr">
        <is>
          <t>Familia
setup</t>
        </is>
      </c>
      <c r="O6" s="5" t="inlineStr">
        <is>
          <t>NCM</t>
        </is>
      </c>
      <c r="P6" s="5" t="inlineStr">
        <is>
          <t>Unid.
industrial</t>
        </is>
      </c>
      <c r="Q6" s="5" t="inlineStr">
        <is>
          <t>Status</t>
        </is>
      </c>
      <c r="R6" s="5" t="inlineStr">
        <is>
          <t>Vigencia
ini</t>
        </is>
      </c>
      <c r="S6" s="5" t="inlineStr">
        <is>
          <t>Vigencia
fim</t>
        </is>
      </c>
    </row>
    <row r="7">
      <c r="A7" s="15" t="inlineStr">
        <is>
          <t>P001</t>
        </is>
      </c>
      <c r="B7" s="18" t="inlineStr">
        <is>
          <t>Multiuso</t>
        </is>
      </c>
      <c r="C7" s="18" t="inlineStr">
        <is>
          <t>Extras</t>
        </is>
      </c>
      <c r="D7" s="18" t="inlineStr">
        <is>
          <t>Extras</t>
        </is>
      </c>
      <c r="E7" s="18" t="inlineStr">
        <is>
          <t>saco</t>
        </is>
      </c>
      <c r="F7" s="28" t="b">
        <v>1</v>
      </c>
      <c r="G7" s="29">
        <f>IF(F7,KG_SACO_EXT,KG_SACO_STD)</f>
        <v/>
      </c>
      <c r="H7" s="29">
        <f>IF(F7,SACO_PALETE_EXT,SACO_PALETE_STD)</f>
        <v/>
      </c>
      <c r="I7" s="29">
        <f>G7*H7</f>
        <v/>
      </c>
      <c r="J7" s="18" t="inlineStr">
        <is>
          <t>F-P001</t>
        </is>
      </c>
      <c r="K7" s="28" t="inlineStr">
        <is>
          <t>v1</t>
        </is>
      </c>
      <c r="L7" s="18" t="inlineStr">
        <is>
          <t>RT-EXT</t>
        </is>
      </c>
      <c r="M7" s="18" t="inlineStr">
        <is>
          <t>RES-MIST1</t>
        </is>
      </c>
      <c r="N7" s="18" t="inlineStr">
        <is>
          <t>Extras</t>
        </is>
      </c>
      <c r="O7" s="18" t="inlineStr">
        <is>
          <t>3824.50.00</t>
        </is>
      </c>
      <c r="P7" s="18" t="inlineStr">
        <is>
          <t>t</t>
        </is>
      </c>
      <c r="Q7" s="18" t="inlineStr">
        <is>
          <t>Ativo</t>
        </is>
      </c>
      <c r="R7" s="18" t="inlineStr">
        <is>
          <t>2026-01-01</t>
        </is>
      </c>
      <c r="S7" s="18" t="inlineStr"/>
    </row>
    <row r="8">
      <c r="A8" s="15" t="inlineStr">
        <is>
          <t>P002</t>
        </is>
      </c>
      <c r="B8" s="18" t="inlineStr">
        <is>
          <t>Argamassa Assentamento AC-III</t>
        </is>
      </c>
      <c r="C8" s="18" t="inlineStr">
        <is>
          <t>Assentamento</t>
        </is>
      </c>
      <c r="D8" s="18" t="inlineStr">
        <is>
          <t>Colante</t>
        </is>
      </c>
      <c r="E8" s="18" t="inlineStr">
        <is>
          <t>saco</t>
        </is>
      </c>
      <c r="F8" s="28" t="b">
        <v>0</v>
      </c>
      <c r="G8" s="29">
        <f>IF(F8,KG_SACO_EXT,KG_SACO_STD)</f>
        <v/>
      </c>
      <c r="H8" s="29">
        <f>IF(F8,SACO_PALETE_EXT,SACO_PALETE_STD)</f>
        <v/>
      </c>
      <c r="I8" s="29">
        <f>G8*H8</f>
        <v/>
      </c>
      <c r="J8" s="18" t="inlineStr">
        <is>
          <t>F-P002</t>
        </is>
      </c>
      <c r="K8" s="28" t="inlineStr">
        <is>
          <t>v1</t>
        </is>
      </c>
      <c r="L8" s="18" t="inlineStr">
        <is>
          <t>RT-ARG</t>
        </is>
      </c>
      <c r="M8" s="18" t="inlineStr">
        <is>
          <t>RES-MIST1</t>
        </is>
      </c>
      <c r="N8" s="18" t="inlineStr">
        <is>
          <t>Colante</t>
        </is>
      </c>
      <c r="O8" s="18" t="inlineStr">
        <is>
          <t>3824.50.00</t>
        </is>
      </c>
      <c r="P8" s="18" t="inlineStr">
        <is>
          <t>t</t>
        </is>
      </c>
      <c r="Q8" s="18" t="inlineStr">
        <is>
          <t>Ativo</t>
        </is>
      </c>
      <c r="R8" s="18" t="inlineStr">
        <is>
          <t>2026-01-01</t>
        </is>
      </c>
      <c r="S8" s="18" t="inlineStr"/>
    </row>
    <row r="9">
      <c r="A9" s="15" t="inlineStr">
        <is>
          <t>P003</t>
        </is>
      </c>
      <c r="B9" s="18" t="inlineStr">
        <is>
          <t>Rejunte</t>
        </is>
      </c>
      <c r="C9" s="18" t="inlineStr">
        <is>
          <t>Rejunte</t>
        </is>
      </c>
      <c r="D9" s="18" t="inlineStr">
        <is>
          <t>Rejunte</t>
        </is>
      </c>
      <c r="E9" s="18" t="inlineStr">
        <is>
          <t>saco</t>
        </is>
      </c>
      <c r="F9" s="28" t="b">
        <v>0</v>
      </c>
      <c r="G9" s="29">
        <f>IF(F9,KG_SACO_EXT,KG_SACO_STD)</f>
        <v/>
      </c>
      <c r="H9" s="29">
        <f>IF(F9,SACO_PALETE_EXT,SACO_PALETE_STD)</f>
        <v/>
      </c>
      <c r="I9" s="29">
        <f>G9*H9</f>
        <v/>
      </c>
      <c r="J9" s="18" t="inlineStr">
        <is>
          <t>F-P003</t>
        </is>
      </c>
      <c r="K9" s="28" t="inlineStr">
        <is>
          <t>v1</t>
        </is>
      </c>
      <c r="L9" s="18" t="inlineStr">
        <is>
          <t>RT-REJ</t>
        </is>
      </c>
      <c r="M9" s="18" t="inlineStr">
        <is>
          <t>RES-MIST2</t>
        </is>
      </c>
      <c r="N9" s="18" t="inlineStr">
        <is>
          <t>Rejunte</t>
        </is>
      </c>
      <c r="O9" s="18" t="inlineStr">
        <is>
          <t>3824.50.00</t>
        </is>
      </c>
      <c r="P9" s="18" t="inlineStr">
        <is>
          <t>t</t>
        </is>
      </c>
      <c r="Q9" s="18" t="inlineStr">
        <is>
          <t>Ativo</t>
        </is>
      </c>
      <c r="R9" s="18" t="inlineStr">
        <is>
          <t>2026-01-01</t>
        </is>
      </c>
      <c r="S9" s="18" t="inlineStr"/>
    </row>
    <row r="10">
      <c r="A10" s="24" t="n"/>
      <c r="B10" s="18" t="n"/>
      <c r="C10" s="18" t="n"/>
      <c r="D10" s="18" t="n"/>
      <c r="E10" s="18" t="n"/>
      <c r="F10" s="18" t="n"/>
      <c r="G10" s="29">
        <f>IF($F10=TRUE,KG_SACO_EXT,KG_SACO_STD)</f>
        <v/>
      </c>
      <c r="H10" s="29">
        <f>IF($F10=TRUE,SACO_PALETE_EXT,SACO_PALETE_STD)</f>
        <v/>
      </c>
      <c r="I10" s="29">
        <f>G10*H10</f>
        <v/>
      </c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</row>
    <row r="11">
      <c r="A11" s="24" t="n"/>
      <c r="B11" s="18" t="n"/>
      <c r="C11" s="18" t="n"/>
      <c r="D11" s="18" t="n"/>
      <c r="E11" s="18" t="n"/>
      <c r="F11" s="18" t="n"/>
      <c r="G11" s="29">
        <f>IF($F11=TRUE,KG_SACO_EXT,KG_SACO_STD)</f>
        <v/>
      </c>
      <c r="H11" s="29">
        <f>IF($F11=TRUE,SACO_PALETE_EXT,SACO_PALETE_STD)</f>
        <v/>
      </c>
      <c r="I11" s="29">
        <f>G11*H11</f>
        <v/>
      </c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</row>
    <row r="12">
      <c r="A12" s="24" t="n"/>
      <c r="B12" s="18" t="n"/>
      <c r="C12" s="18" t="n"/>
      <c r="D12" s="18" t="n"/>
      <c r="E12" s="18" t="n"/>
      <c r="F12" s="18" t="n"/>
      <c r="G12" s="29">
        <f>IF($F12=TRUE,KG_SACO_EXT,KG_SACO_STD)</f>
        <v/>
      </c>
      <c r="H12" s="29">
        <f>IF($F12=TRUE,SACO_PALETE_EXT,SACO_PALETE_STD)</f>
        <v/>
      </c>
      <c r="I12" s="29">
        <f>G12*H12</f>
        <v/>
      </c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</row>
    <row r="13">
      <c r="A13" s="24" t="n"/>
      <c r="B13" s="18" t="n"/>
      <c r="C13" s="18" t="n"/>
      <c r="D13" s="18" t="n"/>
      <c r="E13" s="18" t="n"/>
      <c r="F13" s="18" t="n"/>
      <c r="G13" s="29">
        <f>IF($F13=TRUE,KG_SACO_EXT,KG_SACO_STD)</f>
        <v/>
      </c>
      <c r="H13" s="29">
        <f>IF($F13=TRUE,SACO_PALETE_EXT,SACO_PALETE_STD)</f>
        <v/>
      </c>
      <c r="I13" s="29">
        <f>G13*H13</f>
        <v/>
      </c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</row>
    <row r="14">
      <c r="A14" s="24" t="n"/>
      <c r="B14" s="18" t="n"/>
      <c r="C14" s="18" t="n"/>
      <c r="D14" s="18" t="n"/>
      <c r="E14" s="18" t="n"/>
      <c r="F14" s="18" t="n"/>
      <c r="G14" s="29">
        <f>IF($F14=TRUE,KG_SACO_EXT,KG_SACO_STD)</f>
        <v/>
      </c>
      <c r="H14" s="29">
        <f>IF($F14=TRUE,SACO_PALETE_EXT,SACO_PALETE_STD)</f>
        <v/>
      </c>
      <c r="I14" s="29">
        <f>G14*H14</f>
        <v/>
      </c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</row>
    <row r="15">
      <c r="A15" s="24" t="n"/>
      <c r="B15" s="18" t="n"/>
      <c r="C15" s="18" t="n"/>
      <c r="D15" s="18" t="n"/>
      <c r="E15" s="18" t="n"/>
      <c r="F15" s="18" t="n"/>
      <c r="G15" s="29">
        <f>IF($F15=TRUE,KG_SACO_EXT,KG_SACO_STD)</f>
        <v/>
      </c>
      <c r="H15" s="29">
        <f>IF($F15=TRUE,SACO_PALETE_EXT,SACO_PALETE_STD)</f>
        <v/>
      </c>
      <c r="I15" s="29">
        <f>G15*H15</f>
        <v/>
      </c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</row>
    <row r="16">
      <c r="A16" s="24" t="n"/>
      <c r="B16" s="18" t="n"/>
      <c r="C16" s="18" t="n"/>
      <c r="D16" s="18" t="n"/>
      <c r="E16" s="18" t="n"/>
      <c r="F16" s="18" t="n"/>
      <c r="G16" s="29">
        <f>IF($F16=TRUE,KG_SACO_EXT,KG_SACO_STD)</f>
        <v/>
      </c>
      <c r="H16" s="29">
        <f>IF($F16=TRUE,SACO_PALETE_EXT,SACO_PALETE_STD)</f>
        <v/>
      </c>
      <c r="I16" s="29">
        <f>G16*H16</f>
        <v/>
      </c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</row>
    <row r="17">
      <c r="A17" s="24" t="n"/>
      <c r="B17" s="18" t="n"/>
      <c r="C17" s="18" t="n"/>
      <c r="D17" s="18" t="n"/>
      <c r="E17" s="18" t="n"/>
      <c r="F17" s="18" t="n"/>
      <c r="G17" s="29">
        <f>IF($F17=TRUE,KG_SACO_EXT,KG_SACO_STD)</f>
        <v/>
      </c>
      <c r="H17" s="29">
        <f>IF($F17=TRUE,SACO_PALETE_EXT,SACO_PALETE_STD)</f>
        <v/>
      </c>
      <c r="I17" s="29">
        <f>G17*H17</f>
        <v/>
      </c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</row>
    <row r="18">
      <c r="A18" s="24" t="n"/>
      <c r="B18" s="18" t="n"/>
      <c r="C18" s="18" t="n"/>
      <c r="D18" s="18" t="n"/>
      <c r="E18" s="18" t="n"/>
      <c r="F18" s="18" t="n"/>
      <c r="G18" s="29">
        <f>IF($F18=TRUE,KG_SACO_EXT,KG_SACO_STD)</f>
        <v/>
      </c>
      <c r="H18" s="29">
        <f>IF($F18=TRUE,SACO_PALETE_EXT,SACO_PALETE_STD)</f>
        <v/>
      </c>
      <c r="I18" s="29">
        <f>G18*H18</f>
        <v/>
      </c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</row>
    <row r="19">
      <c r="A19" s="24" t="n"/>
      <c r="B19" s="18" t="n"/>
      <c r="C19" s="18" t="n"/>
      <c r="D19" s="18" t="n"/>
      <c r="E19" s="18" t="n"/>
      <c r="F19" s="18" t="n"/>
      <c r="G19" s="29">
        <f>IF($F19=TRUE,KG_SACO_EXT,KG_SACO_STD)</f>
        <v/>
      </c>
      <c r="H19" s="29">
        <f>IF($F19=TRUE,SACO_PALETE_EXT,SACO_PALETE_STD)</f>
        <v/>
      </c>
      <c r="I19" s="29">
        <f>G19*H19</f>
        <v/>
      </c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</row>
    <row r="20">
      <c r="A20" s="24" t="n"/>
      <c r="B20" s="18" t="n"/>
      <c r="C20" s="18" t="n"/>
      <c r="D20" s="18" t="n"/>
      <c r="E20" s="18" t="n"/>
      <c r="F20" s="18" t="n"/>
      <c r="G20" s="29">
        <f>IF($F20=TRUE,KG_SACO_EXT,KG_SACO_STD)</f>
        <v/>
      </c>
      <c r="H20" s="29">
        <f>IF($F20=TRUE,SACO_PALETE_EXT,SACO_PALETE_STD)</f>
        <v/>
      </c>
      <c r="I20" s="29">
        <f>G20*H20</f>
        <v/>
      </c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</row>
    <row r="21">
      <c r="A21" s="24" t="n"/>
      <c r="B21" s="18" t="n"/>
      <c r="C21" s="18" t="n"/>
      <c r="D21" s="18" t="n"/>
      <c r="E21" s="18" t="n"/>
      <c r="F21" s="18" t="n"/>
      <c r="G21" s="29">
        <f>IF($F21=TRUE,KG_SACO_EXT,KG_SACO_STD)</f>
        <v/>
      </c>
      <c r="H21" s="29">
        <f>IF($F21=TRUE,SACO_PALETE_EXT,SACO_PALETE_STD)</f>
        <v/>
      </c>
      <c r="I21" s="29">
        <f>G21*H21</f>
        <v/>
      </c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</row>
    <row r="22">
      <c r="A22" s="24" t="n"/>
      <c r="B22" s="18" t="n"/>
      <c r="C22" s="18" t="n"/>
      <c r="D22" s="18" t="n"/>
      <c r="E22" s="18" t="n"/>
      <c r="F22" s="18" t="n"/>
      <c r="G22" s="29">
        <f>IF($F22=TRUE,KG_SACO_EXT,KG_SACO_STD)</f>
        <v/>
      </c>
      <c r="H22" s="29">
        <f>IF($F22=TRUE,SACO_PALETE_EXT,SACO_PALETE_STD)</f>
        <v/>
      </c>
      <c r="I22" s="29">
        <f>G22*H22</f>
        <v/>
      </c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</row>
    <row r="23">
      <c r="A23" s="24" t="n"/>
      <c r="B23" s="18" t="n"/>
      <c r="C23" s="18" t="n"/>
      <c r="D23" s="18" t="n"/>
      <c r="E23" s="18" t="n"/>
      <c r="F23" s="18" t="n"/>
      <c r="G23" s="29">
        <f>IF($F23=TRUE,KG_SACO_EXT,KG_SACO_STD)</f>
        <v/>
      </c>
      <c r="H23" s="29">
        <f>IF($F23=TRUE,SACO_PALETE_EXT,SACO_PALETE_STD)</f>
        <v/>
      </c>
      <c r="I23" s="29">
        <f>G23*H23</f>
        <v/>
      </c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</row>
    <row r="24">
      <c r="A24" s="24" t="n"/>
      <c r="B24" s="18" t="n"/>
      <c r="C24" s="18" t="n"/>
      <c r="D24" s="18" t="n"/>
      <c r="E24" s="18" t="n"/>
      <c r="F24" s="18" t="n"/>
      <c r="G24" s="29">
        <f>IF($F24=TRUE,KG_SACO_EXT,KG_SACO_STD)</f>
        <v/>
      </c>
      <c r="H24" s="29">
        <f>IF($F24=TRUE,SACO_PALETE_EXT,SACO_PALETE_STD)</f>
        <v/>
      </c>
      <c r="I24" s="29">
        <f>G24*H24</f>
        <v/>
      </c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</row>
    <row r="25">
      <c r="A25" s="24" t="n"/>
      <c r="B25" s="18" t="n"/>
      <c r="C25" s="18" t="n"/>
      <c r="D25" s="18" t="n"/>
      <c r="E25" s="18" t="n"/>
      <c r="F25" s="18" t="n"/>
      <c r="G25" s="29">
        <f>IF($F25=TRUE,KG_SACO_EXT,KG_SACO_STD)</f>
        <v/>
      </c>
      <c r="H25" s="29">
        <f>IF($F25=TRUE,SACO_PALETE_EXT,SACO_PALETE_STD)</f>
        <v/>
      </c>
      <c r="I25" s="29">
        <f>G25*H25</f>
        <v/>
      </c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</row>
    <row r="26">
      <c r="A26" s="24" t="n"/>
      <c r="B26" s="18" t="n"/>
      <c r="C26" s="18" t="n"/>
      <c r="D26" s="18" t="n"/>
      <c r="E26" s="18" t="n"/>
      <c r="F26" s="18" t="n"/>
      <c r="G26" s="29">
        <f>IF($F26=TRUE,KG_SACO_EXT,KG_SACO_STD)</f>
        <v/>
      </c>
      <c r="H26" s="29">
        <f>IF($F26=TRUE,SACO_PALETE_EXT,SACO_PALETE_STD)</f>
        <v/>
      </c>
      <c r="I26" s="29">
        <f>G26*H26</f>
        <v/>
      </c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</row>
    <row r="27">
      <c r="A27" s="24" t="n"/>
      <c r="B27" s="18" t="n"/>
      <c r="C27" s="18" t="n"/>
      <c r="D27" s="18" t="n"/>
      <c r="E27" s="18" t="n"/>
      <c r="F27" s="18" t="n"/>
      <c r="G27" s="29">
        <f>IF($F27=TRUE,KG_SACO_EXT,KG_SACO_STD)</f>
        <v/>
      </c>
      <c r="H27" s="29">
        <f>IF($F27=TRUE,SACO_PALETE_EXT,SACO_PALETE_STD)</f>
        <v/>
      </c>
      <c r="I27" s="29">
        <f>G27*H27</f>
        <v/>
      </c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</row>
    <row r="28">
      <c r="A28" s="24" t="n"/>
      <c r="B28" s="18" t="n"/>
      <c r="C28" s="18" t="n"/>
      <c r="D28" s="18" t="n"/>
      <c r="E28" s="18" t="n"/>
      <c r="F28" s="18" t="n"/>
      <c r="G28" s="29">
        <f>IF($F28=TRUE,KG_SACO_EXT,KG_SACO_STD)</f>
        <v/>
      </c>
      <c r="H28" s="29">
        <f>IF($F28=TRUE,SACO_PALETE_EXT,SACO_PALETE_STD)</f>
        <v/>
      </c>
      <c r="I28" s="29">
        <f>G28*H28</f>
        <v/>
      </c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</row>
    <row r="29">
      <c r="A29" s="24" t="n"/>
      <c r="B29" s="18" t="n"/>
      <c r="C29" s="18" t="n"/>
      <c r="D29" s="18" t="n"/>
      <c r="E29" s="18" t="n"/>
      <c r="F29" s="18" t="n"/>
      <c r="G29" s="29">
        <f>IF($F29=TRUE,KG_SACO_EXT,KG_SACO_STD)</f>
        <v/>
      </c>
      <c r="H29" s="29">
        <f>IF($F29=TRUE,SACO_PALETE_EXT,SACO_PALETE_STD)</f>
        <v/>
      </c>
      <c r="I29" s="29">
        <f>G29*H29</f>
        <v/>
      </c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</row>
    <row r="30">
      <c r="A30" s="24" t="n"/>
      <c r="B30" s="18" t="n"/>
      <c r="C30" s="18" t="n"/>
      <c r="D30" s="18" t="n"/>
      <c r="E30" s="18" t="n"/>
      <c r="F30" s="18" t="n"/>
      <c r="G30" s="29">
        <f>IF($F30=TRUE,KG_SACO_EXT,KG_SACO_STD)</f>
        <v/>
      </c>
      <c r="H30" s="29">
        <f>IF($F30=TRUE,SACO_PALETE_EXT,SACO_PALETE_STD)</f>
        <v/>
      </c>
      <c r="I30" s="29">
        <f>G30*H30</f>
        <v/>
      </c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</row>
    <row r="31">
      <c r="A31" s="24" t="n"/>
      <c r="B31" s="18" t="n"/>
      <c r="C31" s="18" t="n"/>
      <c r="D31" s="18" t="n"/>
      <c r="E31" s="18" t="n"/>
      <c r="F31" s="18" t="n"/>
      <c r="G31" s="29">
        <f>IF($F31=TRUE,KG_SACO_EXT,KG_SACO_STD)</f>
        <v/>
      </c>
      <c r="H31" s="29">
        <f>IF($F31=TRUE,SACO_PALETE_EXT,SACO_PALETE_STD)</f>
        <v/>
      </c>
      <c r="I31" s="29">
        <f>G31*H31</f>
        <v/>
      </c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</row>
    <row r="32">
      <c r="A32" s="24" t="n"/>
      <c r="B32" s="18" t="n"/>
      <c r="C32" s="18" t="n"/>
      <c r="D32" s="18" t="n"/>
      <c r="E32" s="18" t="n"/>
      <c r="F32" s="18" t="n"/>
      <c r="G32" s="29">
        <f>IF($F32=TRUE,KG_SACO_EXT,KG_SACO_STD)</f>
        <v/>
      </c>
      <c r="H32" s="29">
        <f>IF($F32=TRUE,SACO_PALETE_EXT,SACO_PALETE_STD)</f>
        <v/>
      </c>
      <c r="I32" s="29">
        <f>G32*H32</f>
        <v/>
      </c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</row>
    <row r="33">
      <c r="A33" s="24" t="n"/>
      <c r="B33" s="18" t="n"/>
      <c r="C33" s="18" t="n"/>
      <c r="D33" s="18" t="n"/>
      <c r="E33" s="18" t="n"/>
      <c r="F33" s="18" t="n"/>
      <c r="G33" s="29">
        <f>IF($F33=TRUE,KG_SACO_EXT,KG_SACO_STD)</f>
        <v/>
      </c>
      <c r="H33" s="29">
        <f>IF($F33=TRUE,SACO_PALETE_EXT,SACO_PALETE_STD)</f>
        <v/>
      </c>
      <c r="I33" s="29">
        <f>G33*H33</f>
        <v/>
      </c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</row>
    <row r="34">
      <c r="A34" s="24" t="n"/>
      <c r="B34" s="18" t="n"/>
      <c r="C34" s="18" t="n"/>
      <c r="D34" s="18" t="n"/>
      <c r="E34" s="18" t="n"/>
      <c r="F34" s="18" t="n"/>
      <c r="G34" s="29">
        <f>IF($F34=TRUE,KG_SACO_EXT,KG_SACO_STD)</f>
        <v/>
      </c>
      <c r="H34" s="29">
        <f>IF($F34=TRUE,SACO_PALETE_EXT,SACO_PALETE_STD)</f>
        <v/>
      </c>
      <c r="I34" s="29">
        <f>G34*H34</f>
        <v/>
      </c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</row>
    <row r="35">
      <c r="A35" s="24" t="n"/>
      <c r="B35" s="18" t="n"/>
      <c r="C35" s="18" t="n"/>
      <c r="D35" s="18" t="n"/>
      <c r="E35" s="18" t="n"/>
      <c r="F35" s="18" t="n"/>
      <c r="G35" s="29">
        <f>IF($F35=TRUE,KG_SACO_EXT,KG_SACO_STD)</f>
        <v/>
      </c>
      <c r="H35" s="29">
        <f>IF($F35=TRUE,SACO_PALETE_EXT,SACO_PALETE_STD)</f>
        <v/>
      </c>
      <c r="I35" s="29">
        <f>G35*H35</f>
        <v/>
      </c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</row>
    <row r="36">
      <c r="A36" s="24" t="n"/>
      <c r="B36" s="18" t="n"/>
      <c r="C36" s="18" t="n"/>
      <c r="D36" s="18" t="n"/>
      <c r="E36" s="18" t="n"/>
      <c r="F36" s="18" t="n"/>
      <c r="G36" s="29">
        <f>IF($F36=TRUE,KG_SACO_EXT,KG_SACO_STD)</f>
        <v/>
      </c>
      <c r="H36" s="29">
        <f>IF($F36=TRUE,SACO_PALETE_EXT,SACO_PALETE_STD)</f>
        <v/>
      </c>
      <c r="I36" s="29">
        <f>G36*H36</f>
        <v/>
      </c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</row>
    <row r="37">
      <c r="A37" s="24" t="n"/>
      <c r="B37" s="18" t="n"/>
      <c r="C37" s="18" t="n"/>
      <c r="D37" s="18" t="n"/>
      <c r="E37" s="18" t="n"/>
      <c r="F37" s="18" t="n"/>
      <c r="G37" s="29">
        <f>IF($F37=TRUE,KG_SACO_EXT,KG_SACO_STD)</f>
        <v/>
      </c>
      <c r="H37" s="29">
        <f>IF($F37=TRUE,SACO_PALETE_EXT,SACO_PALETE_STD)</f>
        <v/>
      </c>
      <c r="I37" s="29">
        <f>G37*H37</f>
        <v/>
      </c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</row>
    <row r="38">
      <c r="A38" s="24" t="n"/>
      <c r="B38" s="18" t="n"/>
      <c r="C38" s="18" t="n"/>
      <c r="D38" s="18" t="n"/>
      <c r="E38" s="18" t="n"/>
      <c r="F38" s="18" t="n"/>
      <c r="G38" s="29">
        <f>IF($F38=TRUE,KG_SACO_EXT,KG_SACO_STD)</f>
        <v/>
      </c>
      <c r="H38" s="29">
        <f>IF($F38=TRUE,SACO_PALETE_EXT,SACO_PALETE_STD)</f>
        <v/>
      </c>
      <c r="I38" s="29">
        <f>G38*H38</f>
        <v/>
      </c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</row>
    <row r="39">
      <c r="A39" s="24" t="n"/>
      <c r="B39" s="18" t="n"/>
      <c r="C39" s="18" t="n"/>
      <c r="D39" s="18" t="n"/>
      <c r="E39" s="18" t="n"/>
      <c r="F39" s="18" t="n"/>
      <c r="G39" s="29">
        <f>IF($F39=TRUE,KG_SACO_EXT,KG_SACO_STD)</f>
        <v/>
      </c>
      <c r="H39" s="29">
        <f>IF($F39=TRUE,SACO_PALETE_EXT,SACO_PALETE_STD)</f>
        <v/>
      </c>
      <c r="I39" s="29">
        <f>G39*H39</f>
        <v/>
      </c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</row>
    <row r="40">
      <c r="A40" s="24" t="n"/>
      <c r="B40" s="18" t="n"/>
      <c r="C40" s="18" t="n"/>
      <c r="D40" s="18" t="n"/>
      <c r="E40" s="18" t="n"/>
      <c r="F40" s="18" t="n"/>
      <c r="G40" s="29">
        <f>IF($F40=TRUE,KG_SACO_EXT,KG_SACO_STD)</f>
        <v/>
      </c>
      <c r="H40" s="29">
        <f>IF($F40=TRUE,SACO_PALETE_EXT,SACO_PALETE_STD)</f>
        <v/>
      </c>
      <c r="I40" s="29">
        <f>G40*H40</f>
        <v/>
      </c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</row>
    <row r="41">
      <c r="A41" s="24" t="n"/>
      <c r="B41" s="18" t="n"/>
      <c r="C41" s="18" t="n"/>
      <c r="D41" s="18" t="n"/>
      <c r="E41" s="18" t="n"/>
      <c r="F41" s="18" t="n"/>
      <c r="G41" s="29">
        <f>IF($F41=TRUE,KG_SACO_EXT,KG_SACO_STD)</f>
        <v/>
      </c>
      <c r="H41" s="29">
        <f>IF($F41=TRUE,SACO_PALETE_EXT,SACO_PALETE_STD)</f>
        <v/>
      </c>
      <c r="I41" s="29">
        <f>G41*H41</f>
        <v/>
      </c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</row>
    <row r="42">
      <c r="A42" s="24" t="n"/>
      <c r="B42" s="18" t="n"/>
      <c r="C42" s="18" t="n"/>
      <c r="D42" s="18" t="n"/>
      <c r="E42" s="18" t="n"/>
      <c r="F42" s="18" t="n"/>
      <c r="G42" s="29">
        <f>IF($F42=TRUE,KG_SACO_EXT,KG_SACO_STD)</f>
        <v/>
      </c>
      <c r="H42" s="29">
        <f>IF($F42=TRUE,SACO_PALETE_EXT,SACO_PALETE_STD)</f>
        <v/>
      </c>
      <c r="I42" s="29">
        <f>G42*H42</f>
        <v/>
      </c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</row>
    <row r="43">
      <c r="A43" s="24" t="n"/>
      <c r="B43" s="18" t="n"/>
      <c r="C43" s="18" t="n"/>
      <c r="D43" s="18" t="n"/>
      <c r="E43" s="18" t="n"/>
      <c r="F43" s="18" t="n"/>
      <c r="G43" s="29">
        <f>IF($F43=TRUE,KG_SACO_EXT,KG_SACO_STD)</f>
        <v/>
      </c>
      <c r="H43" s="29">
        <f>IF($F43=TRUE,SACO_PALETE_EXT,SACO_PALETE_STD)</f>
        <v/>
      </c>
      <c r="I43" s="29">
        <f>G43*H43</f>
        <v/>
      </c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</row>
    <row r="44">
      <c r="A44" s="24" t="n"/>
      <c r="B44" s="18" t="n"/>
      <c r="C44" s="18" t="n"/>
      <c r="D44" s="18" t="n"/>
      <c r="E44" s="18" t="n"/>
      <c r="F44" s="18" t="n"/>
      <c r="G44" s="29">
        <f>IF($F44=TRUE,KG_SACO_EXT,KG_SACO_STD)</f>
        <v/>
      </c>
      <c r="H44" s="29">
        <f>IF($F44=TRUE,SACO_PALETE_EXT,SACO_PALETE_STD)</f>
        <v/>
      </c>
      <c r="I44" s="29">
        <f>G44*H44</f>
        <v/>
      </c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</row>
    <row r="45">
      <c r="A45" s="24" t="n"/>
      <c r="B45" s="18" t="n"/>
      <c r="C45" s="18" t="n"/>
      <c r="D45" s="18" t="n"/>
      <c r="E45" s="18" t="n"/>
      <c r="F45" s="18" t="n"/>
      <c r="G45" s="29">
        <f>IF($F45=TRUE,KG_SACO_EXT,KG_SACO_STD)</f>
        <v/>
      </c>
      <c r="H45" s="29">
        <f>IF($F45=TRUE,SACO_PALETE_EXT,SACO_PALETE_STD)</f>
        <v/>
      </c>
      <c r="I45" s="29">
        <f>G45*H45</f>
        <v/>
      </c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</row>
    <row r="46">
      <c r="A46" s="24" t="n"/>
      <c r="B46" s="18" t="n"/>
      <c r="C46" s="18" t="n"/>
      <c r="D46" s="18" t="n"/>
      <c r="E46" s="18" t="n"/>
      <c r="F46" s="18" t="n"/>
      <c r="G46" s="29">
        <f>IF($F46=TRUE,KG_SACO_EXT,KG_SACO_STD)</f>
        <v/>
      </c>
      <c r="H46" s="29">
        <f>IF($F46=TRUE,SACO_PALETE_EXT,SACO_PALETE_STD)</f>
        <v/>
      </c>
      <c r="I46" s="29">
        <f>G46*H46</f>
        <v/>
      </c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</row>
  </sheetData>
  <mergeCells count="8">
    <mergeCell ref="F4:G4"/>
    <mergeCell ref="J4:K4"/>
    <mergeCell ref="A2:S2"/>
    <mergeCell ref="L4:M4"/>
    <mergeCell ref="A1:S1"/>
    <mergeCell ref="D4:E4"/>
    <mergeCell ref="H4:I4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P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8" customWidth="1" min="4" max="4"/>
    <col width="12" customWidth="1" min="5" max="5"/>
    <col width="20" customWidth="1" min="6" max="6"/>
    <col width="16" customWidth="1" min="7" max="7"/>
    <col width="12" customWidth="1" min="8" max="8"/>
    <col width="14" customWidth="1" min="9" max="9"/>
    <col width="10" customWidth="1" min="10" max="10"/>
    <col width="16" customWidth="1" min="11" max="11"/>
    <col width="16" customWidth="1" min="12" max="12"/>
    <col width="12" customWidth="1" min="13" max="13"/>
    <col width="12" customWidth="1" min="14" max="14"/>
    <col width="12" customWidth="1" min="15" max="15"/>
    <col width="26" customWidth="1" min="16" max="16"/>
  </cols>
  <sheetData>
    <row r="1" ht="26" customHeight="1">
      <c r="A1" s="1" t="inlineStr">
        <is>
          <t>MATERIALS</t>
        </is>
      </c>
    </row>
    <row r="2">
      <c r="A2" s="2" t="inlineStr">
        <is>
          <t>Cada MP tem chave unica, funcao tecnica e substituto. Recuperabilidade tributaria alimenta o Landed Net Cost.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MATERIAL_ID</t>
        </is>
      </c>
      <c r="B6" s="5" t="inlineStr">
        <is>
          <t>Descricao</t>
        </is>
      </c>
      <c r="C6" s="5" t="inlineStr">
        <is>
          <t>Grupo</t>
        </is>
      </c>
      <c r="D6" s="5" t="inlineStr">
        <is>
          <t>Unid.</t>
        </is>
      </c>
      <c r="E6" s="5" t="inlineStr">
        <is>
          <t>NCM</t>
        </is>
      </c>
      <c r="F6" s="5" t="inlineStr">
        <is>
          <t>Funcao tecnica</t>
        </is>
      </c>
      <c r="G6" s="5" t="inlineStr">
        <is>
          <t>Substituto (MATERIAL_ID)</t>
        </is>
      </c>
      <c r="H6" s="5" t="inlineStr">
        <is>
          <t>Recuperavel ICMS?</t>
        </is>
      </c>
      <c r="I6" s="5" t="inlineStr">
        <is>
          <t>Recuperavel PIS/COFINS?</t>
        </is>
      </c>
      <c r="J6" s="5" t="inlineStr">
        <is>
          <t>Classe (A/B/C)</t>
        </is>
      </c>
      <c r="K6" s="5" t="inlineStr">
        <is>
          <t>Fonte</t>
        </is>
      </c>
      <c r="L6" s="5" t="inlineStr">
        <is>
          <t>Responsavel</t>
        </is>
      </c>
      <c r="M6" s="5" t="inlineStr">
        <is>
          <t>Vigencia ini</t>
        </is>
      </c>
      <c r="N6" s="5" t="inlineStr">
        <is>
          <t>Vigencia fim</t>
        </is>
      </c>
      <c r="O6" s="5" t="inlineStr">
        <is>
          <t>Atualizado em</t>
        </is>
      </c>
      <c r="P6" s="5" t="inlineStr">
        <is>
          <t>Comentario</t>
        </is>
      </c>
    </row>
    <row r="7" ht="15" customHeight="1">
      <c r="A7" s="24" t="inlineStr">
        <is>
          <t>M001</t>
        </is>
      </c>
      <c r="B7" s="18" t="inlineStr">
        <is>
          <t>Cimento CP-II-32</t>
        </is>
      </c>
      <c r="C7" s="18" t="inlineStr">
        <is>
          <t>Aglomerante</t>
        </is>
      </c>
      <c r="D7" s="18" t="inlineStr">
        <is>
          <t>t</t>
        </is>
      </c>
      <c r="E7" s="18" t="inlineStr">
        <is>
          <t>2523.29.10</t>
        </is>
      </c>
      <c r="F7" s="18" t="inlineStr">
        <is>
          <t>Aglomerante estrutural</t>
        </is>
      </c>
      <c r="G7" s="18" t="inlineStr"/>
      <c r="H7" s="18" t="inlineStr">
        <is>
          <t>Sim</t>
        </is>
      </c>
      <c r="I7" s="18" t="inlineStr">
        <is>
          <t>Sim</t>
        </is>
      </c>
      <c r="J7" s="18" t="inlineStr">
        <is>
          <t>A</t>
        </is>
      </c>
      <c r="K7" s="18" t="n"/>
      <c r="L7" s="18" t="n"/>
      <c r="M7" s="26" t="n"/>
      <c r="N7" s="26" t="n"/>
      <c r="O7" s="26" t="n"/>
      <c r="P7" s="18" t="n"/>
    </row>
    <row r="8" ht="15" customHeight="1">
      <c r="A8" s="24" t="inlineStr">
        <is>
          <t>M002</t>
        </is>
      </c>
      <c r="B8" s="18" t="inlineStr">
        <is>
          <t>Areia industrial seca</t>
        </is>
      </c>
      <c r="C8" s="18" t="inlineStr">
        <is>
          <t>Agregado</t>
        </is>
      </c>
      <c r="D8" s="18" t="inlineStr">
        <is>
          <t>t</t>
        </is>
      </c>
      <c r="E8" s="18" t="inlineStr">
        <is>
          <t>2505.10.00</t>
        </is>
      </c>
      <c r="F8" s="18" t="inlineStr">
        <is>
          <t>Agregado/carga</t>
        </is>
      </c>
      <c r="G8" s="18" t="inlineStr"/>
      <c r="H8" s="18" t="inlineStr">
        <is>
          <t>Sim</t>
        </is>
      </c>
      <c r="I8" s="18" t="inlineStr">
        <is>
          <t>Sim</t>
        </is>
      </c>
      <c r="J8" s="18" t="inlineStr">
        <is>
          <t>A</t>
        </is>
      </c>
      <c r="K8" s="18" t="n"/>
      <c r="L8" s="18" t="n"/>
      <c r="M8" s="26" t="n"/>
      <c r="N8" s="26" t="n"/>
      <c r="O8" s="26" t="n"/>
      <c r="P8" s="18" t="n"/>
    </row>
    <row r="9" ht="15" customHeight="1">
      <c r="A9" s="24" t="inlineStr">
        <is>
          <t>M003</t>
        </is>
      </c>
      <c r="B9" s="18" t="inlineStr">
        <is>
          <t>Cal hidratada CH-I</t>
        </is>
      </c>
      <c r="C9" s="18" t="inlineStr">
        <is>
          <t>Aglomerante</t>
        </is>
      </c>
      <c r="D9" s="18" t="inlineStr">
        <is>
          <t>t</t>
        </is>
      </c>
      <c r="E9" s="18" t="inlineStr">
        <is>
          <t>2522.20.00</t>
        </is>
      </c>
      <c r="F9" s="18" t="inlineStr">
        <is>
          <t>Plastificante/retencao</t>
        </is>
      </c>
      <c r="G9" s="18" t="inlineStr"/>
      <c r="H9" s="18" t="inlineStr">
        <is>
          <t>Sim</t>
        </is>
      </c>
      <c r="I9" s="18" t="inlineStr">
        <is>
          <t>Sim</t>
        </is>
      </c>
      <c r="J9" s="18" t="inlineStr">
        <is>
          <t>B</t>
        </is>
      </c>
      <c r="K9" s="18" t="n"/>
      <c r="L9" s="18" t="n"/>
      <c r="M9" s="26" t="n"/>
      <c r="N9" s="26" t="n"/>
      <c r="O9" s="26" t="n"/>
      <c r="P9" s="18" t="n"/>
    </row>
    <row r="10" ht="15" customHeight="1">
      <c r="A10" s="24" t="inlineStr">
        <is>
          <t>M004</t>
        </is>
      </c>
      <c r="B10" s="18" t="inlineStr">
        <is>
          <t>Aditivo retentor de agua (HEC)</t>
        </is>
      </c>
      <c r="C10" s="18" t="inlineStr">
        <is>
          <t>Aditivo</t>
        </is>
      </c>
      <c r="D10" s="18" t="inlineStr">
        <is>
          <t>kg</t>
        </is>
      </c>
      <c r="E10" s="18" t="inlineStr">
        <is>
          <t>3912.39.00</t>
        </is>
      </c>
      <c r="F10" s="18" t="inlineStr">
        <is>
          <t>Retencao de agua/trabalhab.</t>
        </is>
      </c>
      <c r="G10" s="18" t="inlineStr"/>
      <c r="H10" s="18" t="inlineStr">
        <is>
          <t>Sim</t>
        </is>
      </c>
      <c r="I10" s="18" t="inlineStr">
        <is>
          <t>Sim</t>
        </is>
      </c>
      <c r="J10" s="18" t="inlineStr">
        <is>
          <t>B</t>
        </is>
      </c>
      <c r="K10" s="18" t="n"/>
      <c r="L10" s="18" t="n"/>
      <c r="M10" s="26" t="n"/>
      <c r="N10" s="26" t="n"/>
      <c r="O10" s="26" t="n"/>
      <c r="P10" s="18" t="n"/>
    </row>
    <row r="11" ht="15" customHeight="1">
      <c r="A11" s="24" t="inlineStr">
        <is>
          <t>M005</t>
        </is>
      </c>
      <c r="B11" s="18" t="inlineStr">
        <is>
          <t>Pigmento oxido de ferro</t>
        </is>
      </c>
      <c r="C11" s="18" t="inlineStr">
        <is>
          <t>Aditivo</t>
        </is>
      </c>
      <c r="D11" s="18" t="inlineStr">
        <is>
          <t>kg</t>
        </is>
      </c>
      <c r="E11" s="18" t="inlineStr">
        <is>
          <t>2821.10.00</t>
        </is>
      </c>
      <c r="F11" s="18" t="inlineStr">
        <is>
          <t>Coloracao</t>
        </is>
      </c>
      <c r="G11" s="18" t="inlineStr"/>
      <c r="H11" s="18" t="inlineStr">
        <is>
          <t>Sim</t>
        </is>
      </c>
      <c r="I11" s="18" t="inlineStr">
        <is>
          <t>Sim</t>
        </is>
      </c>
      <c r="J11" s="18" t="inlineStr">
        <is>
          <t>C</t>
        </is>
      </c>
      <c r="K11" s="18" t="n"/>
      <c r="L11" s="18" t="n"/>
      <c r="M11" s="26" t="n"/>
      <c r="N11" s="26" t="n"/>
      <c r="O11" s="26" t="n"/>
      <c r="P11" s="18" t="n"/>
    </row>
    <row r="12" ht="15" customHeight="1">
      <c r="A12" s="24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26" t="n"/>
      <c r="N12" s="26" t="n"/>
      <c r="O12" s="26" t="n"/>
      <c r="P12" s="18" t="n"/>
    </row>
    <row r="13" ht="15" customHeight="1">
      <c r="A13" s="27" t="inlineStr">
        <is>
          <t>^ Linhas acima = dados DEMO (marcados). Abaixo: campos de entrada em branco para dados reais.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26" t="n"/>
      <c r="N13" s="26" t="n"/>
      <c r="O13" s="26" t="n"/>
      <c r="P13" s="18" t="n"/>
    </row>
    <row r="14" ht="15" customHeight="1">
      <c r="A14" s="24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26" t="n"/>
      <c r="N14" s="26" t="n"/>
      <c r="O14" s="26" t="n"/>
      <c r="P14" s="18" t="n"/>
    </row>
    <row r="15" ht="15" customHeight="1">
      <c r="A15" s="24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26" t="n"/>
      <c r="N15" s="26" t="n"/>
      <c r="O15" s="26" t="n"/>
      <c r="P15" s="18" t="n"/>
    </row>
    <row r="16" ht="15" customHeight="1">
      <c r="A16" s="24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26" t="n"/>
      <c r="N16" s="26" t="n"/>
      <c r="O16" s="26" t="n"/>
      <c r="P16" s="18" t="n"/>
    </row>
    <row r="17" ht="15" customHeight="1">
      <c r="A17" s="24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26" t="n"/>
      <c r="N17" s="26" t="n"/>
      <c r="O17" s="26" t="n"/>
      <c r="P17" s="18" t="n"/>
    </row>
    <row r="18" ht="15" customHeight="1">
      <c r="A18" s="24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26" t="n"/>
      <c r="N18" s="26" t="n"/>
      <c r="O18" s="26" t="n"/>
      <c r="P18" s="18" t="n"/>
    </row>
    <row r="19" ht="15" customHeight="1">
      <c r="A19" s="24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26" t="n"/>
      <c r="N19" s="26" t="n"/>
      <c r="O19" s="26" t="n"/>
      <c r="P19" s="18" t="n"/>
    </row>
    <row r="20" ht="15" customHeight="1">
      <c r="A20" s="24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26" t="n"/>
      <c r="N20" s="26" t="n"/>
      <c r="O20" s="26" t="n"/>
      <c r="P20" s="18" t="n"/>
    </row>
    <row r="21" ht="15" customHeight="1">
      <c r="A21" s="24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26" t="n"/>
      <c r="N21" s="26" t="n"/>
      <c r="O21" s="26" t="n"/>
      <c r="P21" s="18" t="n"/>
    </row>
    <row r="22" ht="15" customHeight="1">
      <c r="A22" s="24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26" t="n"/>
      <c r="N22" s="26" t="n"/>
      <c r="O22" s="26" t="n"/>
      <c r="P22" s="18" t="n"/>
    </row>
    <row r="23" ht="15" customHeight="1">
      <c r="A23" s="24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26" t="n"/>
      <c r="N23" s="26" t="n"/>
      <c r="O23" s="26" t="n"/>
      <c r="P23" s="18" t="n"/>
    </row>
    <row r="24" ht="15" customHeight="1">
      <c r="A24" s="24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26" t="n"/>
      <c r="N24" s="26" t="n"/>
      <c r="O24" s="26" t="n"/>
      <c r="P24" s="18" t="n"/>
    </row>
    <row r="25" ht="15" customHeight="1">
      <c r="A25" s="24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26" t="n"/>
      <c r="N25" s="26" t="n"/>
      <c r="O25" s="26" t="n"/>
      <c r="P25" s="18" t="n"/>
    </row>
    <row r="26" ht="15" customHeight="1">
      <c r="A26" s="24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26" t="n"/>
      <c r="N26" s="26" t="n"/>
      <c r="O26" s="26" t="n"/>
      <c r="P26" s="18" t="n"/>
    </row>
    <row r="27" ht="15" customHeight="1">
      <c r="A27" s="24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26" t="n"/>
      <c r="N27" s="26" t="n"/>
      <c r="O27" s="26" t="n"/>
      <c r="P27" s="18" t="n"/>
    </row>
    <row r="28" ht="15" customHeight="1">
      <c r="A28" s="24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26" t="n"/>
      <c r="N28" s="26" t="n"/>
      <c r="O28" s="26" t="n"/>
      <c r="P28" s="18" t="n"/>
    </row>
    <row r="29" ht="15" customHeight="1">
      <c r="A29" s="24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26" t="n"/>
      <c r="N29" s="26" t="n"/>
      <c r="O29" s="26" t="n"/>
      <c r="P29" s="18" t="n"/>
    </row>
    <row r="30" ht="15" customHeight="1">
      <c r="A30" s="24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26" t="n"/>
      <c r="N30" s="26" t="n"/>
      <c r="O30" s="26" t="n"/>
      <c r="P30" s="18" t="n"/>
    </row>
    <row r="31" ht="15" customHeight="1">
      <c r="A31" s="24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26" t="n"/>
      <c r="N31" s="26" t="n"/>
      <c r="O31" s="26" t="n"/>
      <c r="P31" s="18" t="n"/>
    </row>
    <row r="32" ht="15" customHeight="1">
      <c r="A32" s="24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26" t="n"/>
      <c r="N32" s="26" t="n"/>
      <c r="O32" s="26" t="n"/>
      <c r="P32" s="18" t="n"/>
    </row>
    <row r="33" ht="15" customHeight="1">
      <c r="A33" s="24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26" t="n"/>
      <c r="N33" s="26" t="n"/>
      <c r="O33" s="26" t="n"/>
      <c r="P33" s="18" t="n"/>
    </row>
    <row r="34" ht="15" customHeight="1">
      <c r="A34" s="24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26" t="n"/>
      <c r="N34" s="26" t="n"/>
      <c r="O34" s="26" t="n"/>
      <c r="P34" s="18" t="n"/>
    </row>
    <row r="35" ht="15" customHeight="1">
      <c r="A35" s="24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26" t="n"/>
      <c r="N35" s="26" t="n"/>
      <c r="O35" s="26" t="n"/>
      <c r="P35" s="18" t="n"/>
    </row>
    <row r="36" ht="15" customHeight="1">
      <c r="A36" s="24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26" t="n"/>
      <c r="N36" s="26" t="n"/>
      <c r="O36" s="26" t="n"/>
      <c r="P36" s="18" t="n"/>
    </row>
    <row r="37" ht="15" customHeight="1">
      <c r="A37" s="24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26" t="n"/>
      <c r="N37" s="26" t="n"/>
      <c r="O37" s="26" t="n"/>
      <c r="P37" s="18" t="n"/>
    </row>
    <row r="38" ht="15" customHeight="1">
      <c r="A38" s="24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26" t="n"/>
      <c r="N38" s="26" t="n"/>
      <c r="O38" s="26" t="n"/>
      <c r="P38" s="18" t="n"/>
    </row>
    <row r="39" ht="15" customHeight="1">
      <c r="A39" s="24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26" t="n"/>
      <c r="N39" s="26" t="n"/>
      <c r="O39" s="26" t="n"/>
      <c r="P39" s="18" t="n"/>
    </row>
    <row r="40" ht="15" customHeight="1">
      <c r="A40" s="24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26" t="n"/>
      <c r="N40" s="26" t="n"/>
      <c r="O40" s="26" t="n"/>
      <c r="P40" s="18" t="n"/>
    </row>
    <row r="41" ht="15" customHeight="1">
      <c r="A41" s="24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26" t="n"/>
      <c r="N41" s="26" t="n"/>
      <c r="O41" s="26" t="n"/>
      <c r="P41" s="18" t="n"/>
    </row>
    <row r="42" ht="15" customHeight="1">
      <c r="A42" s="24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26" t="n"/>
      <c r="N42" s="26" t="n"/>
      <c r="O42" s="26" t="n"/>
      <c r="P42" s="18" t="n"/>
    </row>
    <row r="43" ht="15" customHeight="1">
      <c r="A43" s="24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26" t="n"/>
      <c r="N43" s="26" t="n"/>
      <c r="O43" s="26" t="n"/>
      <c r="P43" s="18" t="n"/>
    </row>
    <row r="44" ht="15" customHeight="1">
      <c r="A44" s="24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26" t="n"/>
      <c r="N44" s="26" t="n"/>
      <c r="O44" s="26" t="n"/>
      <c r="P44" s="18" t="n"/>
    </row>
    <row r="45" ht="15" customHeight="1">
      <c r="A45" s="24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26" t="n"/>
      <c r="N45" s="26" t="n"/>
      <c r="O45" s="26" t="n"/>
      <c r="P45" s="18" t="n"/>
    </row>
    <row r="46" ht="15" customHeight="1">
      <c r="A46" s="24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26" t="n"/>
      <c r="N46" s="26" t="n"/>
      <c r="O46" s="26" t="n"/>
      <c r="P46" s="18" t="n"/>
    </row>
    <row r="47" ht="15" customHeight="1">
      <c r="A47" s="24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26" t="n"/>
      <c r="N47" s="26" t="n"/>
      <c r="O47" s="26" t="n"/>
      <c r="P47" s="18" t="n"/>
    </row>
    <row r="48" ht="15" customHeight="1">
      <c r="A48" s="24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26" t="n"/>
      <c r="N48" s="26" t="n"/>
      <c r="O48" s="26" t="n"/>
      <c r="P48" s="18" t="n"/>
    </row>
    <row r="49" ht="15" customHeight="1">
      <c r="A49" s="24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26" t="n"/>
      <c r="N49" s="26" t="n"/>
      <c r="O49" s="26" t="n"/>
      <c r="P49" s="18" t="n"/>
    </row>
    <row r="50" ht="15" customHeight="1">
      <c r="A50" s="24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26" t="n"/>
      <c r="N50" s="26" t="n"/>
      <c r="O50" s="26" t="n"/>
      <c r="P50" s="18" t="n"/>
    </row>
    <row r="51" ht="15" customHeight="1">
      <c r="A51" s="24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26" t="n"/>
      <c r="N51" s="26" t="n"/>
      <c r="O51" s="26" t="n"/>
      <c r="P51" s="18" t="n"/>
    </row>
    <row r="52" ht="15" customHeight="1">
      <c r="A52" s="24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26" t="n"/>
      <c r="N52" s="26" t="n"/>
      <c r="O52" s="26" t="n"/>
      <c r="P52" s="18" t="n"/>
    </row>
    <row r="53" ht="15" customHeight="1">
      <c r="A53" s="24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26" t="n"/>
      <c r="N53" s="26" t="n"/>
      <c r="O53" s="26" t="n"/>
      <c r="P53" s="18" t="n"/>
    </row>
    <row r="54" ht="15" customHeight="1">
      <c r="A54" s="24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26" t="n"/>
      <c r="N54" s="26" t="n"/>
      <c r="O54" s="26" t="n"/>
      <c r="P54" s="18" t="n"/>
    </row>
    <row r="55" ht="15" customHeight="1">
      <c r="A55" s="24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26" t="n"/>
      <c r="N55" s="26" t="n"/>
      <c r="O55" s="26" t="n"/>
      <c r="P55" s="18" t="n"/>
    </row>
    <row r="56" ht="15" customHeight="1">
      <c r="A56" s="24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26" t="n"/>
      <c r="N56" s="26" t="n"/>
      <c r="O56" s="26" t="n"/>
      <c r="P56" s="18" t="n"/>
    </row>
    <row r="57" ht="15" customHeight="1">
      <c r="A57" s="24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26" t="n"/>
      <c r="N57" s="26" t="n"/>
      <c r="O57" s="26" t="n"/>
      <c r="P57" s="18" t="n"/>
    </row>
    <row r="58" ht="15" customHeight="1">
      <c r="A58" s="24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26" t="n"/>
      <c r="N58" s="26" t="n"/>
      <c r="O58" s="26" t="n"/>
      <c r="P58" s="18" t="n"/>
    </row>
    <row r="59" ht="15" customHeight="1">
      <c r="A59" s="24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26" t="n"/>
      <c r="N59" s="26" t="n"/>
      <c r="O59" s="26" t="n"/>
      <c r="P59" s="18" t="n"/>
    </row>
    <row r="60" ht="15" customHeight="1">
      <c r="A60" s="24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26" t="n"/>
      <c r="N60" s="26" t="n"/>
      <c r="O60" s="26" t="n"/>
      <c r="P60" s="18" t="n"/>
    </row>
    <row r="61" ht="15" customHeight="1">
      <c r="A61" s="24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26" t="n"/>
      <c r="N61" s="26" t="n"/>
      <c r="O61" s="26" t="n"/>
      <c r="P61" s="18" t="n"/>
    </row>
    <row r="62" ht="15" customHeight="1">
      <c r="A62" s="24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26" t="n"/>
      <c r="N62" s="26" t="n"/>
      <c r="O62" s="26" t="n"/>
      <c r="P62" s="18" t="n"/>
    </row>
    <row r="63" ht="15" customHeight="1">
      <c r="A63" s="24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26" t="n"/>
      <c r="N63" s="26" t="n"/>
      <c r="O63" s="26" t="n"/>
      <c r="P63" s="18" t="n"/>
    </row>
    <row r="64" ht="15" customHeight="1">
      <c r="A64" s="24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26" t="n"/>
      <c r="N64" s="26" t="n"/>
      <c r="O64" s="26" t="n"/>
      <c r="P64" s="18" t="n"/>
    </row>
    <row r="65" ht="15" customHeight="1">
      <c r="A65" s="24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26" t="n"/>
      <c r="N65" s="26" t="n"/>
      <c r="O65" s="26" t="n"/>
      <c r="P65" s="18" t="n"/>
    </row>
    <row r="66" ht="15" customHeight="1">
      <c r="A66" s="24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26" t="n"/>
      <c r="N66" s="26" t="n"/>
      <c r="O66" s="26" t="n"/>
      <c r="P66" s="18" t="n"/>
    </row>
  </sheetData>
  <mergeCells count="8">
    <mergeCell ref="F4:G4"/>
    <mergeCell ref="J4:K4"/>
    <mergeCell ref="L4:M4"/>
    <mergeCell ref="A1:P1"/>
    <mergeCell ref="D4:E4"/>
    <mergeCell ref="H4:I4"/>
    <mergeCell ref="B4:C4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O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26" customWidth="1" min="15" max="15"/>
  </cols>
  <sheetData>
    <row r="1" ht="26" customHeight="1">
      <c r="A1" s="1" t="inlineStr">
        <is>
          <t>SUPPLIERS</t>
        </is>
      </c>
    </row>
    <row r="2">
      <c r="A2" s="2" t="inlineStr">
        <is>
          <t>Base para Landed Cost, Supplier TCO e Should Cost.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SUPPLIER_ID</t>
        </is>
      </c>
      <c r="B6" s="5" t="inlineStr">
        <is>
          <t>Razao social</t>
        </is>
      </c>
      <c r="C6" s="5" t="inlineStr">
        <is>
          <t>UF</t>
        </is>
      </c>
      <c r="D6" s="5" t="inlineStr">
        <is>
          <t>Fornece (grupo)</t>
        </is>
      </c>
      <c r="E6" s="5" t="inlineStr">
        <is>
          <t>Lead time (d)</t>
        </is>
      </c>
      <c r="F6" s="5" t="inlineStr">
        <is>
          <t>Lote min (t)</t>
        </is>
      </c>
      <c r="G6" s="5" t="inlineStr">
        <is>
          <t>Condicao pgto (d)</t>
        </is>
      </c>
      <c r="H6" s="5" t="inlineStr">
        <is>
          <t>Rating qualidade</t>
        </is>
      </c>
      <c r="I6" s="5" t="inlineStr">
        <is>
          <t>Estrategico?</t>
        </is>
      </c>
      <c r="J6" s="5" t="inlineStr">
        <is>
          <t>Fonte</t>
        </is>
      </c>
      <c r="K6" s="5" t="inlineStr">
        <is>
          <t>Responsavel</t>
        </is>
      </c>
      <c r="L6" s="5" t="inlineStr">
        <is>
          <t>Vigencia ini</t>
        </is>
      </c>
      <c r="M6" s="5" t="inlineStr">
        <is>
          <t>Vigencia fim</t>
        </is>
      </c>
      <c r="N6" s="5" t="inlineStr">
        <is>
          <t>Atualizado em</t>
        </is>
      </c>
      <c r="O6" s="5" t="inlineStr">
        <is>
          <t>Comentario</t>
        </is>
      </c>
    </row>
    <row r="7" ht="15" customHeight="1">
      <c r="A7" s="24" t="inlineStr">
        <is>
          <t>S001</t>
        </is>
      </c>
      <c r="B7" s="18" t="inlineStr">
        <is>
          <t>Cimento Fornecedor A</t>
        </is>
      </c>
      <c r="C7" s="18" t="inlineStr">
        <is>
          <t>CE</t>
        </is>
      </c>
      <c r="D7" s="18" t="inlineStr">
        <is>
          <t>Cimento</t>
        </is>
      </c>
      <c r="E7" s="25" t="n">
        <v>3</v>
      </c>
      <c r="F7" s="30" t="n">
        <v>27</v>
      </c>
      <c r="G7" s="25" t="n">
        <v>28</v>
      </c>
      <c r="H7" s="18" t="inlineStr">
        <is>
          <t>A</t>
        </is>
      </c>
      <c r="I7" s="18" t="inlineStr">
        <is>
          <t>Sim</t>
        </is>
      </c>
      <c r="J7" s="18" t="n"/>
      <c r="K7" s="18" t="n"/>
      <c r="L7" s="26" t="n"/>
      <c r="M7" s="26" t="n"/>
      <c r="N7" s="26" t="n"/>
      <c r="O7" s="18" t="n"/>
    </row>
    <row r="8" ht="15" customHeight="1">
      <c r="A8" s="24" t="inlineStr">
        <is>
          <t>S002</t>
        </is>
      </c>
      <c r="B8" s="18" t="inlineStr">
        <is>
          <t>Mineracao Areia (ASSIS/SKAL)</t>
        </is>
      </c>
      <c r="C8" s="18" t="inlineStr">
        <is>
          <t>CE</t>
        </is>
      </c>
      <c r="D8" s="18" t="inlineStr">
        <is>
          <t>Areia</t>
        </is>
      </c>
      <c r="E8" s="25" t="n">
        <v>2</v>
      </c>
      <c r="F8" s="30" t="n">
        <v>30</v>
      </c>
      <c r="G8" s="25" t="n">
        <v>21</v>
      </c>
      <c r="H8" s="18" t="inlineStr">
        <is>
          <t>B</t>
        </is>
      </c>
      <c r="I8" s="18" t="inlineStr">
        <is>
          <t>Sim</t>
        </is>
      </c>
      <c r="J8" s="18" t="n"/>
      <c r="K8" s="18" t="n"/>
      <c r="L8" s="26" t="n"/>
      <c r="M8" s="26" t="n"/>
      <c r="N8" s="26" t="n"/>
      <c r="O8" s="18" t="n"/>
    </row>
    <row r="9" ht="15" customHeight="1">
      <c r="A9" s="24" t="inlineStr">
        <is>
          <t>S003</t>
        </is>
      </c>
      <c r="B9" s="18" t="inlineStr">
        <is>
          <t>Quimica Aditivos B</t>
        </is>
      </c>
      <c r="C9" s="18" t="inlineStr">
        <is>
          <t>SP</t>
        </is>
      </c>
      <c r="D9" s="18" t="inlineStr">
        <is>
          <t>Aditivo/Pigmento</t>
        </is>
      </c>
      <c r="E9" s="25" t="n">
        <v>10</v>
      </c>
      <c r="F9" s="30" t="n">
        <v>1</v>
      </c>
      <c r="G9" s="25" t="n">
        <v>30</v>
      </c>
      <c r="H9" s="18" t="inlineStr">
        <is>
          <t>A</t>
        </is>
      </c>
      <c r="I9" s="18" t="inlineStr">
        <is>
          <t>Nao</t>
        </is>
      </c>
      <c r="J9" s="18" t="n"/>
      <c r="K9" s="18" t="n"/>
      <c r="L9" s="26" t="n"/>
      <c r="M9" s="26" t="n"/>
      <c r="N9" s="26" t="n"/>
      <c r="O9" s="18" t="n"/>
    </row>
    <row r="10" ht="15" customHeight="1">
      <c r="A10" s="24" t="n"/>
      <c r="B10" s="18" t="n"/>
      <c r="C10" s="18" t="n"/>
      <c r="D10" s="18" t="n"/>
      <c r="E10" s="25" t="n"/>
      <c r="F10" s="30" t="n"/>
      <c r="G10" s="25" t="n"/>
      <c r="H10" s="18" t="n"/>
      <c r="I10" s="18" t="n"/>
      <c r="J10" s="18" t="n"/>
      <c r="K10" s="18" t="n"/>
      <c r="L10" s="26" t="n"/>
      <c r="M10" s="26" t="n"/>
      <c r="N10" s="26" t="n"/>
      <c r="O10" s="18" t="n"/>
    </row>
    <row r="11" ht="15" customHeight="1">
      <c r="A11" s="27" t="inlineStr">
        <is>
          <t>^ Linhas acima = dados DEMO (marcados). Abaixo: campos de entrada em branco para dados reais.</t>
        </is>
      </c>
      <c r="B11" s="18" t="n"/>
      <c r="C11" s="18" t="n"/>
      <c r="D11" s="18" t="n"/>
      <c r="E11" s="25" t="n"/>
      <c r="F11" s="30" t="n"/>
      <c r="G11" s="25" t="n"/>
      <c r="H11" s="18" t="n"/>
      <c r="I11" s="18" t="n"/>
      <c r="J11" s="18" t="n"/>
      <c r="K11" s="18" t="n"/>
      <c r="L11" s="26" t="n"/>
      <c r="M11" s="26" t="n"/>
      <c r="N11" s="26" t="n"/>
      <c r="O11" s="18" t="n"/>
    </row>
    <row r="12" ht="15" customHeight="1">
      <c r="A12" s="24" t="n"/>
      <c r="B12" s="18" t="n"/>
      <c r="C12" s="18" t="n"/>
      <c r="D12" s="18" t="n"/>
      <c r="E12" s="25" t="n"/>
      <c r="F12" s="30" t="n"/>
      <c r="G12" s="25" t="n"/>
      <c r="H12" s="18" t="n"/>
      <c r="I12" s="18" t="n"/>
      <c r="J12" s="18" t="n"/>
      <c r="K12" s="18" t="n"/>
      <c r="L12" s="26" t="n"/>
      <c r="M12" s="26" t="n"/>
      <c r="N12" s="26" t="n"/>
      <c r="O12" s="18" t="n"/>
    </row>
    <row r="13" ht="15" customHeight="1">
      <c r="A13" s="24" t="n"/>
      <c r="B13" s="18" t="n"/>
      <c r="C13" s="18" t="n"/>
      <c r="D13" s="18" t="n"/>
      <c r="E13" s="25" t="n"/>
      <c r="F13" s="30" t="n"/>
      <c r="G13" s="25" t="n"/>
      <c r="H13" s="18" t="n"/>
      <c r="I13" s="18" t="n"/>
      <c r="J13" s="18" t="n"/>
      <c r="K13" s="18" t="n"/>
      <c r="L13" s="26" t="n"/>
      <c r="M13" s="26" t="n"/>
      <c r="N13" s="26" t="n"/>
      <c r="O13" s="18" t="n"/>
    </row>
    <row r="14" ht="15" customHeight="1">
      <c r="A14" s="24" t="n"/>
      <c r="B14" s="18" t="n"/>
      <c r="C14" s="18" t="n"/>
      <c r="D14" s="18" t="n"/>
      <c r="E14" s="25" t="n"/>
      <c r="F14" s="30" t="n"/>
      <c r="G14" s="25" t="n"/>
      <c r="H14" s="18" t="n"/>
      <c r="I14" s="18" t="n"/>
      <c r="J14" s="18" t="n"/>
      <c r="K14" s="18" t="n"/>
      <c r="L14" s="26" t="n"/>
      <c r="M14" s="26" t="n"/>
      <c r="N14" s="26" t="n"/>
      <c r="O14" s="18" t="n"/>
    </row>
    <row r="15" ht="15" customHeight="1">
      <c r="A15" s="24" t="n"/>
      <c r="B15" s="18" t="n"/>
      <c r="C15" s="18" t="n"/>
      <c r="D15" s="18" t="n"/>
      <c r="E15" s="25" t="n"/>
      <c r="F15" s="30" t="n"/>
      <c r="G15" s="25" t="n"/>
      <c r="H15" s="18" t="n"/>
      <c r="I15" s="18" t="n"/>
      <c r="J15" s="18" t="n"/>
      <c r="K15" s="18" t="n"/>
      <c r="L15" s="26" t="n"/>
      <c r="M15" s="26" t="n"/>
      <c r="N15" s="26" t="n"/>
      <c r="O15" s="18" t="n"/>
    </row>
    <row r="16" ht="15" customHeight="1">
      <c r="A16" s="24" t="n"/>
      <c r="B16" s="18" t="n"/>
      <c r="C16" s="18" t="n"/>
      <c r="D16" s="18" t="n"/>
      <c r="E16" s="25" t="n"/>
      <c r="F16" s="30" t="n"/>
      <c r="G16" s="25" t="n"/>
      <c r="H16" s="18" t="n"/>
      <c r="I16" s="18" t="n"/>
      <c r="J16" s="18" t="n"/>
      <c r="K16" s="18" t="n"/>
      <c r="L16" s="26" t="n"/>
      <c r="M16" s="26" t="n"/>
      <c r="N16" s="26" t="n"/>
      <c r="O16" s="18" t="n"/>
    </row>
    <row r="17" ht="15" customHeight="1">
      <c r="A17" s="24" t="n"/>
      <c r="B17" s="18" t="n"/>
      <c r="C17" s="18" t="n"/>
      <c r="D17" s="18" t="n"/>
      <c r="E17" s="25" t="n"/>
      <c r="F17" s="30" t="n"/>
      <c r="G17" s="25" t="n"/>
      <c r="H17" s="18" t="n"/>
      <c r="I17" s="18" t="n"/>
      <c r="J17" s="18" t="n"/>
      <c r="K17" s="18" t="n"/>
      <c r="L17" s="26" t="n"/>
      <c r="M17" s="26" t="n"/>
      <c r="N17" s="26" t="n"/>
      <c r="O17" s="18" t="n"/>
    </row>
    <row r="18" ht="15" customHeight="1">
      <c r="A18" s="24" t="n"/>
      <c r="B18" s="18" t="n"/>
      <c r="C18" s="18" t="n"/>
      <c r="D18" s="18" t="n"/>
      <c r="E18" s="25" t="n"/>
      <c r="F18" s="30" t="n"/>
      <c r="G18" s="25" t="n"/>
      <c r="H18" s="18" t="n"/>
      <c r="I18" s="18" t="n"/>
      <c r="J18" s="18" t="n"/>
      <c r="K18" s="18" t="n"/>
      <c r="L18" s="26" t="n"/>
      <c r="M18" s="26" t="n"/>
      <c r="N18" s="26" t="n"/>
      <c r="O18" s="18" t="n"/>
    </row>
    <row r="19" ht="15" customHeight="1">
      <c r="A19" s="24" t="n"/>
      <c r="B19" s="18" t="n"/>
      <c r="C19" s="18" t="n"/>
      <c r="D19" s="18" t="n"/>
      <c r="E19" s="25" t="n"/>
      <c r="F19" s="30" t="n"/>
      <c r="G19" s="25" t="n"/>
      <c r="H19" s="18" t="n"/>
      <c r="I19" s="18" t="n"/>
      <c r="J19" s="18" t="n"/>
      <c r="K19" s="18" t="n"/>
      <c r="L19" s="26" t="n"/>
      <c r="M19" s="26" t="n"/>
      <c r="N19" s="26" t="n"/>
      <c r="O19" s="18" t="n"/>
    </row>
    <row r="20" ht="15" customHeight="1">
      <c r="A20" s="24" t="n"/>
      <c r="B20" s="18" t="n"/>
      <c r="C20" s="18" t="n"/>
      <c r="D20" s="18" t="n"/>
      <c r="E20" s="25" t="n"/>
      <c r="F20" s="30" t="n"/>
      <c r="G20" s="25" t="n"/>
      <c r="H20" s="18" t="n"/>
      <c r="I20" s="18" t="n"/>
      <c r="J20" s="18" t="n"/>
      <c r="K20" s="18" t="n"/>
      <c r="L20" s="26" t="n"/>
      <c r="M20" s="26" t="n"/>
      <c r="N20" s="26" t="n"/>
      <c r="O20" s="18" t="n"/>
    </row>
    <row r="21" ht="15" customHeight="1">
      <c r="A21" s="24" t="n"/>
      <c r="B21" s="18" t="n"/>
      <c r="C21" s="18" t="n"/>
      <c r="D21" s="18" t="n"/>
      <c r="E21" s="25" t="n"/>
      <c r="F21" s="30" t="n"/>
      <c r="G21" s="25" t="n"/>
      <c r="H21" s="18" t="n"/>
      <c r="I21" s="18" t="n"/>
      <c r="J21" s="18" t="n"/>
      <c r="K21" s="18" t="n"/>
      <c r="L21" s="26" t="n"/>
      <c r="M21" s="26" t="n"/>
      <c r="N21" s="26" t="n"/>
      <c r="O21" s="18" t="n"/>
    </row>
    <row r="22" ht="15" customHeight="1">
      <c r="A22" s="24" t="n"/>
      <c r="B22" s="18" t="n"/>
      <c r="C22" s="18" t="n"/>
      <c r="D22" s="18" t="n"/>
      <c r="E22" s="25" t="n"/>
      <c r="F22" s="30" t="n"/>
      <c r="G22" s="25" t="n"/>
      <c r="H22" s="18" t="n"/>
      <c r="I22" s="18" t="n"/>
      <c r="J22" s="18" t="n"/>
      <c r="K22" s="18" t="n"/>
      <c r="L22" s="26" t="n"/>
      <c r="M22" s="26" t="n"/>
      <c r="N22" s="26" t="n"/>
      <c r="O22" s="18" t="n"/>
    </row>
    <row r="23" ht="15" customHeight="1">
      <c r="A23" s="24" t="n"/>
      <c r="B23" s="18" t="n"/>
      <c r="C23" s="18" t="n"/>
      <c r="D23" s="18" t="n"/>
      <c r="E23" s="25" t="n"/>
      <c r="F23" s="30" t="n"/>
      <c r="G23" s="25" t="n"/>
      <c r="H23" s="18" t="n"/>
      <c r="I23" s="18" t="n"/>
      <c r="J23" s="18" t="n"/>
      <c r="K23" s="18" t="n"/>
      <c r="L23" s="26" t="n"/>
      <c r="M23" s="26" t="n"/>
      <c r="N23" s="26" t="n"/>
      <c r="O23" s="18" t="n"/>
    </row>
    <row r="24" ht="15" customHeight="1">
      <c r="A24" s="24" t="n"/>
      <c r="B24" s="18" t="n"/>
      <c r="C24" s="18" t="n"/>
      <c r="D24" s="18" t="n"/>
      <c r="E24" s="25" t="n"/>
      <c r="F24" s="30" t="n"/>
      <c r="G24" s="25" t="n"/>
      <c r="H24" s="18" t="n"/>
      <c r="I24" s="18" t="n"/>
      <c r="J24" s="18" t="n"/>
      <c r="K24" s="18" t="n"/>
      <c r="L24" s="26" t="n"/>
      <c r="M24" s="26" t="n"/>
      <c r="N24" s="26" t="n"/>
      <c r="O24" s="18" t="n"/>
    </row>
    <row r="25" ht="15" customHeight="1">
      <c r="A25" s="24" t="n"/>
      <c r="B25" s="18" t="n"/>
      <c r="C25" s="18" t="n"/>
      <c r="D25" s="18" t="n"/>
      <c r="E25" s="25" t="n"/>
      <c r="F25" s="30" t="n"/>
      <c r="G25" s="25" t="n"/>
      <c r="H25" s="18" t="n"/>
      <c r="I25" s="18" t="n"/>
      <c r="J25" s="18" t="n"/>
      <c r="K25" s="18" t="n"/>
      <c r="L25" s="26" t="n"/>
      <c r="M25" s="26" t="n"/>
      <c r="N25" s="26" t="n"/>
      <c r="O25" s="18" t="n"/>
    </row>
    <row r="26" ht="15" customHeight="1">
      <c r="A26" s="24" t="n"/>
      <c r="B26" s="18" t="n"/>
      <c r="C26" s="18" t="n"/>
      <c r="D26" s="18" t="n"/>
      <c r="E26" s="25" t="n"/>
      <c r="F26" s="30" t="n"/>
      <c r="G26" s="25" t="n"/>
      <c r="H26" s="18" t="n"/>
      <c r="I26" s="18" t="n"/>
      <c r="J26" s="18" t="n"/>
      <c r="K26" s="18" t="n"/>
      <c r="L26" s="26" t="n"/>
      <c r="M26" s="26" t="n"/>
      <c r="N26" s="26" t="n"/>
      <c r="O26" s="18" t="n"/>
    </row>
    <row r="27" ht="15" customHeight="1">
      <c r="A27" s="24" t="n"/>
      <c r="B27" s="18" t="n"/>
      <c r="C27" s="18" t="n"/>
      <c r="D27" s="18" t="n"/>
      <c r="E27" s="25" t="n"/>
      <c r="F27" s="30" t="n"/>
      <c r="G27" s="25" t="n"/>
      <c r="H27" s="18" t="n"/>
      <c r="I27" s="18" t="n"/>
      <c r="J27" s="18" t="n"/>
      <c r="K27" s="18" t="n"/>
      <c r="L27" s="26" t="n"/>
      <c r="M27" s="26" t="n"/>
      <c r="N27" s="26" t="n"/>
      <c r="O27" s="18" t="n"/>
    </row>
    <row r="28" ht="15" customHeight="1">
      <c r="A28" s="24" t="n"/>
      <c r="B28" s="18" t="n"/>
      <c r="C28" s="18" t="n"/>
      <c r="D28" s="18" t="n"/>
      <c r="E28" s="25" t="n"/>
      <c r="F28" s="30" t="n"/>
      <c r="G28" s="25" t="n"/>
      <c r="H28" s="18" t="n"/>
      <c r="I28" s="18" t="n"/>
      <c r="J28" s="18" t="n"/>
      <c r="K28" s="18" t="n"/>
      <c r="L28" s="26" t="n"/>
      <c r="M28" s="26" t="n"/>
      <c r="N28" s="26" t="n"/>
      <c r="O28" s="18" t="n"/>
    </row>
    <row r="29" ht="15" customHeight="1">
      <c r="A29" s="24" t="n"/>
      <c r="B29" s="18" t="n"/>
      <c r="C29" s="18" t="n"/>
      <c r="D29" s="18" t="n"/>
      <c r="E29" s="25" t="n"/>
      <c r="F29" s="30" t="n"/>
      <c r="G29" s="25" t="n"/>
      <c r="H29" s="18" t="n"/>
      <c r="I29" s="18" t="n"/>
      <c r="J29" s="18" t="n"/>
      <c r="K29" s="18" t="n"/>
      <c r="L29" s="26" t="n"/>
      <c r="M29" s="26" t="n"/>
      <c r="N29" s="26" t="n"/>
      <c r="O29" s="18" t="n"/>
    </row>
    <row r="30" ht="15" customHeight="1">
      <c r="A30" s="24" t="n"/>
      <c r="B30" s="18" t="n"/>
      <c r="C30" s="18" t="n"/>
      <c r="D30" s="18" t="n"/>
      <c r="E30" s="25" t="n"/>
      <c r="F30" s="30" t="n"/>
      <c r="G30" s="25" t="n"/>
      <c r="H30" s="18" t="n"/>
      <c r="I30" s="18" t="n"/>
      <c r="J30" s="18" t="n"/>
      <c r="K30" s="18" t="n"/>
      <c r="L30" s="26" t="n"/>
      <c r="M30" s="26" t="n"/>
      <c r="N30" s="26" t="n"/>
      <c r="O30" s="18" t="n"/>
    </row>
    <row r="31" ht="15" customHeight="1">
      <c r="A31" s="24" t="n"/>
      <c r="B31" s="18" t="n"/>
      <c r="C31" s="18" t="n"/>
      <c r="D31" s="18" t="n"/>
      <c r="E31" s="25" t="n"/>
      <c r="F31" s="30" t="n"/>
      <c r="G31" s="25" t="n"/>
      <c r="H31" s="18" t="n"/>
      <c r="I31" s="18" t="n"/>
      <c r="J31" s="18" t="n"/>
      <c r="K31" s="18" t="n"/>
      <c r="L31" s="26" t="n"/>
      <c r="M31" s="26" t="n"/>
      <c r="N31" s="26" t="n"/>
      <c r="O31" s="18" t="n"/>
    </row>
    <row r="32" ht="15" customHeight="1">
      <c r="A32" s="24" t="n"/>
      <c r="B32" s="18" t="n"/>
      <c r="C32" s="18" t="n"/>
      <c r="D32" s="18" t="n"/>
      <c r="E32" s="25" t="n"/>
      <c r="F32" s="30" t="n"/>
      <c r="G32" s="25" t="n"/>
      <c r="H32" s="18" t="n"/>
      <c r="I32" s="18" t="n"/>
      <c r="J32" s="18" t="n"/>
      <c r="K32" s="18" t="n"/>
      <c r="L32" s="26" t="n"/>
      <c r="M32" s="26" t="n"/>
      <c r="N32" s="26" t="n"/>
      <c r="O32" s="18" t="n"/>
    </row>
    <row r="33" ht="15" customHeight="1">
      <c r="A33" s="24" t="n"/>
      <c r="B33" s="18" t="n"/>
      <c r="C33" s="18" t="n"/>
      <c r="D33" s="18" t="n"/>
      <c r="E33" s="25" t="n"/>
      <c r="F33" s="30" t="n"/>
      <c r="G33" s="25" t="n"/>
      <c r="H33" s="18" t="n"/>
      <c r="I33" s="18" t="n"/>
      <c r="J33" s="18" t="n"/>
      <c r="K33" s="18" t="n"/>
      <c r="L33" s="26" t="n"/>
      <c r="M33" s="26" t="n"/>
      <c r="N33" s="26" t="n"/>
      <c r="O33" s="18" t="n"/>
    </row>
    <row r="34" ht="15" customHeight="1">
      <c r="A34" s="24" t="n"/>
      <c r="B34" s="18" t="n"/>
      <c r="C34" s="18" t="n"/>
      <c r="D34" s="18" t="n"/>
      <c r="E34" s="25" t="n"/>
      <c r="F34" s="30" t="n"/>
      <c r="G34" s="25" t="n"/>
      <c r="H34" s="18" t="n"/>
      <c r="I34" s="18" t="n"/>
      <c r="J34" s="18" t="n"/>
      <c r="K34" s="18" t="n"/>
      <c r="L34" s="26" t="n"/>
      <c r="M34" s="26" t="n"/>
      <c r="N34" s="26" t="n"/>
      <c r="O34" s="18" t="n"/>
    </row>
    <row r="35" ht="15" customHeight="1">
      <c r="A35" s="24" t="n"/>
      <c r="B35" s="18" t="n"/>
      <c r="C35" s="18" t="n"/>
      <c r="D35" s="18" t="n"/>
      <c r="E35" s="25" t="n"/>
      <c r="F35" s="30" t="n"/>
      <c r="G35" s="25" t="n"/>
      <c r="H35" s="18" t="n"/>
      <c r="I35" s="18" t="n"/>
      <c r="J35" s="18" t="n"/>
      <c r="K35" s="18" t="n"/>
      <c r="L35" s="26" t="n"/>
      <c r="M35" s="26" t="n"/>
      <c r="N35" s="26" t="n"/>
      <c r="O35" s="18" t="n"/>
    </row>
    <row r="36" ht="15" customHeight="1">
      <c r="A36" s="24" t="n"/>
      <c r="B36" s="18" t="n"/>
      <c r="C36" s="18" t="n"/>
      <c r="D36" s="18" t="n"/>
      <c r="E36" s="25" t="n"/>
      <c r="F36" s="30" t="n"/>
      <c r="G36" s="25" t="n"/>
      <c r="H36" s="18" t="n"/>
      <c r="I36" s="18" t="n"/>
      <c r="J36" s="18" t="n"/>
      <c r="K36" s="18" t="n"/>
      <c r="L36" s="26" t="n"/>
      <c r="M36" s="26" t="n"/>
      <c r="N36" s="26" t="n"/>
      <c r="O36" s="18" t="n"/>
    </row>
    <row r="37" ht="15" customHeight="1">
      <c r="A37" s="24" t="n"/>
      <c r="B37" s="18" t="n"/>
      <c r="C37" s="18" t="n"/>
      <c r="D37" s="18" t="n"/>
      <c r="E37" s="25" t="n"/>
      <c r="F37" s="30" t="n"/>
      <c r="G37" s="25" t="n"/>
      <c r="H37" s="18" t="n"/>
      <c r="I37" s="18" t="n"/>
      <c r="J37" s="18" t="n"/>
      <c r="K37" s="18" t="n"/>
      <c r="L37" s="26" t="n"/>
      <c r="M37" s="26" t="n"/>
      <c r="N37" s="26" t="n"/>
      <c r="O37" s="18" t="n"/>
    </row>
    <row r="38" ht="15" customHeight="1">
      <c r="A38" s="24" t="n"/>
      <c r="B38" s="18" t="n"/>
      <c r="C38" s="18" t="n"/>
      <c r="D38" s="18" t="n"/>
      <c r="E38" s="25" t="n"/>
      <c r="F38" s="30" t="n"/>
      <c r="G38" s="25" t="n"/>
      <c r="H38" s="18" t="n"/>
      <c r="I38" s="18" t="n"/>
      <c r="J38" s="18" t="n"/>
      <c r="K38" s="18" t="n"/>
      <c r="L38" s="26" t="n"/>
      <c r="M38" s="26" t="n"/>
      <c r="N38" s="26" t="n"/>
      <c r="O38" s="18" t="n"/>
    </row>
    <row r="39" ht="15" customHeight="1">
      <c r="A39" s="24" t="n"/>
      <c r="B39" s="18" t="n"/>
      <c r="C39" s="18" t="n"/>
      <c r="D39" s="18" t="n"/>
      <c r="E39" s="25" t="n"/>
      <c r="F39" s="30" t="n"/>
      <c r="G39" s="25" t="n"/>
      <c r="H39" s="18" t="n"/>
      <c r="I39" s="18" t="n"/>
      <c r="J39" s="18" t="n"/>
      <c r="K39" s="18" t="n"/>
      <c r="L39" s="26" t="n"/>
      <c r="M39" s="26" t="n"/>
      <c r="N39" s="26" t="n"/>
      <c r="O39" s="18" t="n"/>
    </row>
    <row r="40" ht="15" customHeight="1">
      <c r="A40" s="24" t="n"/>
      <c r="B40" s="18" t="n"/>
      <c r="C40" s="18" t="n"/>
      <c r="D40" s="18" t="n"/>
      <c r="E40" s="25" t="n"/>
      <c r="F40" s="30" t="n"/>
      <c r="G40" s="25" t="n"/>
      <c r="H40" s="18" t="n"/>
      <c r="I40" s="18" t="n"/>
      <c r="J40" s="18" t="n"/>
      <c r="K40" s="18" t="n"/>
      <c r="L40" s="26" t="n"/>
      <c r="M40" s="26" t="n"/>
      <c r="N40" s="26" t="n"/>
      <c r="O40" s="18" t="n"/>
    </row>
    <row r="41" ht="15" customHeight="1">
      <c r="A41" s="24" t="n"/>
      <c r="B41" s="18" t="n"/>
      <c r="C41" s="18" t="n"/>
      <c r="D41" s="18" t="n"/>
      <c r="E41" s="25" t="n"/>
      <c r="F41" s="30" t="n"/>
      <c r="G41" s="25" t="n"/>
      <c r="H41" s="18" t="n"/>
      <c r="I41" s="18" t="n"/>
      <c r="J41" s="18" t="n"/>
      <c r="K41" s="18" t="n"/>
      <c r="L41" s="26" t="n"/>
      <c r="M41" s="26" t="n"/>
      <c r="N41" s="26" t="n"/>
      <c r="O41" s="18" t="n"/>
    </row>
    <row r="42" ht="15" customHeight="1">
      <c r="A42" s="24" t="n"/>
      <c r="B42" s="18" t="n"/>
      <c r="C42" s="18" t="n"/>
      <c r="D42" s="18" t="n"/>
      <c r="E42" s="25" t="n"/>
      <c r="F42" s="30" t="n"/>
      <c r="G42" s="25" t="n"/>
      <c r="H42" s="18" t="n"/>
      <c r="I42" s="18" t="n"/>
      <c r="J42" s="18" t="n"/>
      <c r="K42" s="18" t="n"/>
      <c r="L42" s="26" t="n"/>
      <c r="M42" s="26" t="n"/>
      <c r="N42" s="26" t="n"/>
      <c r="O42" s="18" t="n"/>
    </row>
    <row r="43" ht="15" customHeight="1">
      <c r="A43" s="24" t="n"/>
      <c r="B43" s="18" t="n"/>
      <c r="C43" s="18" t="n"/>
      <c r="D43" s="18" t="n"/>
      <c r="E43" s="25" t="n"/>
      <c r="F43" s="30" t="n"/>
      <c r="G43" s="25" t="n"/>
      <c r="H43" s="18" t="n"/>
      <c r="I43" s="18" t="n"/>
      <c r="J43" s="18" t="n"/>
      <c r="K43" s="18" t="n"/>
      <c r="L43" s="26" t="n"/>
      <c r="M43" s="26" t="n"/>
      <c r="N43" s="26" t="n"/>
      <c r="O43" s="18" t="n"/>
    </row>
    <row r="44" ht="15" customHeight="1">
      <c r="A44" s="24" t="n"/>
      <c r="B44" s="18" t="n"/>
      <c r="C44" s="18" t="n"/>
      <c r="D44" s="18" t="n"/>
      <c r="E44" s="25" t="n"/>
      <c r="F44" s="30" t="n"/>
      <c r="G44" s="25" t="n"/>
      <c r="H44" s="18" t="n"/>
      <c r="I44" s="18" t="n"/>
      <c r="J44" s="18" t="n"/>
      <c r="K44" s="18" t="n"/>
      <c r="L44" s="26" t="n"/>
      <c r="M44" s="26" t="n"/>
      <c r="N44" s="26" t="n"/>
      <c r="O44" s="18" t="n"/>
    </row>
    <row r="45" ht="15" customHeight="1">
      <c r="A45" s="24" t="n"/>
      <c r="B45" s="18" t="n"/>
      <c r="C45" s="18" t="n"/>
      <c r="D45" s="18" t="n"/>
      <c r="E45" s="25" t="n"/>
      <c r="F45" s="30" t="n"/>
      <c r="G45" s="25" t="n"/>
      <c r="H45" s="18" t="n"/>
      <c r="I45" s="18" t="n"/>
      <c r="J45" s="18" t="n"/>
      <c r="K45" s="18" t="n"/>
      <c r="L45" s="26" t="n"/>
      <c r="M45" s="26" t="n"/>
      <c r="N45" s="26" t="n"/>
      <c r="O45" s="18" t="n"/>
    </row>
    <row r="46" ht="15" customHeight="1">
      <c r="A46" s="24" t="n"/>
      <c r="B46" s="18" t="n"/>
      <c r="C46" s="18" t="n"/>
      <c r="D46" s="18" t="n"/>
      <c r="E46" s="25" t="n"/>
      <c r="F46" s="30" t="n"/>
      <c r="G46" s="25" t="n"/>
      <c r="H46" s="18" t="n"/>
      <c r="I46" s="18" t="n"/>
      <c r="J46" s="18" t="n"/>
      <c r="K46" s="18" t="n"/>
      <c r="L46" s="26" t="n"/>
      <c r="M46" s="26" t="n"/>
      <c r="N46" s="26" t="n"/>
      <c r="O46" s="18" t="n"/>
    </row>
    <row r="47" ht="15" customHeight="1">
      <c r="A47" s="24" t="n"/>
      <c r="B47" s="18" t="n"/>
      <c r="C47" s="18" t="n"/>
      <c r="D47" s="18" t="n"/>
      <c r="E47" s="25" t="n"/>
      <c r="F47" s="30" t="n"/>
      <c r="G47" s="25" t="n"/>
      <c r="H47" s="18" t="n"/>
      <c r="I47" s="18" t="n"/>
      <c r="J47" s="18" t="n"/>
      <c r="K47" s="18" t="n"/>
      <c r="L47" s="26" t="n"/>
      <c r="M47" s="26" t="n"/>
      <c r="N47" s="26" t="n"/>
      <c r="O47" s="18" t="n"/>
    </row>
    <row r="48" ht="15" customHeight="1">
      <c r="A48" s="24" t="n"/>
      <c r="B48" s="18" t="n"/>
      <c r="C48" s="18" t="n"/>
      <c r="D48" s="18" t="n"/>
      <c r="E48" s="25" t="n"/>
      <c r="F48" s="30" t="n"/>
      <c r="G48" s="25" t="n"/>
      <c r="H48" s="18" t="n"/>
      <c r="I48" s="18" t="n"/>
      <c r="J48" s="18" t="n"/>
      <c r="K48" s="18" t="n"/>
      <c r="L48" s="26" t="n"/>
      <c r="M48" s="26" t="n"/>
      <c r="N48" s="26" t="n"/>
      <c r="O48" s="18" t="n"/>
    </row>
    <row r="49" ht="15" customHeight="1">
      <c r="A49" s="24" t="n"/>
      <c r="B49" s="18" t="n"/>
      <c r="C49" s="18" t="n"/>
      <c r="D49" s="18" t="n"/>
      <c r="E49" s="25" t="n"/>
      <c r="F49" s="30" t="n"/>
      <c r="G49" s="25" t="n"/>
      <c r="H49" s="18" t="n"/>
      <c r="I49" s="18" t="n"/>
      <c r="J49" s="18" t="n"/>
      <c r="K49" s="18" t="n"/>
      <c r="L49" s="26" t="n"/>
      <c r="M49" s="26" t="n"/>
      <c r="N49" s="26" t="n"/>
      <c r="O49" s="18" t="n"/>
    </row>
    <row r="50" ht="15" customHeight="1">
      <c r="A50" s="24" t="n"/>
      <c r="B50" s="18" t="n"/>
      <c r="C50" s="18" t="n"/>
      <c r="D50" s="18" t="n"/>
      <c r="E50" s="25" t="n"/>
      <c r="F50" s="30" t="n"/>
      <c r="G50" s="25" t="n"/>
      <c r="H50" s="18" t="n"/>
      <c r="I50" s="18" t="n"/>
      <c r="J50" s="18" t="n"/>
      <c r="K50" s="18" t="n"/>
      <c r="L50" s="26" t="n"/>
      <c r="M50" s="26" t="n"/>
      <c r="N50" s="26" t="n"/>
      <c r="O50" s="18" t="n"/>
    </row>
    <row r="51" ht="15" customHeight="1">
      <c r="A51" s="24" t="n"/>
      <c r="B51" s="18" t="n"/>
      <c r="C51" s="18" t="n"/>
      <c r="D51" s="18" t="n"/>
      <c r="E51" s="25" t="n"/>
      <c r="F51" s="30" t="n"/>
      <c r="G51" s="25" t="n"/>
      <c r="H51" s="18" t="n"/>
      <c r="I51" s="18" t="n"/>
      <c r="J51" s="18" t="n"/>
      <c r="K51" s="18" t="n"/>
      <c r="L51" s="26" t="n"/>
      <c r="M51" s="26" t="n"/>
      <c r="N51" s="26" t="n"/>
      <c r="O51" s="18" t="n"/>
    </row>
    <row r="52" ht="15" customHeight="1">
      <c r="A52" s="24" t="n"/>
      <c r="B52" s="18" t="n"/>
      <c r="C52" s="18" t="n"/>
      <c r="D52" s="18" t="n"/>
      <c r="E52" s="25" t="n"/>
      <c r="F52" s="30" t="n"/>
      <c r="G52" s="25" t="n"/>
      <c r="H52" s="18" t="n"/>
      <c r="I52" s="18" t="n"/>
      <c r="J52" s="18" t="n"/>
      <c r="K52" s="18" t="n"/>
      <c r="L52" s="26" t="n"/>
      <c r="M52" s="26" t="n"/>
      <c r="N52" s="26" t="n"/>
      <c r="O52" s="18" t="n"/>
    </row>
    <row r="53" ht="15" customHeight="1">
      <c r="A53" s="24" t="n"/>
      <c r="B53" s="18" t="n"/>
      <c r="C53" s="18" t="n"/>
      <c r="D53" s="18" t="n"/>
      <c r="E53" s="25" t="n"/>
      <c r="F53" s="30" t="n"/>
      <c r="G53" s="25" t="n"/>
      <c r="H53" s="18" t="n"/>
      <c r="I53" s="18" t="n"/>
      <c r="J53" s="18" t="n"/>
      <c r="K53" s="18" t="n"/>
      <c r="L53" s="26" t="n"/>
      <c r="M53" s="26" t="n"/>
      <c r="N53" s="26" t="n"/>
      <c r="O53" s="18" t="n"/>
    </row>
    <row r="54" ht="15" customHeight="1">
      <c r="A54" s="24" t="n"/>
      <c r="B54" s="18" t="n"/>
      <c r="C54" s="18" t="n"/>
      <c r="D54" s="18" t="n"/>
      <c r="E54" s="25" t="n"/>
      <c r="F54" s="30" t="n"/>
      <c r="G54" s="25" t="n"/>
      <c r="H54" s="18" t="n"/>
      <c r="I54" s="18" t="n"/>
      <c r="J54" s="18" t="n"/>
      <c r="K54" s="18" t="n"/>
      <c r="L54" s="26" t="n"/>
      <c r="M54" s="26" t="n"/>
      <c r="N54" s="26" t="n"/>
      <c r="O54" s="18" t="n"/>
    </row>
    <row r="55" ht="15" customHeight="1">
      <c r="A55" s="24" t="n"/>
      <c r="B55" s="18" t="n"/>
      <c r="C55" s="18" t="n"/>
      <c r="D55" s="18" t="n"/>
      <c r="E55" s="25" t="n"/>
      <c r="F55" s="30" t="n"/>
      <c r="G55" s="25" t="n"/>
      <c r="H55" s="18" t="n"/>
      <c r="I55" s="18" t="n"/>
      <c r="J55" s="18" t="n"/>
      <c r="K55" s="18" t="n"/>
      <c r="L55" s="26" t="n"/>
      <c r="M55" s="26" t="n"/>
      <c r="N55" s="26" t="n"/>
      <c r="O55" s="18" t="n"/>
    </row>
    <row r="56" ht="15" customHeight="1">
      <c r="A56" s="24" t="n"/>
      <c r="B56" s="18" t="n"/>
      <c r="C56" s="18" t="n"/>
      <c r="D56" s="18" t="n"/>
      <c r="E56" s="25" t="n"/>
      <c r="F56" s="30" t="n"/>
      <c r="G56" s="25" t="n"/>
      <c r="H56" s="18" t="n"/>
      <c r="I56" s="18" t="n"/>
      <c r="J56" s="18" t="n"/>
      <c r="K56" s="18" t="n"/>
      <c r="L56" s="26" t="n"/>
      <c r="M56" s="26" t="n"/>
      <c r="N56" s="26" t="n"/>
      <c r="O56" s="18" t="n"/>
    </row>
    <row r="57" ht="15" customHeight="1">
      <c r="A57" s="24" t="n"/>
      <c r="B57" s="18" t="n"/>
      <c r="C57" s="18" t="n"/>
      <c r="D57" s="18" t="n"/>
      <c r="E57" s="25" t="n"/>
      <c r="F57" s="30" t="n"/>
      <c r="G57" s="25" t="n"/>
      <c r="H57" s="18" t="n"/>
      <c r="I57" s="18" t="n"/>
      <c r="J57" s="18" t="n"/>
      <c r="K57" s="18" t="n"/>
      <c r="L57" s="26" t="n"/>
      <c r="M57" s="26" t="n"/>
      <c r="N57" s="26" t="n"/>
      <c r="O57" s="18" t="n"/>
    </row>
    <row r="58" ht="15" customHeight="1">
      <c r="A58" s="24" t="n"/>
      <c r="B58" s="18" t="n"/>
      <c r="C58" s="18" t="n"/>
      <c r="D58" s="18" t="n"/>
      <c r="E58" s="25" t="n"/>
      <c r="F58" s="30" t="n"/>
      <c r="G58" s="25" t="n"/>
      <c r="H58" s="18" t="n"/>
      <c r="I58" s="18" t="n"/>
      <c r="J58" s="18" t="n"/>
      <c r="K58" s="18" t="n"/>
      <c r="L58" s="26" t="n"/>
      <c r="M58" s="26" t="n"/>
      <c r="N58" s="26" t="n"/>
      <c r="O58" s="18" t="n"/>
    </row>
    <row r="59" ht="15" customHeight="1">
      <c r="A59" s="24" t="n"/>
      <c r="B59" s="18" t="n"/>
      <c r="C59" s="18" t="n"/>
      <c r="D59" s="18" t="n"/>
      <c r="E59" s="25" t="n"/>
      <c r="F59" s="30" t="n"/>
      <c r="G59" s="25" t="n"/>
      <c r="H59" s="18" t="n"/>
      <c r="I59" s="18" t="n"/>
      <c r="J59" s="18" t="n"/>
      <c r="K59" s="18" t="n"/>
      <c r="L59" s="26" t="n"/>
      <c r="M59" s="26" t="n"/>
      <c r="N59" s="26" t="n"/>
      <c r="O59" s="18" t="n"/>
    </row>
    <row r="60" ht="15" customHeight="1">
      <c r="A60" s="24" t="n"/>
      <c r="B60" s="18" t="n"/>
      <c r="C60" s="18" t="n"/>
      <c r="D60" s="18" t="n"/>
      <c r="E60" s="25" t="n"/>
      <c r="F60" s="30" t="n"/>
      <c r="G60" s="25" t="n"/>
      <c r="H60" s="18" t="n"/>
      <c r="I60" s="18" t="n"/>
      <c r="J60" s="18" t="n"/>
      <c r="K60" s="18" t="n"/>
      <c r="L60" s="26" t="n"/>
      <c r="M60" s="26" t="n"/>
      <c r="N60" s="26" t="n"/>
      <c r="O60" s="18" t="n"/>
    </row>
    <row r="61" ht="15" customHeight="1">
      <c r="A61" s="24" t="n"/>
      <c r="B61" s="18" t="n"/>
      <c r="C61" s="18" t="n"/>
      <c r="D61" s="18" t="n"/>
      <c r="E61" s="25" t="n"/>
      <c r="F61" s="30" t="n"/>
      <c r="G61" s="25" t="n"/>
      <c r="H61" s="18" t="n"/>
      <c r="I61" s="18" t="n"/>
      <c r="J61" s="18" t="n"/>
      <c r="K61" s="18" t="n"/>
      <c r="L61" s="26" t="n"/>
      <c r="M61" s="26" t="n"/>
      <c r="N61" s="26" t="n"/>
      <c r="O61" s="18" t="n"/>
    </row>
    <row r="62" ht="15" customHeight="1">
      <c r="A62" s="24" t="n"/>
      <c r="B62" s="18" t="n"/>
      <c r="C62" s="18" t="n"/>
      <c r="D62" s="18" t="n"/>
      <c r="E62" s="25" t="n"/>
      <c r="F62" s="30" t="n"/>
      <c r="G62" s="25" t="n"/>
      <c r="H62" s="18" t="n"/>
      <c r="I62" s="18" t="n"/>
      <c r="J62" s="18" t="n"/>
      <c r="K62" s="18" t="n"/>
      <c r="L62" s="26" t="n"/>
      <c r="M62" s="26" t="n"/>
      <c r="N62" s="26" t="n"/>
      <c r="O62" s="18" t="n"/>
    </row>
    <row r="63" ht="15" customHeight="1">
      <c r="A63" s="24" t="n"/>
      <c r="B63" s="18" t="n"/>
      <c r="C63" s="18" t="n"/>
      <c r="D63" s="18" t="n"/>
      <c r="E63" s="25" t="n"/>
      <c r="F63" s="30" t="n"/>
      <c r="G63" s="25" t="n"/>
      <c r="H63" s="18" t="n"/>
      <c r="I63" s="18" t="n"/>
      <c r="J63" s="18" t="n"/>
      <c r="K63" s="18" t="n"/>
      <c r="L63" s="26" t="n"/>
      <c r="M63" s="26" t="n"/>
      <c r="N63" s="26" t="n"/>
      <c r="O63" s="18" t="n"/>
    </row>
    <row r="64" ht="15" customHeight="1">
      <c r="A64" s="24" t="n"/>
      <c r="B64" s="18" t="n"/>
      <c r="C64" s="18" t="n"/>
      <c r="D64" s="18" t="n"/>
      <c r="E64" s="25" t="n"/>
      <c r="F64" s="30" t="n"/>
      <c r="G64" s="25" t="n"/>
      <c r="H64" s="18" t="n"/>
      <c r="I64" s="18" t="n"/>
      <c r="J64" s="18" t="n"/>
      <c r="K64" s="18" t="n"/>
      <c r="L64" s="26" t="n"/>
      <c r="M64" s="26" t="n"/>
      <c r="N64" s="26" t="n"/>
      <c r="O64" s="18" t="n"/>
    </row>
    <row r="65" ht="15" customHeight="1">
      <c r="A65" s="24" t="n"/>
      <c r="B65" s="18" t="n"/>
      <c r="C65" s="18" t="n"/>
      <c r="D65" s="18" t="n"/>
      <c r="E65" s="25" t="n"/>
      <c r="F65" s="30" t="n"/>
      <c r="G65" s="25" t="n"/>
      <c r="H65" s="18" t="n"/>
      <c r="I65" s="18" t="n"/>
      <c r="J65" s="18" t="n"/>
      <c r="K65" s="18" t="n"/>
      <c r="L65" s="26" t="n"/>
      <c r="M65" s="26" t="n"/>
      <c r="N65" s="26" t="n"/>
      <c r="O65" s="18" t="n"/>
    </row>
    <row r="66" ht="15" customHeight="1">
      <c r="A66" s="24" t="n"/>
      <c r="B66" s="18" t="n"/>
      <c r="C66" s="18" t="n"/>
      <c r="D66" s="18" t="n"/>
      <c r="E66" s="25" t="n"/>
      <c r="F66" s="30" t="n"/>
      <c r="G66" s="25" t="n"/>
      <c r="H66" s="18" t="n"/>
      <c r="I66" s="18" t="n"/>
      <c r="J66" s="18" t="n"/>
      <c r="K66" s="18" t="n"/>
      <c r="L66" s="26" t="n"/>
      <c r="M66" s="26" t="n"/>
      <c r="N66" s="26" t="n"/>
      <c r="O66" s="18" t="n"/>
    </row>
  </sheetData>
  <mergeCells count="8">
    <mergeCell ref="F4:G4"/>
    <mergeCell ref="J4:K4"/>
    <mergeCell ref="A2:O2"/>
    <mergeCell ref="L4:M4"/>
    <mergeCell ref="A1:O1"/>
    <mergeCell ref="D4:E4"/>
    <mergeCell ref="H4:I4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7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2" customWidth="1" min="4" max="4"/>
    <col width="9" customWidth="1" min="5" max="5"/>
    <col width="8" customWidth="1" min="6" max="6"/>
    <col width="7" customWidth="1" min="7" max="7"/>
    <col width="7" customWidth="1" min="8" max="8"/>
    <col width="20" customWidth="1" min="9" max="9"/>
    <col width="10" customWidth="1" min="10" max="10"/>
    <col width="12" customWidth="1" min="11" max="11"/>
    <col width="13" customWidth="1" min="12" max="12"/>
    <col width="14" customWidth="1" min="13" max="13"/>
  </cols>
  <sheetData>
    <row r="1" ht="26" customHeight="1">
      <c r="A1" s="1" t="inlineStr">
        <is>
          <t>BOM</t>
        </is>
      </c>
    </row>
    <row r="2">
      <c r="A2" s="2" t="inlineStr">
        <is>
          <t>kg/t x LANDED NET R$/t = custo padrao de material. Soma de kg/t deve fechar com o peso tecnico (1.000 kg/t). Alerta se nao fechar.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FORMULA_ID</t>
        </is>
      </c>
      <c r="C6" s="5" t="inlineStr">
        <is>
          <t>Versao</t>
        </is>
      </c>
      <c r="D6" s="5" t="inlineStr">
        <is>
          <t>MATERIAL_ID</t>
        </is>
      </c>
      <c r="E6" s="5" t="inlineStr">
        <is>
          <t>kg / t
produto</t>
        </is>
      </c>
      <c r="F6" s="5" t="inlineStr">
        <is>
          <t>% massa</t>
        </is>
      </c>
      <c r="G6" s="5" t="inlineStr">
        <is>
          <t>Min
kg/t</t>
        </is>
      </c>
      <c r="H6" s="5" t="inlineStr">
        <is>
          <t>Max
kg/t</t>
        </is>
      </c>
      <c r="I6" s="5" t="inlineStr">
        <is>
          <t>Funcao tecnica</t>
        </is>
      </c>
      <c r="J6" s="5" t="inlineStr">
        <is>
          <t>Substituto</t>
        </is>
      </c>
      <c r="K6" s="5" t="inlineStr">
        <is>
          <t>LANDED
R$/t (link)</t>
        </is>
      </c>
      <c r="L6" s="5" t="inlineStr">
        <is>
          <t>Custo padrao
R$/t produto</t>
        </is>
      </c>
      <c r="M6" s="5" t="inlineStr">
        <is>
          <t>KEY
(prod|mat)</t>
        </is>
      </c>
    </row>
    <row r="7">
      <c r="A7" s="15" t="inlineStr">
        <is>
          <t>P001</t>
        </is>
      </c>
      <c r="B7" s="28" t="inlineStr">
        <is>
          <t>F-P001</t>
        </is>
      </c>
      <c r="C7" s="28" t="inlineStr">
        <is>
          <t>v1</t>
        </is>
      </c>
      <c r="D7" s="15" t="inlineStr">
        <is>
          <t>M001</t>
        </is>
      </c>
      <c r="E7" s="21" t="n">
        <v>250</v>
      </c>
      <c r="F7" s="23">
        <f>E7/1000</f>
        <v/>
      </c>
      <c r="G7" s="30" t="n"/>
      <c r="H7" s="30" t="n"/>
      <c r="I7" s="18" t="inlineStr">
        <is>
          <t>Aglomerante</t>
        </is>
      </c>
      <c r="J7" s="28" t="n"/>
      <c r="K7" s="31">
        <f>IFERROR(INDEX('09_LANDED_COST'!$P$7:$P$47,MATCH(D7,'09_LANDED_COST'!$A$7:$A$47,0)),0)</f>
        <v/>
      </c>
      <c r="L7" s="31">
        <f>E7/1000*K7</f>
        <v/>
      </c>
      <c r="M7" s="15">
        <f>A7&amp;"|"&amp;D7</f>
        <v/>
      </c>
    </row>
    <row r="8">
      <c r="A8" s="15" t="inlineStr">
        <is>
          <t>P001</t>
        </is>
      </c>
      <c r="B8" s="28" t="inlineStr">
        <is>
          <t>F-P001</t>
        </is>
      </c>
      <c r="C8" s="28" t="inlineStr">
        <is>
          <t>v1</t>
        </is>
      </c>
      <c r="D8" s="15" t="inlineStr">
        <is>
          <t>M002</t>
        </is>
      </c>
      <c r="E8" s="21" t="n">
        <v>700</v>
      </c>
      <c r="F8" s="23">
        <f>E8/1000</f>
        <v/>
      </c>
      <c r="G8" s="30" t="n"/>
      <c r="H8" s="30" t="n"/>
      <c r="I8" s="18" t="inlineStr">
        <is>
          <t>Agregado</t>
        </is>
      </c>
      <c r="J8" s="28" t="n"/>
      <c r="K8" s="31">
        <f>IFERROR(INDEX('09_LANDED_COST'!$P$7:$P$47,MATCH(D8,'09_LANDED_COST'!$A$7:$A$47,0)),0)</f>
        <v/>
      </c>
      <c r="L8" s="31">
        <f>E8/1000*K8</f>
        <v/>
      </c>
      <c r="M8" s="15">
        <f>A8&amp;"|"&amp;D8</f>
        <v/>
      </c>
    </row>
    <row r="9">
      <c r="A9" s="15" t="inlineStr">
        <is>
          <t>P001</t>
        </is>
      </c>
      <c r="B9" s="28" t="inlineStr">
        <is>
          <t>F-P001</t>
        </is>
      </c>
      <c r="C9" s="28" t="inlineStr">
        <is>
          <t>v1</t>
        </is>
      </c>
      <c r="D9" s="15" t="inlineStr">
        <is>
          <t>M003</t>
        </is>
      </c>
      <c r="E9" s="21" t="n">
        <v>45</v>
      </c>
      <c r="F9" s="23">
        <f>E9/1000</f>
        <v/>
      </c>
      <c r="G9" s="30" t="n"/>
      <c r="H9" s="30" t="n"/>
      <c r="I9" s="18" t="inlineStr">
        <is>
          <t>Plastificante</t>
        </is>
      </c>
      <c r="J9" s="28" t="n"/>
      <c r="K9" s="31">
        <f>IFERROR(INDEX('09_LANDED_COST'!$P$7:$P$47,MATCH(D9,'09_LANDED_COST'!$A$7:$A$47,0)),0)</f>
        <v/>
      </c>
      <c r="L9" s="31">
        <f>E9/1000*K9</f>
        <v/>
      </c>
      <c r="M9" s="15">
        <f>A9&amp;"|"&amp;D9</f>
        <v/>
      </c>
    </row>
    <row r="10">
      <c r="A10" s="15" t="inlineStr">
        <is>
          <t>P001</t>
        </is>
      </c>
      <c r="B10" s="28" t="inlineStr">
        <is>
          <t>F-P001</t>
        </is>
      </c>
      <c r="C10" s="28" t="inlineStr">
        <is>
          <t>v1</t>
        </is>
      </c>
      <c r="D10" s="15" t="inlineStr">
        <is>
          <t>M004</t>
        </is>
      </c>
      <c r="E10" s="21" t="n">
        <v>5</v>
      </c>
      <c r="F10" s="23">
        <f>E10/1000</f>
        <v/>
      </c>
      <c r="G10" s="30" t="n"/>
      <c r="H10" s="30" t="n"/>
      <c r="I10" s="18" t="inlineStr">
        <is>
          <t>Retentor agua</t>
        </is>
      </c>
      <c r="J10" s="28" t="n"/>
      <c r="K10" s="31">
        <f>IFERROR(INDEX('09_LANDED_COST'!$P$7:$P$47,MATCH(D10,'09_LANDED_COST'!$A$7:$A$47,0)),0)</f>
        <v/>
      </c>
      <c r="L10" s="31">
        <f>E10/1000*K10</f>
        <v/>
      </c>
      <c r="M10" s="15">
        <f>A10&amp;"|"&amp;D10</f>
        <v/>
      </c>
    </row>
    <row r="11">
      <c r="A11" s="15" t="inlineStr">
        <is>
          <t>P002</t>
        </is>
      </c>
      <c r="B11" s="28" t="inlineStr">
        <is>
          <t>F-P002</t>
        </is>
      </c>
      <c r="C11" s="28" t="inlineStr">
        <is>
          <t>v1</t>
        </is>
      </c>
      <c r="D11" s="15" t="inlineStr">
        <is>
          <t>M001</t>
        </is>
      </c>
      <c r="E11" s="21" t="n">
        <v>300</v>
      </c>
      <c r="F11" s="23">
        <f>E11/1000</f>
        <v/>
      </c>
      <c r="G11" s="30" t="n"/>
      <c r="H11" s="30" t="n"/>
      <c r="I11" s="18" t="inlineStr">
        <is>
          <t>Aglomerante</t>
        </is>
      </c>
      <c r="J11" s="28" t="n"/>
      <c r="K11" s="31">
        <f>IFERROR(INDEX('09_LANDED_COST'!$P$7:$P$47,MATCH(D11,'09_LANDED_COST'!$A$7:$A$47,0)),0)</f>
        <v/>
      </c>
      <c r="L11" s="31">
        <f>E11/1000*K11</f>
        <v/>
      </c>
      <c r="M11" s="15">
        <f>A11&amp;"|"&amp;D11</f>
        <v/>
      </c>
    </row>
    <row r="12">
      <c r="A12" s="15" t="inlineStr">
        <is>
          <t>P002</t>
        </is>
      </c>
      <c r="B12" s="28" t="inlineStr">
        <is>
          <t>F-P002</t>
        </is>
      </c>
      <c r="C12" s="28" t="inlineStr">
        <is>
          <t>v1</t>
        </is>
      </c>
      <c r="D12" s="15" t="inlineStr">
        <is>
          <t>M002</t>
        </is>
      </c>
      <c r="E12" s="21" t="n">
        <v>650</v>
      </c>
      <c r="F12" s="23">
        <f>E12/1000</f>
        <v/>
      </c>
      <c r="G12" s="30" t="n"/>
      <c r="H12" s="30" t="n"/>
      <c r="I12" s="18" t="inlineStr">
        <is>
          <t>Agregado</t>
        </is>
      </c>
      <c r="J12" s="28" t="n"/>
      <c r="K12" s="31">
        <f>IFERROR(INDEX('09_LANDED_COST'!$P$7:$P$47,MATCH(D12,'09_LANDED_COST'!$A$7:$A$47,0)),0)</f>
        <v/>
      </c>
      <c r="L12" s="31">
        <f>E12/1000*K12</f>
        <v/>
      </c>
      <c r="M12" s="15">
        <f>A12&amp;"|"&amp;D12</f>
        <v/>
      </c>
    </row>
    <row r="13">
      <c r="A13" s="15" t="inlineStr">
        <is>
          <t>P002</t>
        </is>
      </c>
      <c r="B13" s="28" t="inlineStr">
        <is>
          <t>F-P002</t>
        </is>
      </c>
      <c r="C13" s="28" t="inlineStr">
        <is>
          <t>v1</t>
        </is>
      </c>
      <c r="D13" s="15" t="inlineStr">
        <is>
          <t>M003</t>
        </is>
      </c>
      <c r="E13" s="21" t="n">
        <v>45</v>
      </c>
      <c r="F13" s="23">
        <f>E13/1000</f>
        <v/>
      </c>
      <c r="G13" s="30" t="n"/>
      <c r="H13" s="30" t="n"/>
      <c r="I13" s="18" t="inlineStr">
        <is>
          <t>Plastificante</t>
        </is>
      </c>
      <c r="J13" s="28" t="n"/>
      <c r="K13" s="31">
        <f>IFERROR(INDEX('09_LANDED_COST'!$P$7:$P$47,MATCH(D13,'09_LANDED_COST'!$A$7:$A$47,0)),0)</f>
        <v/>
      </c>
      <c r="L13" s="31">
        <f>E13/1000*K13</f>
        <v/>
      </c>
      <c r="M13" s="15">
        <f>A13&amp;"|"&amp;D13</f>
        <v/>
      </c>
    </row>
    <row r="14">
      <c r="A14" s="15" t="inlineStr">
        <is>
          <t>P002</t>
        </is>
      </c>
      <c r="B14" s="28" t="inlineStr">
        <is>
          <t>F-P002</t>
        </is>
      </c>
      <c r="C14" s="28" t="inlineStr">
        <is>
          <t>v1</t>
        </is>
      </c>
      <c r="D14" s="15" t="inlineStr">
        <is>
          <t>M004</t>
        </is>
      </c>
      <c r="E14" s="21" t="n">
        <v>5</v>
      </c>
      <c r="F14" s="23">
        <f>E14/1000</f>
        <v/>
      </c>
      <c r="G14" s="30" t="n"/>
      <c r="H14" s="30" t="n"/>
      <c r="I14" s="18" t="inlineStr">
        <is>
          <t>Retentor agua</t>
        </is>
      </c>
      <c r="J14" s="28" t="n"/>
      <c r="K14" s="31">
        <f>IFERROR(INDEX('09_LANDED_COST'!$P$7:$P$47,MATCH(D14,'09_LANDED_COST'!$A$7:$A$47,0)),0)</f>
        <v/>
      </c>
      <c r="L14" s="31">
        <f>E14/1000*K14</f>
        <v/>
      </c>
      <c r="M14" s="15">
        <f>A14&amp;"|"&amp;D14</f>
        <v/>
      </c>
    </row>
    <row r="15">
      <c r="A15" s="15" t="inlineStr">
        <is>
          <t>P003</t>
        </is>
      </c>
      <c r="B15" s="28" t="inlineStr">
        <is>
          <t>F-P003</t>
        </is>
      </c>
      <c r="C15" s="28" t="inlineStr">
        <is>
          <t>v1</t>
        </is>
      </c>
      <c r="D15" s="15" t="inlineStr">
        <is>
          <t>M001</t>
        </is>
      </c>
      <c r="E15" s="21" t="n">
        <v>350</v>
      </c>
      <c r="F15" s="23">
        <f>E15/1000</f>
        <v/>
      </c>
      <c r="G15" s="30" t="n"/>
      <c r="H15" s="30" t="n"/>
      <c r="I15" s="18" t="inlineStr">
        <is>
          <t>Aglomerante</t>
        </is>
      </c>
      <c r="J15" s="28" t="n"/>
      <c r="K15" s="31">
        <f>IFERROR(INDEX('09_LANDED_COST'!$P$7:$P$47,MATCH(D15,'09_LANDED_COST'!$A$7:$A$47,0)),0)</f>
        <v/>
      </c>
      <c r="L15" s="31">
        <f>E15/1000*K15</f>
        <v/>
      </c>
      <c r="M15" s="15">
        <f>A15&amp;"|"&amp;D15</f>
        <v/>
      </c>
    </row>
    <row r="16">
      <c r="A16" s="15" t="inlineStr">
        <is>
          <t>P003</t>
        </is>
      </c>
      <c r="B16" s="28" t="inlineStr">
        <is>
          <t>F-P003</t>
        </is>
      </c>
      <c r="C16" s="28" t="inlineStr">
        <is>
          <t>v1</t>
        </is>
      </c>
      <c r="D16" s="15" t="inlineStr">
        <is>
          <t>M002</t>
        </is>
      </c>
      <c r="E16" s="21" t="n">
        <v>600</v>
      </c>
      <c r="F16" s="23">
        <f>E16/1000</f>
        <v/>
      </c>
      <c r="G16" s="30" t="n"/>
      <c r="H16" s="30" t="n"/>
      <c r="I16" s="18" t="inlineStr">
        <is>
          <t>Agregado</t>
        </is>
      </c>
      <c r="J16" s="28" t="n"/>
      <c r="K16" s="31">
        <f>IFERROR(INDEX('09_LANDED_COST'!$P$7:$P$47,MATCH(D16,'09_LANDED_COST'!$A$7:$A$47,0)),0)</f>
        <v/>
      </c>
      <c r="L16" s="31">
        <f>E16/1000*K16</f>
        <v/>
      </c>
      <c r="M16" s="15">
        <f>A16&amp;"|"&amp;D16</f>
        <v/>
      </c>
    </row>
    <row r="17">
      <c r="A17" s="15" t="inlineStr">
        <is>
          <t>P003</t>
        </is>
      </c>
      <c r="B17" s="28" t="inlineStr">
        <is>
          <t>F-P003</t>
        </is>
      </c>
      <c r="C17" s="28" t="inlineStr">
        <is>
          <t>v1</t>
        </is>
      </c>
      <c r="D17" s="15" t="inlineStr">
        <is>
          <t>M004</t>
        </is>
      </c>
      <c r="E17" s="21" t="n">
        <v>8</v>
      </c>
      <c r="F17" s="23">
        <f>E17/1000</f>
        <v/>
      </c>
      <c r="G17" s="30" t="n"/>
      <c r="H17" s="30" t="n"/>
      <c r="I17" s="18" t="inlineStr">
        <is>
          <t>Retentor agua</t>
        </is>
      </c>
      <c r="J17" s="28" t="n"/>
      <c r="K17" s="31">
        <f>IFERROR(INDEX('09_LANDED_COST'!$P$7:$P$47,MATCH(D17,'09_LANDED_COST'!$A$7:$A$47,0)),0)</f>
        <v/>
      </c>
      <c r="L17" s="31">
        <f>E17/1000*K17</f>
        <v/>
      </c>
      <c r="M17" s="15">
        <f>A17&amp;"|"&amp;D17</f>
        <v/>
      </c>
    </row>
    <row r="18">
      <c r="A18" s="15" t="inlineStr">
        <is>
          <t>P003</t>
        </is>
      </c>
      <c r="B18" s="28" t="inlineStr">
        <is>
          <t>F-P003</t>
        </is>
      </c>
      <c r="C18" s="28" t="inlineStr">
        <is>
          <t>v1</t>
        </is>
      </c>
      <c r="D18" s="15" t="inlineStr">
        <is>
          <t>M005</t>
        </is>
      </c>
      <c r="E18" s="21" t="n">
        <v>42</v>
      </c>
      <c r="F18" s="23">
        <f>E18/1000</f>
        <v/>
      </c>
      <c r="G18" s="30" t="n"/>
      <c r="H18" s="30" t="n"/>
      <c r="I18" s="18" t="inlineStr">
        <is>
          <t>Pigmento</t>
        </is>
      </c>
      <c r="J18" s="28" t="n"/>
      <c r="K18" s="31">
        <f>IFERROR(INDEX('09_LANDED_COST'!$P$7:$P$47,MATCH(D18,'09_LANDED_COST'!$A$7:$A$47,0)),0)</f>
        <v/>
      </c>
      <c r="L18" s="31">
        <f>E18/1000*K18</f>
        <v/>
      </c>
      <c r="M18" s="15">
        <f>A18&amp;"|"&amp;D18</f>
        <v/>
      </c>
    </row>
    <row r="19">
      <c r="A19" s="24" t="n"/>
      <c r="B19" s="18" t="n"/>
      <c r="C19" s="18" t="n"/>
      <c r="D19" s="24" t="n"/>
      <c r="E19" s="30" t="n"/>
      <c r="F19" s="32">
        <f>IF(E19="","",E19/1000)</f>
        <v/>
      </c>
      <c r="G19" s="30" t="n"/>
      <c r="H19" s="30" t="n"/>
      <c r="I19" s="18" t="n"/>
      <c r="J19" s="18" t="n"/>
      <c r="K19" s="33">
        <f>IF(D19="","",IFERROR(INDEX('09_LANDED_COST'!$P$7:$P$47,MATCH(D19,'09_LANDED_COST'!$A$7:$A$47,0)),0))</f>
        <v/>
      </c>
      <c r="L19" s="33">
        <f>IF(E19="","",E19/1000*K19)</f>
        <v/>
      </c>
      <c r="M19" s="24">
        <f>IF(A19="","",A19&amp;"|"&amp;D19)</f>
        <v/>
      </c>
    </row>
    <row r="20">
      <c r="A20" s="24" t="n"/>
      <c r="B20" s="18" t="n"/>
      <c r="C20" s="18" t="n"/>
      <c r="D20" s="24" t="n"/>
      <c r="E20" s="30" t="n"/>
      <c r="F20" s="32">
        <f>IF(E20="","",E20/1000)</f>
        <v/>
      </c>
      <c r="G20" s="30" t="n"/>
      <c r="H20" s="30" t="n"/>
      <c r="I20" s="18" t="n"/>
      <c r="J20" s="18" t="n"/>
      <c r="K20" s="33">
        <f>IF(D20="","",IFERROR(INDEX('09_LANDED_COST'!$P$7:$P$47,MATCH(D20,'09_LANDED_COST'!$A$7:$A$47,0)),0))</f>
        <v/>
      </c>
      <c r="L20" s="33">
        <f>IF(E20="","",E20/1000*K20)</f>
        <v/>
      </c>
      <c r="M20" s="24">
        <f>IF(A20="","",A20&amp;"|"&amp;D20)</f>
        <v/>
      </c>
    </row>
    <row r="21">
      <c r="A21" s="24" t="n"/>
      <c r="B21" s="18" t="n"/>
      <c r="C21" s="18" t="n"/>
      <c r="D21" s="24" t="n"/>
      <c r="E21" s="30" t="n"/>
      <c r="F21" s="32">
        <f>IF(E21="","",E21/1000)</f>
        <v/>
      </c>
      <c r="G21" s="30" t="n"/>
      <c r="H21" s="30" t="n"/>
      <c r="I21" s="18" t="n"/>
      <c r="J21" s="18" t="n"/>
      <c r="K21" s="33">
        <f>IF(D21="","",IFERROR(INDEX('09_LANDED_COST'!$P$7:$P$47,MATCH(D21,'09_LANDED_COST'!$A$7:$A$47,0)),0))</f>
        <v/>
      </c>
      <c r="L21" s="33">
        <f>IF(E21="","",E21/1000*K21)</f>
        <v/>
      </c>
      <c r="M21" s="24">
        <f>IF(A21="","",A21&amp;"|"&amp;D21)</f>
        <v/>
      </c>
    </row>
    <row r="22">
      <c r="A22" s="24" t="n"/>
      <c r="B22" s="18" t="n"/>
      <c r="C22" s="18" t="n"/>
      <c r="D22" s="24" t="n"/>
      <c r="E22" s="30" t="n"/>
      <c r="F22" s="32">
        <f>IF(E22="","",E22/1000)</f>
        <v/>
      </c>
      <c r="G22" s="30" t="n"/>
      <c r="H22" s="30" t="n"/>
      <c r="I22" s="18" t="n"/>
      <c r="J22" s="18" t="n"/>
      <c r="K22" s="33">
        <f>IF(D22="","",IFERROR(INDEX('09_LANDED_COST'!$P$7:$P$47,MATCH(D22,'09_LANDED_COST'!$A$7:$A$47,0)),0))</f>
        <v/>
      </c>
      <c r="L22" s="33">
        <f>IF(E22="","",E22/1000*K22)</f>
        <v/>
      </c>
      <c r="M22" s="24">
        <f>IF(A22="","",A22&amp;"|"&amp;D22)</f>
        <v/>
      </c>
    </row>
    <row r="23">
      <c r="A23" s="24" t="n"/>
      <c r="B23" s="18" t="n"/>
      <c r="C23" s="18" t="n"/>
      <c r="D23" s="24" t="n"/>
      <c r="E23" s="30" t="n"/>
      <c r="F23" s="32">
        <f>IF(E23="","",E23/1000)</f>
        <v/>
      </c>
      <c r="G23" s="30" t="n"/>
      <c r="H23" s="30" t="n"/>
      <c r="I23" s="18" t="n"/>
      <c r="J23" s="18" t="n"/>
      <c r="K23" s="33">
        <f>IF(D23="","",IFERROR(INDEX('09_LANDED_COST'!$P$7:$P$47,MATCH(D23,'09_LANDED_COST'!$A$7:$A$47,0)),0))</f>
        <v/>
      </c>
      <c r="L23" s="33">
        <f>IF(E23="","",E23/1000*K23)</f>
        <v/>
      </c>
      <c r="M23" s="24">
        <f>IF(A23="","",A23&amp;"|"&amp;D23)</f>
        <v/>
      </c>
    </row>
    <row r="24">
      <c r="A24" s="24" t="n"/>
      <c r="B24" s="18" t="n"/>
      <c r="C24" s="18" t="n"/>
      <c r="D24" s="24" t="n"/>
      <c r="E24" s="30" t="n"/>
      <c r="F24" s="32">
        <f>IF(E24="","",E24/1000)</f>
        <v/>
      </c>
      <c r="G24" s="30" t="n"/>
      <c r="H24" s="30" t="n"/>
      <c r="I24" s="18" t="n"/>
      <c r="J24" s="18" t="n"/>
      <c r="K24" s="33">
        <f>IF(D24="","",IFERROR(INDEX('09_LANDED_COST'!$P$7:$P$47,MATCH(D24,'09_LANDED_COST'!$A$7:$A$47,0)),0))</f>
        <v/>
      </c>
      <c r="L24" s="33">
        <f>IF(E24="","",E24/1000*K24)</f>
        <v/>
      </c>
      <c r="M24" s="24">
        <f>IF(A24="","",A24&amp;"|"&amp;D24)</f>
        <v/>
      </c>
    </row>
    <row r="25">
      <c r="A25" s="24" t="n"/>
      <c r="B25" s="18" t="n"/>
      <c r="C25" s="18" t="n"/>
      <c r="D25" s="24" t="n"/>
      <c r="E25" s="30" t="n"/>
      <c r="F25" s="32">
        <f>IF(E25="","",E25/1000)</f>
        <v/>
      </c>
      <c r="G25" s="30" t="n"/>
      <c r="H25" s="30" t="n"/>
      <c r="I25" s="18" t="n"/>
      <c r="J25" s="18" t="n"/>
      <c r="K25" s="33">
        <f>IF(D25="","",IFERROR(INDEX('09_LANDED_COST'!$P$7:$P$47,MATCH(D25,'09_LANDED_COST'!$A$7:$A$47,0)),0))</f>
        <v/>
      </c>
      <c r="L25" s="33">
        <f>IF(E25="","",E25/1000*K25)</f>
        <v/>
      </c>
      <c r="M25" s="24">
        <f>IF(A25="","",A25&amp;"|"&amp;D25)</f>
        <v/>
      </c>
    </row>
    <row r="26">
      <c r="A26" s="24" t="n"/>
      <c r="B26" s="18" t="n"/>
      <c r="C26" s="18" t="n"/>
      <c r="D26" s="24" t="n"/>
      <c r="E26" s="30" t="n"/>
      <c r="F26" s="32">
        <f>IF(E26="","",E26/1000)</f>
        <v/>
      </c>
      <c r="G26" s="30" t="n"/>
      <c r="H26" s="30" t="n"/>
      <c r="I26" s="18" t="n"/>
      <c r="J26" s="18" t="n"/>
      <c r="K26" s="33">
        <f>IF(D26="","",IFERROR(INDEX('09_LANDED_COST'!$P$7:$P$47,MATCH(D26,'09_LANDED_COST'!$A$7:$A$47,0)),0))</f>
        <v/>
      </c>
      <c r="L26" s="33">
        <f>IF(E26="","",E26/1000*K26)</f>
        <v/>
      </c>
      <c r="M26" s="24">
        <f>IF(A26="","",A26&amp;"|"&amp;D26)</f>
        <v/>
      </c>
    </row>
    <row r="27">
      <c r="A27" s="24" t="n"/>
      <c r="B27" s="18" t="n"/>
      <c r="C27" s="18" t="n"/>
      <c r="D27" s="24" t="n"/>
      <c r="E27" s="30" t="n"/>
      <c r="F27" s="32">
        <f>IF(E27="","",E27/1000)</f>
        <v/>
      </c>
      <c r="G27" s="30" t="n"/>
      <c r="H27" s="30" t="n"/>
      <c r="I27" s="18" t="n"/>
      <c r="J27" s="18" t="n"/>
      <c r="K27" s="33">
        <f>IF(D27="","",IFERROR(INDEX('09_LANDED_COST'!$P$7:$P$47,MATCH(D27,'09_LANDED_COST'!$A$7:$A$47,0)),0))</f>
        <v/>
      </c>
      <c r="L27" s="33">
        <f>IF(E27="","",E27/1000*K27)</f>
        <v/>
      </c>
      <c r="M27" s="24">
        <f>IF(A27="","",A27&amp;"|"&amp;D27)</f>
        <v/>
      </c>
    </row>
    <row r="28">
      <c r="A28" s="24" t="n"/>
      <c r="B28" s="18" t="n"/>
      <c r="C28" s="18" t="n"/>
      <c r="D28" s="24" t="n"/>
      <c r="E28" s="30" t="n"/>
      <c r="F28" s="32">
        <f>IF(E28="","",E28/1000)</f>
        <v/>
      </c>
      <c r="G28" s="30" t="n"/>
      <c r="H28" s="30" t="n"/>
      <c r="I28" s="18" t="n"/>
      <c r="J28" s="18" t="n"/>
      <c r="K28" s="33">
        <f>IF(D28="","",IFERROR(INDEX('09_LANDED_COST'!$P$7:$P$47,MATCH(D28,'09_LANDED_COST'!$A$7:$A$47,0)),0))</f>
        <v/>
      </c>
      <c r="L28" s="33">
        <f>IF(E28="","",E28/1000*K28)</f>
        <v/>
      </c>
      <c r="M28" s="24">
        <f>IF(A28="","",A28&amp;"|"&amp;D28)</f>
        <v/>
      </c>
    </row>
    <row r="29">
      <c r="A29" s="24" t="n"/>
      <c r="B29" s="18" t="n"/>
      <c r="C29" s="18" t="n"/>
      <c r="D29" s="24" t="n"/>
      <c r="E29" s="30" t="n"/>
      <c r="F29" s="32">
        <f>IF(E29="","",E29/1000)</f>
        <v/>
      </c>
      <c r="G29" s="30" t="n"/>
      <c r="H29" s="30" t="n"/>
      <c r="I29" s="18" t="n"/>
      <c r="J29" s="18" t="n"/>
      <c r="K29" s="33">
        <f>IF(D29="","",IFERROR(INDEX('09_LANDED_COST'!$P$7:$P$47,MATCH(D29,'09_LANDED_COST'!$A$7:$A$47,0)),0))</f>
        <v/>
      </c>
      <c r="L29" s="33">
        <f>IF(E29="","",E29/1000*K29)</f>
        <v/>
      </c>
      <c r="M29" s="24">
        <f>IF(A29="","",A29&amp;"|"&amp;D29)</f>
        <v/>
      </c>
    </row>
    <row r="30">
      <c r="A30" s="24" t="n"/>
      <c r="B30" s="18" t="n"/>
      <c r="C30" s="18" t="n"/>
      <c r="D30" s="24" t="n"/>
      <c r="E30" s="30" t="n"/>
      <c r="F30" s="32">
        <f>IF(E30="","",E30/1000)</f>
        <v/>
      </c>
      <c r="G30" s="30" t="n"/>
      <c r="H30" s="30" t="n"/>
      <c r="I30" s="18" t="n"/>
      <c r="J30" s="18" t="n"/>
      <c r="K30" s="33">
        <f>IF(D30="","",IFERROR(INDEX('09_LANDED_COST'!$P$7:$P$47,MATCH(D30,'09_LANDED_COST'!$A$7:$A$47,0)),0))</f>
        <v/>
      </c>
      <c r="L30" s="33">
        <f>IF(E30="","",E30/1000*K30)</f>
        <v/>
      </c>
      <c r="M30" s="24">
        <f>IF(A30="","",A30&amp;"|"&amp;D30)</f>
        <v/>
      </c>
    </row>
    <row r="31">
      <c r="A31" s="24" t="n"/>
      <c r="B31" s="18" t="n"/>
      <c r="C31" s="18" t="n"/>
      <c r="D31" s="24" t="n"/>
      <c r="E31" s="30" t="n"/>
      <c r="F31" s="32">
        <f>IF(E31="","",E31/1000)</f>
        <v/>
      </c>
      <c r="G31" s="30" t="n"/>
      <c r="H31" s="30" t="n"/>
      <c r="I31" s="18" t="n"/>
      <c r="J31" s="18" t="n"/>
      <c r="K31" s="33">
        <f>IF(D31="","",IFERROR(INDEX('09_LANDED_COST'!$P$7:$P$47,MATCH(D31,'09_LANDED_COST'!$A$7:$A$47,0)),0))</f>
        <v/>
      </c>
      <c r="L31" s="33">
        <f>IF(E31="","",E31/1000*K31)</f>
        <v/>
      </c>
      <c r="M31" s="24">
        <f>IF(A31="","",A31&amp;"|"&amp;D31)</f>
        <v/>
      </c>
    </row>
    <row r="32">
      <c r="A32" s="24" t="n"/>
      <c r="B32" s="18" t="n"/>
      <c r="C32" s="18" t="n"/>
      <c r="D32" s="24" t="n"/>
      <c r="E32" s="30" t="n"/>
      <c r="F32" s="32">
        <f>IF(E32="","",E32/1000)</f>
        <v/>
      </c>
      <c r="G32" s="30" t="n"/>
      <c r="H32" s="30" t="n"/>
      <c r="I32" s="18" t="n"/>
      <c r="J32" s="18" t="n"/>
      <c r="K32" s="33">
        <f>IF(D32="","",IFERROR(INDEX('09_LANDED_COST'!$P$7:$P$47,MATCH(D32,'09_LANDED_COST'!$A$7:$A$47,0)),0))</f>
        <v/>
      </c>
      <c r="L32" s="33">
        <f>IF(E32="","",E32/1000*K32)</f>
        <v/>
      </c>
      <c r="M32" s="24">
        <f>IF(A32="","",A32&amp;"|"&amp;D32)</f>
        <v/>
      </c>
    </row>
    <row r="33">
      <c r="A33" s="24" t="n"/>
      <c r="B33" s="18" t="n"/>
      <c r="C33" s="18" t="n"/>
      <c r="D33" s="24" t="n"/>
      <c r="E33" s="30" t="n"/>
      <c r="F33" s="32">
        <f>IF(E33="","",E33/1000)</f>
        <v/>
      </c>
      <c r="G33" s="30" t="n"/>
      <c r="H33" s="30" t="n"/>
      <c r="I33" s="18" t="n"/>
      <c r="J33" s="18" t="n"/>
      <c r="K33" s="33">
        <f>IF(D33="","",IFERROR(INDEX('09_LANDED_COST'!$P$7:$P$47,MATCH(D33,'09_LANDED_COST'!$A$7:$A$47,0)),0))</f>
        <v/>
      </c>
      <c r="L33" s="33">
        <f>IF(E33="","",E33/1000*K33)</f>
        <v/>
      </c>
      <c r="M33" s="24">
        <f>IF(A33="","",A33&amp;"|"&amp;D33)</f>
        <v/>
      </c>
    </row>
    <row r="34">
      <c r="A34" s="24" t="n"/>
      <c r="B34" s="18" t="n"/>
      <c r="C34" s="18" t="n"/>
      <c r="D34" s="24" t="n"/>
      <c r="E34" s="30" t="n"/>
      <c r="F34" s="32">
        <f>IF(E34="","",E34/1000)</f>
        <v/>
      </c>
      <c r="G34" s="30" t="n"/>
      <c r="H34" s="30" t="n"/>
      <c r="I34" s="18" t="n"/>
      <c r="J34" s="18" t="n"/>
      <c r="K34" s="33">
        <f>IF(D34="","",IFERROR(INDEX('09_LANDED_COST'!$P$7:$P$47,MATCH(D34,'09_LANDED_COST'!$A$7:$A$47,0)),0))</f>
        <v/>
      </c>
      <c r="L34" s="33">
        <f>IF(E34="","",E34/1000*K34)</f>
        <v/>
      </c>
      <c r="M34" s="24">
        <f>IF(A34="","",A34&amp;"|"&amp;D34)</f>
        <v/>
      </c>
    </row>
    <row r="35">
      <c r="A35" s="24" t="n"/>
      <c r="B35" s="18" t="n"/>
      <c r="C35" s="18" t="n"/>
      <c r="D35" s="24" t="n"/>
      <c r="E35" s="30" t="n"/>
      <c r="F35" s="32">
        <f>IF(E35="","",E35/1000)</f>
        <v/>
      </c>
      <c r="G35" s="30" t="n"/>
      <c r="H35" s="30" t="n"/>
      <c r="I35" s="18" t="n"/>
      <c r="J35" s="18" t="n"/>
      <c r="K35" s="33">
        <f>IF(D35="","",IFERROR(INDEX('09_LANDED_COST'!$P$7:$P$47,MATCH(D35,'09_LANDED_COST'!$A$7:$A$47,0)),0))</f>
        <v/>
      </c>
      <c r="L35" s="33">
        <f>IF(E35="","",E35/1000*K35)</f>
        <v/>
      </c>
      <c r="M35" s="24">
        <f>IF(A35="","",A35&amp;"|"&amp;D35)</f>
        <v/>
      </c>
    </row>
    <row r="36">
      <c r="A36" s="24" t="n"/>
      <c r="B36" s="18" t="n"/>
      <c r="C36" s="18" t="n"/>
      <c r="D36" s="24" t="n"/>
      <c r="E36" s="30" t="n"/>
      <c r="F36" s="32">
        <f>IF(E36="","",E36/1000)</f>
        <v/>
      </c>
      <c r="G36" s="30" t="n"/>
      <c r="H36" s="30" t="n"/>
      <c r="I36" s="18" t="n"/>
      <c r="J36" s="18" t="n"/>
      <c r="K36" s="33">
        <f>IF(D36="","",IFERROR(INDEX('09_LANDED_COST'!$P$7:$P$47,MATCH(D36,'09_LANDED_COST'!$A$7:$A$47,0)),0))</f>
        <v/>
      </c>
      <c r="L36" s="33">
        <f>IF(E36="","",E36/1000*K36)</f>
        <v/>
      </c>
      <c r="M36" s="24">
        <f>IF(A36="","",A36&amp;"|"&amp;D36)</f>
        <v/>
      </c>
    </row>
    <row r="37">
      <c r="A37" s="24" t="n"/>
      <c r="B37" s="18" t="n"/>
      <c r="C37" s="18" t="n"/>
      <c r="D37" s="24" t="n"/>
      <c r="E37" s="30" t="n"/>
      <c r="F37" s="32">
        <f>IF(E37="","",E37/1000)</f>
        <v/>
      </c>
      <c r="G37" s="30" t="n"/>
      <c r="H37" s="30" t="n"/>
      <c r="I37" s="18" t="n"/>
      <c r="J37" s="18" t="n"/>
      <c r="K37" s="33">
        <f>IF(D37="","",IFERROR(INDEX('09_LANDED_COST'!$P$7:$P$47,MATCH(D37,'09_LANDED_COST'!$A$7:$A$47,0)),0))</f>
        <v/>
      </c>
      <c r="L37" s="33">
        <f>IF(E37="","",E37/1000*K37)</f>
        <v/>
      </c>
      <c r="M37" s="24">
        <f>IF(A37="","",A37&amp;"|"&amp;D37)</f>
        <v/>
      </c>
    </row>
    <row r="38">
      <c r="A38" s="24" t="n"/>
      <c r="B38" s="18" t="n"/>
      <c r="C38" s="18" t="n"/>
      <c r="D38" s="24" t="n"/>
      <c r="E38" s="30" t="n"/>
      <c r="F38" s="32">
        <f>IF(E38="","",E38/1000)</f>
        <v/>
      </c>
      <c r="G38" s="30" t="n"/>
      <c r="H38" s="30" t="n"/>
      <c r="I38" s="18" t="n"/>
      <c r="J38" s="18" t="n"/>
      <c r="K38" s="33">
        <f>IF(D38="","",IFERROR(INDEX('09_LANDED_COST'!$P$7:$P$47,MATCH(D38,'09_LANDED_COST'!$A$7:$A$47,0)),0))</f>
        <v/>
      </c>
      <c r="L38" s="33">
        <f>IF(E38="","",E38/1000*K38)</f>
        <v/>
      </c>
      <c r="M38" s="24">
        <f>IF(A38="","",A38&amp;"|"&amp;D38)</f>
        <v/>
      </c>
    </row>
    <row r="39">
      <c r="A39" s="24" t="n"/>
      <c r="B39" s="18" t="n"/>
      <c r="C39" s="18" t="n"/>
      <c r="D39" s="24" t="n"/>
      <c r="E39" s="30" t="n"/>
      <c r="F39" s="32">
        <f>IF(E39="","",E39/1000)</f>
        <v/>
      </c>
      <c r="G39" s="30" t="n"/>
      <c r="H39" s="30" t="n"/>
      <c r="I39" s="18" t="n"/>
      <c r="J39" s="18" t="n"/>
      <c r="K39" s="33">
        <f>IF(D39="","",IFERROR(INDEX('09_LANDED_COST'!$P$7:$P$47,MATCH(D39,'09_LANDED_COST'!$A$7:$A$47,0)),0))</f>
        <v/>
      </c>
      <c r="L39" s="33">
        <f>IF(E39="","",E39/1000*K39)</f>
        <v/>
      </c>
      <c r="M39" s="24">
        <f>IF(A39="","",A39&amp;"|"&amp;D39)</f>
        <v/>
      </c>
    </row>
    <row r="40">
      <c r="A40" s="24" t="n"/>
      <c r="B40" s="18" t="n"/>
      <c r="C40" s="18" t="n"/>
      <c r="D40" s="24" t="n"/>
      <c r="E40" s="30" t="n"/>
      <c r="F40" s="32">
        <f>IF(E40="","",E40/1000)</f>
        <v/>
      </c>
      <c r="G40" s="30" t="n"/>
      <c r="H40" s="30" t="n"/>
      <c r="I40" s="18" t="n"/>
      <c r="J40" s="18" t="n"/>
      <c r="K40" s="33">
        <f>IF(D40="","",IFERROR(INDEX('09_LANDED_COST'!$P$7:$P$47,MATCH(D40,'09_LANDED_COST'!$A$7:$A$47,0)),0))</f>
        <v/>
      </c>
      <c r="L40" s="33">
        <f>IF(E40="","",E40/1000*K40)</f>
        <v/>
      </c>
      <c r="M40" s="24">
        <f>IF(A40="","",A40&amp;"|"&amp;D40)</f>
        <v/>
      </c>
    </row>
    <row r="41">
      <c r="A41" s="24" t="n"/>
      <c r="B41" s="18" t="n"/>
      <c r="C41" s="18" t="n"/>
      <c r="D41" s="24" t="n"/>
      <c r="E41" s="30" t="n"/>
      <c r="F41" s="32">
        <f>IF(E41="","",E41/1000)</f>
        <v/>
      </c>
      <c r="G41" s="30" t="n"/>
      <c r="H41" s="30" t="n"/>
      <c r="I41" s="18" t="n"/>
      <c r="J41" s="18" t="n"/>
      <c r="K41" s="33">
        <f>IF(D41="","",IFERROR(INDEX('09_LANDED_COST'!$P$7:$P$47,MATCH(D41,'09_LANDED_COST'!$A$7:$A$47,0)),0))</f>
        <v/>
      </c>
      <c r="L41" s="33">
        <f>IF(E41="","",E41/1000*K41)</f>
        <v/>
      </c>
      <c r="M41" s="24">
        <f>IF(A41="","",A41&amp;"|"&amp;D41)</f>
        <v/>
      </c>
    </row>
    <row r="42">
      <c r="A42" s="24" t="n"/>
      <c r="B42" s="18" t="n"/>
      <c r="C42" s="18" t="n"/>
      <c r="D42" s="24" t="n"/>
      <c r="E42" s="30" t="n"/>
      <c r="F42" s="32">
        <f>IF(E42="","",E42/1000)</f>
        <v/>
      </c>
      <c r="G42" s="30" t="n"/>
      <c r="H42" s="30" t="n"/>
      <c r="I42" s="18" t="n"/>
      <c r="J42" s="18" t="n"/>
      <c r="K42" s="33">
        <f>IF(D42="","",IFERROR(INDEX('09_LANDED_COST'!$P$7:$P$47,MATCH(D42,'09_LANDED_COST'!$A$7:$A$47,0)),0))</f>
        <v/>
      </c>
      <c r="L42" s="33">
        <f>IF(E42="","",E42/1000*K42)</f>
        <v/>
      </c>
      <c r="M42" s="24">
        <f>IF(A42="","",A42&amp;"|"&amp;D42)</f>
        <v/>
      </c>
    </row>
    <row r="43">
      <c r="A43" s="24" t="n"/>
      <c r="B43" s="18" t="n"/>
      <c r="C43" s="18" t="n"/>
      <c r="D43" s="24" t="n"/>
      <c r="E43" s="30" t="n"/>
      <c r="F43" s="32">
        <f>IF(E43="","",E43/1000)</f>
        <v/>
      </c>
      <c r="G43" s="30" t="n"/>
      <c r="H43" s="30" t="n"/>
      <c r="I43" s="18" t="n"/>
      <c r="J43" s="18" t="n"/>
      <c r="K43" s="33">
        <f>IF(D43="","",IFERROR(INDEX('09_LANDED_COST'!$P$7:$P$47,MATCH(D43,'09_LANDED_COST'!$A$7:$A$47,0)),0))</f>
        <v/>
      </c>
      <c r="L43" s="33">
        <f>IF(E43="","",E43/1000*K43)</f>
        <v/>
      </c>
      <c r="M43" s="24">
        <f>IF(A43="","",A43&amp;"|"&amp;D43)</f>
        <v/>
      </c>
    </row>
    <row r="44">
      <c r="A44" s="24" t="n"/>
      <c r="B44" s="18" t="n"/>
      <c r="C44" s="18" t="n"/>
      <c r="D44" s="24" t="n"/>
      <c r="E44" s="30" t="n"/>
      <c r="F44" s="32">
        <f>IF(E44="","",E44/1000)</f>
        <v/>
      </c>
      <c r="G44" s="30" t="n"/>
      <c r="H44" s="30" t="n"/>
      <c r="I44" s="18" t="n"/>
      <c r="J44" s="18" t="n"/>
      <c r="K44" s="33">
        <f>IF(D44="","",IFERROR(INDEX('09_LANDED_COST'!$P$7:$P$47,MATCH(D44,'09_LANDED_COST'!$A$7:$A$47,0)),0))</f>
        <v/>
      </c>
      <c r="L44" s="33">
        <f>IF(E44="","",E44/1000*K44)</f>
        <v/>
      </c>
      <c r="M44" s="24">
        <f>IF(A44="","",A44&amp;"|"&amp;D44)</f>
        <v/>
      </c>
    </row>
    <row r="45">
      <c r="A45" s="24" t="n"/>
      <c r="B45" s="18" t="n"/>
      <c r="C45" s="18" t="n"/>
      <c r="D45" s="24" t="n"/>
      <c r="E45" s="30" t="n"/>
      <c r="F45" s="32">
        <f>IF(E45="","",E45/1000)</f>
        <v/>
      </c>
      <c r="G45" s="30" t="n"/>
      <c r="H45" s="30" t="n"/>
      <c r="I45" s="18" t="n"/>
      <c r="J45" s="18" t="n"/>
      <c r="K45" s="33">
        <f>IF(D45="","",IFERROR(INDEX('09_LANDED_COST'!$P$7:$P$47,MATCH(D45,'09_LANDED_COST'!$A$7:$A$47,0)),0))</f>
        <v/>
      </c>
      <c r="L45" s="33">
        <f>IF(E45="","",E45/1000*K45)</f>
        <v/>
      </c>
      <c r="M45" s="24">
        <f>IF(A45="","",A45&amp;"|"&amp;D45)</f>
        <v/>
      </c>
    </row>
    <row r="46">
      <c r="A46" s="24" t="n"/>
      <c r="B46" s="18" t="n"/>
      <c r="C46" s="18" t="n"/>
      <c r="D46" s="24" t="n"/>
      <c r="E46" s="30" t="n"/>
      <c r="F46" s="32">
        <f>IF(E46="","",E46/1000)</f>
        <v/>
      </c>
      <c r="G46" s="30" t="n"/>
      <c r="H46" s="30" t="n"/>
      <c r="I46" s="18" t="n"/>
      <c r="J46" s="18" t="n"/>
      <c r="K46" s="33">
        <f>IF(D46="","",IFERROR(INDEX('09_LANDED_COST'!$P$7:$P$47,MATCH(D46,'09_LANDED_COST'!$A$7:$A$47,0)),0))</f>
        <v/>
      </c>
      <c r="L46" s="33">
        <f>IF(E46="","",E46/1000*K46)</f>
        <v/>
      </c>
      <c r="M46" s="24">
        <f>IF(A46="","",A46&amp;"|"&amp;D46)</f>
        <v/>
      </c>
    </row>
    <row r="47">
      <c r="A47" s="24" t="n"/>
      <c r="B47" s="18" t="n"/>
      <c r="C47" s="18" t="n"/>
      <c r="D47" s="24" t="n"/>
      <c r="E47" s="30" t="n"/>
      <c r="F47" s="32">
        <f>IF(E47="","",E47/1000)</f>
        <v/>
      </c>
      <c r="G47" s="30" t="n"/>
      <c r="H47" s="30" t="n"/>
      <c r="I47" s="18" t="n"/>
      <c r="J47" s="18" t="n"/>
      <c r="K47" s="33">
        <f>IF(D47="","",IFERROR(INDEX('09_LANDED_COST'!$P$7:$P$47,MATCH(D47,'09_LANDED_COST'!$A$7:$A$47,0)),0))</f>
        <v/>
      </c>
      <c r="L47" s="33">
        <f>IF(E47="","",E47/1000*K47)</f>
        <v/>
      </c>
      <c r="M47" s="24">
        <f>IF(A47="","",A47&amp;"|"&amp;D47)</f>
        <v/>
      </c>
    </row>
    <row r="48">
      <c r="A48" s="24" t="n"/>
      <c r="B48" s="18" t="n"/>
      <c r="C48" s="18" t="n"/>
      <c r="D48" s="24" t="n"/>
      <c r="E48" s="30" t="n"/>
      <c r="F48" s="32">
        <f>IF(E48="","",E48/1000)</f>
        <v/>
      </c>
      <c r="G48" s="30" t="n"/>
      <c r="H48" s="30" t="n"/>
      <c r="I48" s="18" t="n"/>
      <c r="J48" s="18" t="n"/>
      <c r="K48" s="33">
        <f>IF(D48="","",IFERROR(INDEX('09_LANDED_COST'!$P$7:$P$47,MATCH(D48,'09_LANDED_COST'!$A$7:$A$47,0)),0))</f>
        <v/>
      </c>
      <c r="L48" s="33">
        <f>IF(E48="","",E48/1000*K48)</f>
        <v/>
      </c>
      <c r="M48" s="24">
        <f>IF(A48="","",A48&amp;"|"&amp;D48)</f>
        <v/>
      </c>
    </row>
    <row r="49">
      <c r="A49" s="24" t="n"/>
      <c r="B49" s="18" t="n"/>
      <c r="C49" s="18" t="n"/>
      <c r="D49" s="24" t="n"/>
      <c r="E49" s="30" t="n"/>
      <c r="F49" s="32">
        <f>IF(E49="","",E49/1000)</f>
        <v/>
      </c>
      <c r="G49" s="30" t="n"/>
      <c r="H49" s="30" t="n"/>
      <c r="I49" s="18" t="n"/>
      <c r="J49" s="18" t="n"/>
      <c r="K49" s="33">
        <f>IF(D49="","",IFERROR(INDEX('09_LANDED_COST'!$P$7:$P$47,MATCH(D49,'09_LANDED_COST'!$A$7:$A$47,0)),0))</f>
        <v/>
      </c>
      <c r="L49" s="33">
        <f>IF(E49="","",E49/1000*K49)</f>
        <v/>
      </c>
      <c r="M49" s="24">
        <f>IF(A49="","",A49&amp;"|"&amp;D49)</f>
        <v/>
      </c>
    </row>
    <row r="50">
      <c r="A50" s="24" t="n"/>
      <c r="B50" s="18" t="n"/>
      <c r="C50" s="18" t="n"/>
      <c r="D50" s="24" t="n"/>
      <c r="E50" s="30" t="n"/>
      <c r="F50" s="32">
        <f>IF(E50="","",E50/1000)</f>
        <v/>
      </c>
      <c r="G50" s="30" t="n"/>
      <c r="H50" s="30" t="n"/>
      <c r="I50" s="18" t="n"/>
      <c r="J50" s="18" t="n"/>
      <c r="K50" s="33">
        <f>IF(D50="","",IFERROR(INDEX('09_LANDED_COST'!$P$7:$P$47,MATCH(D50,'09_LANDED_COST'!$A$7:$A$47,0)),0))</f>
        <v/>
      </c>
      <c r="L50" s="33">
        <f>IF(E50="","",E50/1000*K50)</f>
        <v/>
      </c>
      <c r="M50" s="24">
        <f>IF(A50="","",A50&amp;"|"&amp;D50)</f>
        <v/>
      </c>
    </row>
    <row r="51">
      <c r="A51" s="24" t="n"/>
      <c r="B51" s="18" t="n"/>
      <c r="C51" s="18" t="n"/>
      <c r="D51" s="24" t="n"/>
      <c r="E51" s="30" t="n"/>
      <c r="F51" s="32">
        <f>IF(E51="","",E51/1000)</f>
        <v/>
      </c>
      <c r="G51" s="30" t="n"/>
      <c r="H51" s="30" t="n"/>
      <c r="I51" s="18" t="n"/>
      <c r="J51" s="18" t="n"/>
      <c r="K51" s="33">
        <f>IF(D51="","",IFERROR(INDEX('09_LANDED_COST'!$P$7:$P$47,MATCH(D51,'09_LANDED_COST'!$A$7:$A$47,0)),0))</f>
        <v/>
      </c>
      <c r="L51" s="33">
        <f>IF(E51="","",E51/1000*K51)</f>
        <v/>
      </c>
      <c r="M51" s="24">
        <f>IF(A51="","",A51&amp;"|"&amp;D51)</f>
        <v/>
      </c>
    </row>
    <row r="52">
      <c r="A52" s="24" t="n"/>
      <c r="B52" s="18" t="n"/>
      <c r="C52" s="18" t="n"/>
      <c r="D52" s="24" t="n"/>
      <c r="E52" s="30" t="n"/>
      <c r="F52" s="32">
        <f>IF(E52="","",E52/1000)</f>
        <v/>
      </c>
      <c r="G52" s="30" t="n"/>
      <c r="H52" s="30" t="n"/>
      <c r="I52" s="18" t="n"/>
      <c r="J52" s="18" t="n"/>
      <c r="K52" s="33">
        <f>IF(D52="","",IFERROR(INDEX('09_LANDED_COST'!$P$7:$P$47,MATCH(D52,'09_LANDED_COST'!$A$7:$A$47,0)),0))</f>
        <v/>
      </c>
      <c r="L52" s="33">
        <f>IF(E52="","",E52/1000*K52)</f>
        <v/>
      </c>
      <c r="M52" s="24">
        <f>IF(A52="","",A52&amp;"|"&amp;D52)</f>
        <v/>
      </c>
    </row>
    <row r="53">
      <c r="A53" s="24" t="n"/>
      <c r="B53" s="18" t="n"/>
      <c r="C53" s="18" t="n"/>
      <c r="D53" s="24" t="n"/>
      <c r="E53" s="30" t="n"/>
      <c r="F53" s="32">
        <f>IF(E53="","",E53/1000)</f>
        <v/>
      </c>
      <c r="G53" s="30" t="n"/>
      <c r="H53" s="30" t="n"/>
      <c r="I53" s="18" t="n"/>
      <c r="J53" s="18" t="n"/>
      <c r="K53" s="33">
        <f>IF(D53="","",IFERROR(INDEX('09_LANDED_COST'!$P$7:$P$47,MATCH(D53,'09_LANDED_COST'!$A$7:$A$47,0)),0))</f>
        <v/>
      </c>
      <c r="L53" s="33">
        <f>IF(E53="","",E53/1000*K53)</f>
        <v/>
      </c>
      <c r="M53" s="24">
        <f>IF(A53="","",A53&amp;"|"&amp;D53)</f>
        <v/>
      </c>
    </row>
    <row r="54">
      <c r="A54" s="24" t="n"/>
      <c r="B54" s="18" t="n"/>
      <c r="C54" s="18" t="n"/>
      <c r="D54" s="24" t="n"/>
      <c r="E54" s="30" t="n"/>
      <c r="F54" s="32">
        <f>IF(E54="","",E54/1000)</f>
        <v/>
      </c>
      <c r="G54" s="30" t="n"/>
      <c r="H54" s="30" t="n"/>
      <c r="I54" s="18" t="n"/>
      <c r="J54" s="18" t="n"/>
      <c r="K54" s="33">
        <f>IF(D54="","",IFERROR(INDEX('09_LANDED_COST'!$P$7:$P$47,MATCH(D54,'09_LANDED_COST'!$A$7:$A$47,0)),0))</f>
        <v/>
      </c>
      <c r="L54" s="33">
        <f>IF(E54="","",E54/1000*K54)</f>
        <v/>
      </c>
      <c r="M54" s="24">
        <f>IF(A54="","",A54&amp;"|"&amp;D54)</f>
        <v/>
      </c>
    </row>
    <row r="55">
      <c r="A55" s="24" t="n"/>
      <c r="B55" s="18" t="n"/>
      <c r="C55" s="18" t="n"/>
      <c r="D55" s="24" t="n"/>
      <c r="E55" s="30" t="n"/>
      <c r="F55" s="32">
        <f>IF(E55="","",E55/1000)</f>
        <v/>
      </c>
      <c r="G55" s="30" t="n"/>
      <c r="H55" s="30" t="n"/>
      <c r="I55" s="18" t="n"/>
      <c r="J55" s="18" t="n"/>
      <c r="K55" s="33">
        <f>IF(D55="","",IFERROR(INDEX('09_LANDED_COST'!$P$7:$P$47,MATCH(D55,'09_LANDED_COST'!$A$7:$A$47,0)),0))</f>
        <v/>
      </c>
      <c r="L55" s="33">
        <f>IF(E55="","",E55/1000*K55)</f>
        <v/>
      </c>
      <c r="M55" s="24">
        <f>IF(A55="","",A55&amp;"|"&amp;D55)</f>
        <v/>
      </c>
    </row>
    <row r="56">
      <c r="A56" s="24" t="n"/>
      <c r="B56" s="18" t="n"/>
      <c r="C56" s="18" t="n"/>
      <c r="D56" s="24" t="n"/>
      <c r="E56" s="30" t="n"/>
      <c r="F56" s="32">
        <f>IF(E56="","",E56/1000)</f>
        <v/>
      </c>
      <c r="G56" s="30" t="n"/>
      <c r="H56" s="30" t="n"/>
      <c r="I56" s="18" t="n"/>
      <c r="J56" s="18" t="n"/>
      <c r="K56" s="33">
        <f>IF(D56="","",IFERROR(INDEX('09_LANDED_COST'!$P$7:$P$47,MATCH(D56,'09_LANDED_COST'!$A$7:$A$47,0)),0))</f>
        <v/>
      </c>
      <c r="L56" s="33">
        <f>IF(E56="","",E56/1000*K56)</f>
        <v/>
      </c>
      <c r="M56" s="24">
        <f>IF(A56="","",A56&amp;"|"&amp;D56)</f>
        <v/>
      </c>
    </row>
    <row r="57">
      <c r="A57" s="24" t="n"/>
      <c r="B57" s="18" t="n"/>
      <c r="C57" s="18" t="n"/>
      <c r="D57" s="24" t="n"/>
      <c r="E57" s="30" t="n"/>
      <c r="F57" s="32">
        <f>IF(E57="","",E57/1000)</f>
        <v/>
      </c>
      <c r="G57" s="30" t="n"/>
      <c r="H57" s="30" t="n"/>
      <c r="I57" s="18" t="n"/>
      <c r="J57" s="18" t="n"/>
      <c r="K57" s="33">
        <f>IF(D57="","",IFERROR(INDEX('09_LANDED_COST'!$P$7:$P$47,MATCH(D57,'09_LANDED_COST'!$A$7:$A$47,0)),0))</f>
        <v/>
      </c>
      <c r="L57" s="33">
        <f>IF(E57="","",E57/1000*K57)</f>
        <v/>
      </c>
      <c r="M57" s="24">
        <f>IF(A57="","",A57&amp;"|"&amp;D57)</f>
        <v/>
      </c>
    </row>
    <row r="58">
      <c r="A58" s="24" t="n"/>
      <c r="B58" s="18" t="n"/>
      <c r="C58" s="18" t="n"/>
      <c r="D58" s="24" t="n"/>
      <c r="E58" s="30" t="n"/>
      <c r="F58" s="32">
        <f>IF(E58="","",E58/1000)</f>
        <v/>
      </c>
      <c r="G58" s="30" t="n"/>
      <c r="H58" s="30" t="n"/>
      <c r="I58" s="18" t="n"/>
      <c r="J58" s="18" t="n"/>
      <c r="K58" s="33">
        <f>IF(D58="","",IFERROR(INDEX('09_LANDED_COST'!$P$7:$P$47,MATCH(D58,'09_LANDED_COST'!$A$7:$A$47,0)),0))</f>
        <v/>
      </c>
      <c r="L58" s="33">
        <f>IF(E58="","",E58/1000*K58)</f>
        <v/>
      </c>
      <c r="M58" s="24">
        <f>IF(A58="","",A58&amp;"|"&amp;D58)</f>
        <v/>
      </c>
    </row>
    <row r="59">
      <c r="A59" s="24" t="n"/>
      <c r="B59" s="18" t="n"/>
      <c r="C59" s="18" t="n"/>
      <c r="D59" s="24" t="n"/>
      <c r="E59" s="30" t="n"/>
      <c r="F59" s="32">
        <f>IF(E59="","",E59/1000)</f>
        <v/>
      </c>
      <c r="G59" s="30" t="n"/>
      <c r="H59" s="30" t="n"/>
      <c r="I59" s="18" t="n"/>
      <c r="J59" s="18" t="n"/>
      <c r="K59" s="33">
        <f>IF(D59="","",IFERROR(INDEX('09_LANDED_COST'!$P$7:$P$47,MATCH(D59,'09_LANDED_COST'!$A$7:$A$47,0)),0))</f>
        <v/>
      </c>
      <c r="L59" s="33">
        <f>IF(E59="","",E59/1000*K59)</f>
        <v/>
      </c>
      <c r="M59" s="24">
        <f>IF(A59="","",A59&amp;"|"&amp;D59)</f>
        <v/>
      </c>
    </row>
    <row r="60">
      <c r="A60" s="24" t="n"/>
      <c r="B60" s="18" t="n"/>
      <c r="C60" s="18" t="n"/>
      <c r="D60" s="24" t="n"/>
      <c r="E60" s="30" t="n"/>
      <c r="F60" s="32">
        <f>IF(E60="","",E60/1000)</f>
        <v/>
      </c>
      <c r="G60" s="30" t="n"/>
      <c r="H60" s="30" t="n"/>
      <c r="I60" s="18" t="n"/>
      <c r="J60" s="18" t="n"/>
      <c r="K60" s="33">
        <f>IF(D60="","",IFERROR(INDEX('09_LANDED_COST'!$P$7:$P$47,MATCH(D60,'09_LANDED_COST'!$A$7:$A$47,0)),0))</f>
        <v/>
      </c>
      <c r="L60" s="33">
        <f>IF(E60="","",E60/1000*K60)</f>
        <v/>
      </c>
      <c r="M60" s="24">
        <f>IF(A60="","",A60&amp;"|"&amp;D60)</f>
        <v/>
      </c>
    </row>
    <row r="61">
      <c r="A61" s="24" t="n"/>
      <c r="B61" s="18" t="n"/>
      <c r="C61" s="18" t="n"/>
      <c r="D61" s="24" t="n"/>
      <c r="E61" s="30" t="n"/>
      <c r="F61" s="32">
        <f>IF(E61="","",E61/1000)</f>
        <v/>
      </c>
      <c r="G61" s="30" t="n"/>
      <c r="H61" s="30" t="n"/>
      <c r="I61" s="18" t="n"/>
      <c r="J61" s="18" t="n"/>
      <c r="K61" s="33">
        <f>IF(D61="","",IFERROR(INDEX('09_LANDED_COST'!$P$7:$P$47,MATCH(D61,'09_LANDED_COST'!$A$7:$A$47,0)),0))</f>
        <v/>
      </c>
      <c r="L61" s="33">
        <f>IF(E61="","",E61/1000*K61)</f>
        <v/>
      </c>
      <c r="M61" s="24">
        <f>IF(A61="","",A61&amp;"|"&amp;D61)</f>
        <v/>
      </c>
    </row>
    <row r="62">
      <c r="A62" s="24" t="n"/>
      <c r="B62" s="18" t="n"/>
      <c r="C62" s="18" t="n"/>
      <c r="D62" s="24" t="n"/>
      <c r="E62" s="30" t="n"/>
      <c r="F62" s="32">
        <f>IF(E62="","",E62/1000)</f>
        <v/>
      </c>
      <c r="G62" s="30" t="n"/>
      <c r="H62" s="30" t="n"/>
      <c r="I62" s="18" t="n"/>
      <c r="J62" s="18" t="n"/>
      <c r="K62" s="33">
        <f>IF(D62="","",IFERROR(INDEX('09_LANDED_COST'!$P$7:$P$47,MATCH(D62,'09_LANDED_COST'!$A$7:$A$47,0)),0))</f>
        <v/>
      </c>
      <c r="L62" s="33">
        <f>IF(E62="","",E62/1000*K62)</f>
        <v/>
      </c>
      <c r="M62" s="24">
        <f>IF(A62="","",A62&amp;"|"&amp;D62)</f>
        <v/>
      </c>
    </row>
    <row r="63">
      <c r="A63" s="24" t="n"/>
      <c r="B63" s="18" t="n"/>
      <c r="C63" s="18" t="n"/>
      <c r="D63" s="24" t="n"/>
      <c r="E63" s="30" t="n"/>
      <c r="F63" s="32">
        <f>IF(E63="","",E63/1000)</f>
        <v/>
      </c>
      <c r="G63" s="30" t="n"/>
      <c r="H63" s="30" t="n"/>
      <c r="I63" s="18" t="n"/>
      <c r="J63" s="18" t="n"/>
      <c r="K63" s="33">
        <f>IF(D63="","",IFERROR(INDEX('09_LANDED_COST'!$P$7:$P$47,MATCH(D63,'09_LANDED_COST'!$A$7:$A$47,0)),0))</f>
        <v/>
      </c>
      <c r="L63" s="33">
        <f>IF(E63="","",E63/1000*K63)</f>
        <v/>
      </c>
      <c r="M63" s="24">
        <f>IF(A63="","",A63&amp;"|"&amp;D63)</f>
        <v/>
      </c>
    </row>
    <row r="64">
      <c r="A64" s="24" t="n"/>
      <c r="B64" s="18" t="n"/>
      <c r="C64" s="18" t="n"/>
      <c r="D64" s="24" t="n"/>
      <c r="E64" s="30" t="n"/>
      <c r="F64" s="32">
        <f>IF(E64="","",E64/1000)</f>
        <v/>
      </c>
      <c r="G64" s="30" t="n"/>
      <c r="H64" s="30" t="n"/>
      <c r="I64" s="18" t="n"/>
      <c r="J64" s="18" t="n"/>
      <c r="K64" s="33">
        <f>IF(D64="","",IFERROR(INDEX('09_LANDED_COST'!$P$7:$P$47,MATCH(D64,'09_LANDED_COST'!$A$7:$A$47,0)),0))</f>
        <v/>
      </c>
      <c r="L64" s="33">
        <f>IF(E64="","",E64/1000*K64)</f>
        <v/>
      </c>
      <c r="M64" s="24">
        <f>IF(A64="","",A64&amp;"|"&amp;D64)</f>
        <v/>
      </c>
    </row>
    <row r="65">
      <c r="A65" s="24" t="n"/>
      <c r="B65" s="18" t="n"/>
      <c r="C65" s="18" t="n"/>
      <c r="D65" s="24" t="n"/>
      <c r="E65" s="30" t="n"/>
      <c r="F65" s="32">
        <f>IF(E65="","",E65/1000)</f>
        <v/>
      </c>
      <c r="G65" s="30" t="n"/>
      <c r="H65" s="30" t="n"/>
      <c r="I65" s="18" t="n"/>
      <c r="J65" s="18" t="n"/>
      <c r="K65" s="33">
        <f>IF(D65="","",IFERROR(INDEX('09_LANDED_COST'!$P$7:$P$47,MATCH(D65,'09_LANDED_COST'!$A$7:$A$47,0)),0))</f>
        <v/>
      </c>
      <c r="L65" s="33">
        <f>IF(E65="","",E65/1000*K65)</f>
        <v/>
      </c>
      <c r="M65" s="24">
        <f>IF(A65="","",A65&amp;"|"&amp;D65)</f>
        <v/>
      </c>
    </row>
    <row r="66">
      <c r="A66" s="24" t="n"/>
      <c r="B66" s="18" t="n"/>
      <c r="C66" s="18" t="n"/>
      <c r="D66" s="24" t="n"/>
      <c r="E66" s="30" t="n"/>
      <c r="F66" s="32">
        <f>IF(E66="","",E66/1000)</f>
        <v/>
      </c>
      <c r="G66" s="30" t="n"/>
      <c r="H66" s="30" t="n"/>
      <c r="I66" s="18" t="n"/>
      <c r="J66" s="18" t="n"/>
      <c r="K66" s="33">
        <f>IF(D66="","",IFERROR(INDEX('09_LANDED_COST'!$P$7:$P$47,MATCH(D66,'09_LANDED_COST'!$A$7:$A$47,0)),0))</f>
        <v/>
      </c>
      <c r="L66" s="33">
        <f>IF(E66="","",E66/1000*K66)</f>
        <v/>
      </c>
      <c r="M66" s="24">
        <f>IF(A66="","",A66&amp;"|"&amp;D66)</f>
        <v/>
      </c>
    </row>
    <row r="69">
      <c r="A69" s="3" t="inlineStr">
        <is>
          <t>CONTROLE — FECHAMENTO DA FORMULACAO (peso tecnico)</t>
        </is>
      </c>
    </row>
    <row r="70" ht="30" customHeight="1">
      <c r="A70" s="5" t="inlineStr">
        <is>
          <t>PRODUCT_ID</t>
        </is>
      </c>
      <c r="B70" s="5" t="inlineStr">
        <is>
          <t>Soma kg/t</t>
        </is>
      </c>
      <c r="C70" s="5" t="inlineStr">
        <is>
          <t>Peso alvo</t>
        </is>
      </c>
      <c r="D70" s="5" t="inlineStr">
        <is>
          <t>Fecha?</t>
        </is>
      </c>
      <c r="E70" s="5" t="inlineStr">
        <is>
          <t>Custo padrao
MATERIAL R$/t</t>
        </is>
      </c>
    </row>
    <row r="71">
      <c r="A71" s="15" t="inlineStr">
        <is>
          <t>P001</t>
        </is>
      </c>
      <c r="B71" s="31">
        <f>SUMIF($A$7:$A$67,A71,$E$7:$E$67)</f>
        <v/>
      </c>
      <c r="C71" s="31">
        <f>KG_PALETE/ (KG_PALETE/1000)</f>
        <v/>
      </c>
      <c r="D71" s="34">
        <f>IF(ABS(B71-1000)&lt;=1,"OK","VERIFICAR")</f>
        <v/>
      </c>
      <c r="E71" s="31">
        <f>SUMIF($A$7:$A$67,A71,$L$7:$L$67)</f>
        <v/>
      </c>
    </row>
    <row r="72">
      <c r="A72" s="15" t="inlineStr">
        <is>
          <t>P002</t>
        </is>
      </c>
      <c r="B72" s="31">
        <f>SUMIF($A$7:$A$67,A72,$E$7:$E$67)</f>
        <v/>
      </c>
      <c r="C72" s="31">
        <f>KG_PALETE/ (KG_PALETE/1000)</f>
        <v/>
      </c>
      <c r="D72" s="34">
        <f>IF(ABS(B72-1000)&lt;=1,"OK","VERIFICAR")</f>
        <v/>
      </c>
      <c r="E72" s="31">
        <f>SUMIF($A$7:$A$67,A72,$L$7:$L$67)</f>
        <v/>
      </c>
    </row>
    <row r="73">
      <c r="A73" s="15" t="inlineStr">
        <is>
          <t>P003</t>
        </is>
      </c>
      <c r="B73" s="31">
        <f>SUMIF($A$7:$A$67,A73,$E$7:$E$67)</f>
        <v/>
      </c>
      <c r="C73" s="31">
        <f>KG_PALETE/ (KG_PALETE/1000)</f>
        <v/>
      </c>
      <c r="D73" s="34">
        <f>IF(ABS(B73-1000)&lt;=1,"OK","VERIFICAR")</f>
        <v/>
      </c>
      <c r="E73" s="31">
        <f>SUMIF($A$7:$A$67,A73,$L$7:$L$67)</f>
        <v/>
      </c>
    </row>
  </sheetData>
  <mergeCells count="8">
    <mergeCell ref="F4:G4"/>
    <mergeCell ref="J4:K4"/>
    <mergeCell ref="A1:M1"/>
    <mergeCell ref="L4:M4"/>
    <mergeCell ref="D4:E4"/>
    <mergeCell ref="H4:I4"/>
    <mergeCell ref="A2:M2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6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6" customHeight="1">
      <c r="A1" s="1" t="inlineStr">
        <is>
          <t>BOM VERSION</t>
        </is>
      </c>
    </row>
    <row r="2">
      <c r="A2" s="2" t="inlineStr">
        <is>
          <t>Historico versionado de formulas. Nunca sobrescrever; criar nova versao com vigencia.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FORMULA_ID</t>
        </is>
      </c>
      <c r="B6" s="5" t="inlineStr">
        <is>
          <t>PRODUCT_ID</t>
        </is>
      </c>
      <c r="C6" s="5" t="inlineStr">
        <is>
          <t>Versao</t>
        </is>
      </c>
      <c r="D6" s="5" t="inlineStr">
        <is>
          <t>Motivo alteracao</t>
        </is>
      </c>
      <c r="E6" s="5" t="inlineStr">
        <is>
          <t>Vigencia ini</t>
        </is>
      </c>
      <c r="F6" s="5" t="inlineStr">
        <is>
          <t>Vigencia fim</t>
        </is>
      </c>
      <c r="G6" s="5" t="inlineStr">
        <is>
          <t>Aprovador</t>
        </is>
      </c>
      <c r="H6" s="5" t="inlineStr">
        <is>
          <t>Status</t>
        </is>
      </c>
    </row>
    <row r="7" ht="15" customHeight="1">
      <c r="A7" s="24" t="inlineStr">
        <is>
          <t>F-P001</t>
        </is>
      </c>
      <c r="B7" s="18" t="inlineStr">
        <is>
          <t>P001</t>
        </is>
      </c>
      <c r="C7" s="18" t="inlineStr">
        <is>
          <t>v1</t>
        </is>
      </c>
      <c r="D7" s="18" t="inlineStr">
        <is>
          <t>Versao base 2026</t>
        </is>
      </c>
      <c r="E7" s="26" t="inlineStr">
        <is>
          <t>2026-01-01</t>
        </is>
      </c>
      <c r="F7" s="26" t="inlineStr"/>
      <c r="G7" s="18" t="inlineStr">
        <is>
          <t>Eng. Tecnico</t>
        </is>
      </c>
      <c r="H7" s="18" t="inlineStr">
        <is>
          <t>Vigente</t>
        </is>
      </c>
    </row>
    <row r="8" ht="15" customHeight="1">
      <c r="A8" s="24" t="inlineStr">
        <is>
          <t>F-P002</t>
        </is>
      </c>
      <c r="B8" s="18" t="inlineStr">
        <is>
          <t>P002</t>
        </is>
      </c>
      <c r="C8" s="18" t="inlineStr">
        <is>
          <t>v1</t>
        </is>
      </c>
      <c r="D8" s="18" t="inlineStr">
        <is>
          <t>Versao base 2026</t>
        </is>
      </c>
      <c r="E8" s="26" t="inlineStr">
        <is>
          <t>2026-01-01</t>
        </is>
      </c>
      <c r="F8" s="26" t="inlineStr"/>
      <c r="G8" s="18" t="inlineStr">
        <is>
          <t>Eng. Tecnico</t>
        </is>
      </c>
      <c r="H8" s="18" t="inlineStr">
        <is>
          <t>Vigente</t>
        </is>
      </c>
    </row>
    <row r="9" ht="15" customHeight="1">
      <c r="A9" s="24" t="inlineStr">
        <is>
          <t>F-P003</t>
        </is>
      </c>
      <c r="B9" s="18" t="inlineStr">
        <is>
          <t>P003</t>
        </is>
      </c>
      <c r="C9" s="18" t="inlineStr">
        <is>
          <t>v1</t>
        </is>
      </c>
      <c r="D9" s="18" t="inlineStr">
        <is>
          <t>Versao base 2026</t>
        </is>
      </c>
      <c r="E9" s="26" t="inlineStr">
        <is>
          <t>2026-01-01</t>
        </is>
      </c>
      <c r="F9" s="26" t="inlineStr"/>
      <c r="G9" s="18" t="inlineStr">
        <is>
          <t>Eng. Tecnico</t>
        </is>
      </c>
      <c r="H9" s="18" t="inlineStr">
        <is>
          <t>Vigente</t>
        </is>
      </c>
    </row>
    <row r="10" ht="15" customHeight="1">
      <c r="A10" s="24" t="n"/>
      <c r="B10" s="18" t="n"/>
      <c r="C10" s="18" t="n"/>
      <c r="D10" s="18" t="n"/>
      <c r="E10" s="26" t="n"/>
      <c r="F10" s="26" t="n"/>
      <c r="G10" s="18" t="n"/>
      <c r="H10" s="18" t="n"/>
    </row>
    <row r="11" ht="15" customHeight="1">
      <c r="A11" s="27" t="inlineStr">
        <is>
          <t>^ Linhas acima = dados DEMO (marcados). Abaixo: campos de entrada em branco para dados reais.</t>
        </is>
      </c>
      <c r="B11" s="18" t="n"/>
      <c r="C11" s="18" t="n"/>
      <c r="D11" s="18" t="n"/>
      <c r="E11" s="26" t="n"/>
      <c r="F11" s="26" t="n"/>
      <c r="G11" s="18" t="n"/>
      <c r="H11" s="18" t="n"/>
    </row>
    <row r="12" ht="15" customHeight="1">
      <c r="A12" s="24" t="n"/>
      <c r="B12" s="18" t="n"/>
      <c r="C12" s="18" t="n"/>
      <c r="D12" s="18" t="n"/>
      <c r="E12" s="26" t="n"/>
      <c r="F12" s="26" t="n"/>
      <c r="G12" s="18" t="n"/>
      <c r="H12" s="18" t="n"/>
    </row>
    <row r="13" ht="15" customHeight="1">
      <c r="A13" s="24" t="n"/>
      <c r="B13" s="18" t="n"/>
      <c r="C13" s="18" t="n"/>
      <c r="D13" s="18" t="n"/>
      <c r="E13" s="26" t="n"/>
      <c r="F13" s="26" t="n"/>
      <c r="G13" s="18" t="n"/>
      <c r="H13" s="18" t="n"/>
    </row>
    <row r="14" ht="15" customHeight="1">
      <c r="A14" s="24" t="n"/>
      <c r="B14" s="18" t="n"/>
      <c r="C14" s="18" t="n"/>
      <c r="D14" s="18" t="n"/>
      <c r="E14" s="26" t="n"/>
      <c r="F14" s="26" t="n"/>
      <c r="G14" s="18" t="n"/>
      <c r="H14" s="18" t="n"/>
    </row>
    <row r="15" ht="15" customHeight="1">
      <c r="A15" s="24" t="n"/>
      <c r="B15" s="18" t="n"/>
      <c r="C15" s="18" t="n"/>
      <c r="D15" s="18" t="n"/>
      <c r="E15" s="26" t="n"/>
      <c r="F15" s="26" t="n"/>
      <c r="G15" s="18" t="n"/>
      <c r="H15" s="18" t="n"/>
    </row>
    <row r="16" ht="15" customHeight="1">
      <c r="A16" s="24" t="n"/>
      <c r="B16" s="18" t="n"/>
      <c r="C16" s="18" t="n"/>
      <c r="D16" s="18" t="n"/>
      <c r="E16" s="26" t="n"/>
      <c r="F16" s="26" t="n"/>
      <c r="G16" s="18" t="n"/>
      <c r="H16" s="18" t="n"/>
    </row>
    <row r="17" ht="15" customHeight="1">
      <c r="A17" s="24" t="n"/>
      <c r="B17" s="18" t="n"/>
      <c r="C17" s="18" t="n"/>
      <c r="D17" s="18" t="n"/>
      <c r="E17" s="26" t="n"/>
      <c r="F17" s="26" t="n"/>
      <c r="G17" s="18" t="n"/>
      <c r="H17" s="18" t="n"/>
    </row>
    <row r="18" ht="15" customHeight="1">
      <c r="A18" s="24" t="n"/>
      <c r="B18" s="18" t="n"/>
      <c r="C18" s="18" t="n"/>
      <c r="D18" s="18" t="n"/>
      <c r="E18" s="26" t="n"/>
      <c r="F18" s="26" t="n"/>
      <c r="G18" s="18" t="n"/>
      <c r="H18" s="18" t="n"/>
    </row>
    <row r="19" ht="15" customHeight="1">
      <c r="A19" s="24" t="n"/>
      <c r="B19" s="18" t="n"/>
      <c r="C19" s="18" t="n"/>
      <c r="D19" s="18" t="n"/>
      <c r="E19" s="26" t="n"/>
      <c r="F19" s="26" t="n"/>
      <c r="G19" s="18" t="n"/>
      <c r="H19" s="18" t="n"/>
    </row>
    <row r="20" ht="15" customHeight="1">
      <c r="A20" s="24" t="n"/>
      <c r="B20" s="18" t="n"/>
      <c r="C20" s="18" t="n"/>
      <c r="D20" s="18" t="n"/>
      <c r="E20" s="26" t="n"/>
      <c r="F20" s="26" t="n"/>
      <c r="G20" s="18" t="n"/>
      <c r="H20" s="18" t="n"/>
    </row>
    <row r="21" ht="15" customHeight="1">
      <c r="A21" s="24" t="n"/>
      <c r="B21" s="18" t="n"/>
      <c r="C21" s="18" t="n"/>
      <c r="D21" s="18" t="n"/>
      <c r="E21" s="26" t="n"/>
      <c r="F21" s="26" t="n"/>
      <c r="G21" s="18" t="n"/>
      <c r="H21" s="18" t="n"/>
    </row>
    <row r="22" ht="15" customHeight="1">
      <c r="A22" s="24" t="n"/>
      <c r="B22" s="18" t="n"/>
      <c r="C22" s="18" t="n"/>
      <c r="D22" s="18" t="n"/>
      <c r="E22" s="26" t="n"/>
      <c r="F22" s="26" t="n"/>
      <c r="G22" s="18" t="n"/>
      <c r="H22" s="18" t="n"/>
    </row>
    <row r="23" ht="15" customHeight="1">
      <c r="A23" s="24" t="n"/>
      <c r="B23" s="18" t="n"/>
      <c r="C23" s="18" t="n"/>
      <c r="D23" s="18" t="n"/>
      <c r="E23" s="26" t="n"/>
      <c r="F23" s="26" t="n"/>
      <c r="G23" s="18" t="n"/>
      <c r="H23" s="18" t="n"/>
    </row>
    <row r="24" ht="15" customHeight="1">
      <c r="A24" s="24" t="n"/>
      <c r="B24" s="18" t="n"/>
      <c r="C24" s="18" t="n"/>
      <c r="D24" s="18" t="n"/>
      <c r="E24" s="26" t="n"/>
      <c r="F24" s="26" t="n"/>
      <c r="G24" s="18" t="n"/>
      <c r="H24" s="18" t="n"/>
    </row>
    <row r="25" ht="15" customHeight="1">
      <c r="A25" s="24" t="n"/>
      <c r="B25" s="18" t="n"/>
      <c r="C25" s="18" t="n"/>
      <c r="D25" s="18" t="n"/>
      <c r="E25" s="26" t="n"/>
      <c r="F25" s="26" t="n"/>
      <c r="G25" s="18" t="n"/>
      <c r="H25" s="18" t="n"/>
    </row>
    <row r="26" ht="15" customHeight="1">
      <c r="A26" s="24" t="n"/>
      <c r="B26" s="18" t="n"/>
      <c r="C26" s="18" t="n"/>
      <c r="D26" s="18" t="n"/>
      <c r="E26" s="26" t="n"/>
      <c r="F26" s="26" t="n"/>
      <c r="G26" s="18" t="n"/>
      <c r="H26" s="18" t="n"/>
    </row>
    <row r="27" ht="15" customHeight="1">
      <c r="A27" s="24" t="n"/>
      <c r="B27" s="18" t="n"/>
      <c r="C27" s="18" t="n"/>
      <c r="D27" s="18" t="n"/>
      <c r="E27" s="26" t="n"/>
      <c r="F27" s="26" t="n"/>
      <c r="G27" s="18" t="n"/>
      <c r="H27" s="18" t="n"/>
    </row>
    <row r="28" ht="15" customHeight="1">
      <c r="A28" s="24" t="n"/>
      <c r="B28" s="18" t="n"/>
      <c r="C28" s="18" t="n"/>
      <c r="D28" s="18" t="n"/>
      <c r="E28" s="26" t="n"/>
      <c r="F28" s="26" t="n"/>
      <c r="G28" s="18" t="n"/>
      <c r="H28" s="18" t="n"/>
    </row>
    <row r="29" ht="15" customHeight="1">
      <c r="A29" s="24" t="n"/>
      <c r="B29" s="18" t="n"/>
      <c r="C29" s="18" t="n"/>
      <c r="D29" s="18" t="n"/>
      <c r="E29" s="26" t="n"/>
      <c r="F29" s="26" t="n"/>
      <c r="G29" s="18" t="n"/>
      <c r="H29" s="18" t="n"/>
    </row>
    <row r="30" ht="15" customHeight="1">
      <c r="A30" s="24" t="n"/>
      <c r="B30" s="18" t="n"/>
      <c r="C30" s="18" t="n"/>
      <c r="D30" s="18" t="n"/>
      <c r="E30" s="26" t="n"/>
      <c r="F30" s="26" t="n"/>
      <c r="G30" s="18" t="n"/>
      <c r="H30" s="18" t="n"/>
    </row>
    <row r="31" ht="15" customHeight="1">
      <c r="A31" s="24" t="n"/>
      <c r="B31" s="18" t="n"/>
      <c r="C31" s="18" t="n"/>
      <c r="D31" s="18" t="n"/>
      <c r="E31" s="26" t="n"/>
      <c r="F31" s="26" t="n"/>
      <c r="G31" s="18" t="n"/>
      <c r="H31" s="18" t="n"/>
    </row>
    <row r="32" ht="15" customHeight="1">
      <c r="A32" s="24" t="n"/>
      <c r="B32" s="18" t="n"/>
      <c r="C32" s="18" t="n"/>
      <c r="D32" s="18" t="n"/>
      <c r="E32" s="26" t="n"/>
      <c r="F32" s="26" t="n"/>
      <c r="G32" s="18" t="n"/>
      <c r="H32" s="18" t="n"/>
    </row>
    <row r="33" ht="15" customHeight="1">
      <c r="A33" s="24" t="n"/>
      <c r="B33" s="18" t="n"/>
      <c r="C33" s="18" t="n"/>
      <c r="D33" s="18" t="n"/>
      <c r="E33" s="26" t="n"/>
      <c r="F33" s="26" t="n"/>
      <c r="G33" s="18" t="n"/>
      <c r="H33" s="18" t="n"/>
    </row>
    <row r="34" ht="15" customHeight="1">
      <c r="A34" s="24" t="n"/>
      <c r="B34" s="18" t="n"/>
      <c r="C34" s="18" t="n"/>
      <c r="D34" s="18" t="n"/>
      <c r="E34" s="26" t="n"/>
      <c r="F34" s="26" t="n"/>
      <c r="G34" s="18" t="n"/>
      <c r="H34" s="18" t="n"/>
    </row>
    <row r="35" ht="15" customHeight="1">
      <c r="A35" s="24" t="n"/>
      <c r="B35" s="18" t="n"/>
      <c r="C35" s="18" t="n"/>
      <c r="D35" s="18" t="n"/>
      <c r="E35" s="26" t="n"/>
      <c r="F35" s="26" t="n"/>
      <c r="G35" s="18" t="n"/>
      <c r="H35" s="18" t="n"/>
    </row>
    <row r="36" ht="15" customHeight="1">
      <c r="A36" s="24" t="n"/>
      <c r="B36" s="18" t="n"/>
      <c r="C36" s="18" t="n"/>
      <c r="D36" s="18" t="n"/>
      <c r="E36" s="26" t="n"/>
      <c r="F36" s="26" t="n"/>
      <c r="G36" s="18" t="n"/>
      <c r="H36" s="18" t="n"/>
    </row>
    <row r="37" ht="15" customHeight="1">
      <c r="A37" s="24" t="n"/>
      <c r="B37" s="18" t="n"/>
      <c r="C37" s="18" t="n"/>
      <c r="D37" s="18" t="n"/>
      <c r="E37" s="26" t="n"/>
      <c r="F37" s="26" t="n"/>
      <c r="G37" s="18" t="n"/>
      <c r="H37" s="18" t="n"/>
    </row>
    <row r="38" ht="15" customHeight="1">
      <c r="A38" s="24" t="n"/>
      <c r="B38" s="18" t="n"/>
      <c r="C38" s="18" t="n"/>
      <c r="D38" s="18" t="n"/>
      <c r="E38" s="26" t="n"/>
      <c r="F38" s="26" t="n"/>
      <c r="G38" s="18" t="n"/>
      <c r="H38" s="18" t="n"/>
    </row>
    <row r="39" ht="15" customHeight="1">
      <c r="A39" s="24" t="n"/>
      <c r="B39" s="18" t="n"/>
      <c r="C39" s="18" t="n"/>
      <c r="D39" s="18" t="n"/>
      <c r="E39" s="26" t="n"/>
      <c r="F39" s="26" t="n"/>
      <c r="G39" s="18" t="n"/>
      <c r="H39" s="18" t="n"/>
    </row>
    <row r="40" ht="15" customHeight="1">
      <c r="A40" s="24" t="n"/>
      <c r="B40" s="18" t="n"/>
      <c r="C40" s="18" t="n"/>
      <c r="D40" s="18" t="n"/>
      <c r="E40" s="26" t="n"/>
      <c r="F40" s="26" t="n"/>
      <c r="G40" s="18" t="n"/>
      <c r="H40" s="18" t="n"/>
    </row>
    <row r="41" ht="15" customHeight="1">
      <c r="A41" s="24" t="n"/>
      <c r="B41" s="18" t="n"/>
      <c r="C41" s="18" t="n"/>
      <c r="D41" s="18" t="n"/>
      <c r="E41" s="26" t="n"/>
      <c r="F41" s="26" t="n"/>
      <c r="G41" s="18" t="n"/>
      <c r="H41" s="18" t="n"/>
    </row>
    <row r="42" ht="15" customHeight="1">
      <c r="A42" s="24" t="n"/>
      <c r="B42" s="18" t="n"/>
      <c r="C42" s="18" t="n"/>
      <c r="D42" s="18" t="n"/>
      <c r="E42" s="26" t="n"/>
      <c r="F42" s="26" t="n"/>
      <c r="G42" s="18" t="n"/>
      <c r="H42" s="18" t="n"/>
    </row>
    <row r="43" ht="15" customHeight="1">
      <c r="A43" s="24" t="n"/>
      <c r="B43" s="18" t="n"/>
      <c r="C43" s="18" t="n"/>
      <c r="D43" s="18" t="n"/>
      <c r="E43" s="26" t="n"/>
      <c r="F43" s="26" t="n"/>
      <c r="G43" s="18" t="n"/>
      <c r="H43" s="18" t="n"/>
    </row>
    <row r="44" ht="15" customHeight="1">
      <c r="A44" s="24" t="n"/>
      <c r="B44" s="18" t="n"/>
      <c r="C44" s="18" t="n"/>
      <c r="D44" s="18" t="n"/>
      <c r="E44" s="26" t="n"/>
      <c r="F44" s="26" t="n"/>
      <c r="G44" s="18" t="n"/>
      <c r="H44" s="18" t="n"/>
    </row>
    <row r="45" ht="15" customHeight="1">
      <c r="A45" s="24" t="n"/>
      <c r="B45" s="18" t="n"/>
      <c r="C45" s="18" t="n"/>
      <c r="D45" s="18" t="n"/>
      <c r="E45" s="26" t="n"/>
      <c r="F45" s="26" t="n"/>
      <c r="G45" s="18" t="n"/>
      <c r="H45" s="18" t="n"/>
    </row>
    <row r="46" ht="15" customHeight="1">
      <c r="A46" s="24" t="n"/>
      <c r="B46" s="18" t="n"/>
      <c r="C46" s="18" t="n"/>
      <c r="D46" s="18" t="n"/>
      <c r="E46" s="26" t="n"/>
      <c r="F46" s="26" t="n"/>
      <c r="G46" s="18" t="n"/>
      <c r="H46" s="18" t="n"/>
    </row>
    <row r="47" ht="15" customHeight="1">
      <c r="A47" s="24" t="n"/>
      <c r="B47" s="18" t="n"/>
      <c r="C47" s="18" t="n"/>
      <c r="D47" s="18" t="n"/>
      <c r="E47" s="26" t="n"/>
      <c r="F47" s="26" t="n"/>
      <c r="G47" s="18" t="n"/>
      <c r="H47" s="18" t="n"/>
    </row>
    <row r="48" ht="15" customHeight="1">
      <c r="A48" s="24" t="n"/>
      <c r="B48" s="18" t="n"/>
      <c r="C48" s="18" t="n"/>
      <c r="D48" s="18" t="n"/>
      <c r="E48" s="26" t="n"/>
      <c r="F48" s="26" t="n"/>
      <c r="G48" s="18" t="n"/>
      <c r="H48" s="18" t="n"/>
    </row>
    <row r="49" ht="15" customHeight="1">
      <c r="A49" s="24" t="n"/>
      <c r="B49" s="18" t="n"/>
      <c r="C49" s="18" t="n"/>
      <c r="D49" s="18" t="n"/>
      <c r="E49" s="26" t="n"/>
      <c r="F49" s="26" t="n"/>
      <c r="G49" s="18" t="n"/>
      <c r="H49" s="18" t="n"/>
    </row>
    <row r="50" ht="15" customHeight="1">
      <c r="A50" s="24" t="n"/>
      <c r="B50" s="18" t="n"/>
      <c r="C50" s="18" t="n"/>
      <c r="D50" s="18" t="n"/>
      <c r="E50" s="26" t="n"/>
      <c r="F50" s="26" t="n"/>
      <c r="G50" s="18" t="n"/>
      <c r="H50" s="18" t="n"/>
    </row>
    <row r="51" ht="15" customHeight="1">
      <c r="A51" s="24" t="n"/>
      <c r="B51" s="18" t="n"/>
      <c r="C51" s="18" t="n"/>
      <c r="D51" s="18" t="n"/>
      <c r="E51" s="26" t="n"/>
      <c r="F51" s="26" t="n"/>
      <c r="G51" s="18" t="n"/>
      <c r="H51" s="18" t="n"/>
    </row>
    <row r="52" ht="15" customHeight="1">
      <c r="A52" s="24" t="n"/>
      <c r="B52" s="18" t="n"/>
      <c r="C52" s="18" t="n"/>
      <c r="D52" s="18" t="n"/>
      <c r="E52" s="26" t="n"/>
      <c r="F52" s="26" t="n"/>
      <c r="G52" s="18" t="n"/>
      <c r="H52" s="18" t="n"/>
    </row>
    <row r="53" ht="15" customHeight="1">
      <c r="A53" s="24" t="n"/>
      <c r="B53" s="18" t="n"/>
      <c r="C53" s="18" t="n"/>
      <c r="D53" s="18" t="n"/>
      <c r="E53" s="26" t="n"/>
      <c r="F53" s="26" t="n"/>
      <c r="G53" s="18" t="n"/>
      <c r="H53" s="18" t="n"/>
    </row>
    <row r="54" ht="15" customHeight="1">
      <c r="A54" s="24" t="n"/>
      <c r="B54" s="18" t="n"/>
      <c r="C54" s="18" t="n"/>
      <c r="D54" s="18" t="n"/>
      <c r="E54" s="26" t="n"/>
      <c r="F54" s="26" t="n"/>
      <c r="G54" s="18" t="n"/>
      <c r="H54" s="18" t="n"/>
    </row>
    <row r="55" ht="15" customHeight="1">
      <c r="A55" s="24" t="n"/>
      <c r="B55" s="18" t="n"/>
      <c r="C55" s="18" t="n"/>
      <c r="D55" s="18" t="n"/>
      <c r="E55" s="26" t="n"/>
      <c r="F55" s="26" t="n"/>
      <c r="G55" s="18" t="n"/>
      <c r="H55" s="18" t="n"/>
    </row>
    <row r="56" ht="15" customHeight="1">
      <c r="A56" s="24" t="n"/>
      <c r="B56" s="18" t="n"/>
      <c r="C56" s="18" t="n"/>
      <c r="D56" s="18" t="n"/>
      <c r="E56" s="26" t="n"/>
      <c r="F56" s="26" t="n"/>
      <c r="G56" s="18" t="n"/>
      <c r="H56" s="18" t="n"/>
    </row>
    <row r="57" ht="15" customHeight="1">
      <c r="A57" s="24" t="n"/>
      <c r="B57" s="18" t="n"/>
      <c r="C57" s="18" t="n"/>
      <c r="D57" s="18" t="n"/>
      <c r="E57" s="26" t="n"/>
      <c r="F57" s="26" t="n"/>
      <c r="G57" s="18" t="n"/>
      <c r="H57" s="18" t="n"/>
    </row>
    <row r="58" ht="15" customHeight="1">
      <c r="A58" s="24" t="n"/>
      <c r="B58" s="18" t="n"/>
      <c r="C58" s="18" t="n"/>
      <c r="D58" s="18" t="n"/>
      <c r="E58" s="26" t="n"/>
      <c r="F58" s="26" t="n"/>
      <c r="G58" s="18" t="n"/>
      <c r="H58" s="18" t="n"/>
    </row>
    <row r="59" ht="15" customHeight="1">
      <c r="A59" s="24" t="n"/>
      <c r="B59" s="18" t="n"/>
      <c r="C59" s="18" t="n"/>
      <c r="D59" s="18" t="n"/>
      <c r="E59" s="26" t="n"/>
      <c r="F59" s="26" t="n"/>
      <c r="G59" s="18" t="n"/>
      <c r="H59" s="18" t="n"/>
    </row>
    <row r="60" ht="15" customHeight="1">
      <c r="A60" s="24" t="n"/>
      <c r="B60" s="18" t="n"/>
      <c r="C60" s="18" t="n"/>
      <c r="D60" s="18" t="n"/>
      <c r="E60" s="26" t="n"/>
      <c r="F60" s="26" t="n"/>
      <c r="G60" s="18" t="n"/>
      <c r="H60" s="18" t="n"/>
    </row>
    <row r="61" ht="15" customHeight="1">
      <c r="A61" s="24" t="n"/>
      <c r="B61" s="18" t="n"/>
      <c r="C61" s="18" t="n"/>
      <c r="D61" s="18" t="n"/>
      <c r="E61" s="26" t="n"/>
      <c r="F61" s="26" t="n"/>
      <c r="G61" s="18" t="n"/>
      <c r="H61" s="18" t="n"/>
    </row>
    <row r="62" ht="15" customHeight="1">
      <c r="A62" s="24" t="n"/>
      <c r="B62" s="18" t="n"/>
      <c r="C62" s="18" t="n"/>
      <c r="D62" s="18" t="n"/>
      <c r="E62" s="26" t="n"/>
      <c r="F62" s="26" t="n"/>
      <c r="G62" s="18" t="n"/>
      <c r="H62" s="18" t="n"/>
    </row>
    <row r="63" ht="15" customHeight="1">
      <c r="A63" s="24" t="n"/>
      <c r="B63" s="18" t="n"/>
      <c r="C63" s="18" t="n"/>
      <c r="D63" s="18" t="n"/>
      <c r="E63" s="26" t="n"/>
      <c r="F63" s="26" t="n"/>
      <c r="G63" s="18" t="n"/>
      <c r="H63" s="18" t="n"/>
    </row>
    <row r="64" ht="15" customHeight="1">
      <c r="A64" s="24" t="n"/>
      <c r="B64" s="18" t="n"/>
      <c r="C64" s="18" t="n"/>
      <c r="D64" s="18" t="n"/>
      <c r="E64" s="26" t="n"/>
      <c r="F64" s="26" t="n"/>
      <c r="G64" s="18" t="n"/>
      <c r="H64" s="18" t="n"/>
    </row>
    <row r="65" ht="15" customHeight="1">
      <c r="A65" s="24" t="n"/>
      <c r="B65" s="18" t="n"/>
      <c r="C65" s="18" t="n"/>
      <c r="D65" s="18" t="n"/>
      <c r="E65" s="26" t="n"/>
      <c r="F65" s="26" t="n"/>
      <c r="G65" s="18" t="n"/>
      <c r="H65" s="18" t="n"/>
    </row>
    <row r="66" ht="15" customHeight="1">
      <c r="A66" s="24" t="n"/>
      <c r="B66" s="18" t="n"/>
      <c r="C66" s="18" t="n"/>
      <c r="D66" s="18" t="n"/>
      <c r="E66" s="26" t="n"/>
      <c r="F66" s="26" t="n"/>
      <c r="G66" s="18" t="n"/>
      <c r="H66" s="18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S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6" customHeight="1">
      <c r="A1" s="1" t="inlineStr">
        <is>
          <t>LANDED COST</t>
        </is>
      </c>
    </row>
    <row r="2">
      <c r="A2" s="2" t="inlineStr">
        <is>
          <t>LANDED NET = bruto - desconto - rebate + frete + seguro + descarga + armazenagem + trib.nao-recup - creditos recuperaveis. Nunca usar preco de NF puro.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MATERIAL_ID</t>
        </is>
      </c>
      <c r="B6" s="5" t="inlineStr">
        <is>
          <t>SUPPLIER_ID</t>
        </is>
      </c>
      <c r="C6" s="5" t="inlineStr">
        <is>
          <t>PERIOD</t>
        </is>
      </c>
      <c r="D6" s="5" t="inlineStr">
        <is>
          <t>Unid</t>
        </is>
      </c>
      <c r="E6" s="5" t="inlineStr">
        <is>
          <t>Preco bruto
(R$/un)</t>
        </is>
      </c>
      <c r="F6" s="5" t="inlineStr">
        <is>
          <t>(-) Desconto
incond.</t>
        </is>
      </c>
      <c r="G6" s="5" t="inlineStr">
        <is>
          <t>(-) Rebate
atribuivel</t>
        </is>
      </c>
      <c r="H6" s="5" t="inlineStr">
        <is>
          <t>(+) Frete
inbound</t>
        </is>
      </c>
      <c r="I6" s="5" t="inlineStr">
        <is>
          <t>(+) Seguro</t>
        </is>
      </c>
      <c r="J6" s="5" t="inlineStr">
        <is>
          <t>(+) Descarga</t>
        </is>
      </c>
      <c r="K6" s="5" t="inlineStr">
        <is>
          <t>(+) Armazenag.</t>
        </is>
      </c>
      <c r="L6" s="5" t="inlineStr">
        <is>
          <t>(+) Trib. nao
recuperavel</t>
        </is>
      </c>
      <c r="M6" s="5" t="inlineStr">
        <is>
          <t>(-) Creditos
recuperaveis</t>
        </is>
      </c>
      <c r="N6" s="5" t="inlineStr">
        <is>
          <t>LANDED NET
(R$/un)</t>
        </is>
      </c>
      <c r="O6" s="5" t="inlineStr">
        <is>
          <t>Fator
un-&gt;t</t>
        </is>
      </c>
      <c r="P6" s="5" t="inlineStr">
        <is>
          <t>LANDED NET
(R$/t)</t>
        </is>
      </c>
      <c r="Q6" s="5" t="inlineStr">
        <is>
          <t>Desembolso
financeiro</t>
        </is>
      </c>
      <c r="R6" s="5" t="inlineStr">
        <is>
          <t>Credito
fiscal</t>
        </is>
      </c>
      <c r="S6" s="5" t="inlineStr">
        <is>
          <t>Custo
contabil</t>
        </is>
      </c>
    </row>
    <row r="7">
      <c r="A7" s="15" t="inlineStr">
        <is>
          <t>M001</t>
        </is>
      </c>
      <c r="B7" s="28" t="inlineStr">
        <is>
          <t>S001</t>
        </is>
      </c>
      <c r="C7" s="28" t="inlineStr">
        <is>
          <t>2026-03</t>
        </is>
      </c>
      <c r="D7" s="28" t="inlineStr">
        <is>
          <t>t</t>
        </is>
      </c>
      <c r="E7" s="35" t="n">
        <v>700</v>
      </c>
      <c r="F7" s="35" t="n">
        <v>20</v>
      </c>
      <c r="G7" s="35" t="n">
        <v>10</v>
      </c>
      <c r="H7" s="35" t="n">
        <v>45</v>
      </c>
      <c r="I7" s="35" t="n">
        <v>3</v>
      </c>
      <c r="J7" s="35" t="n">
        <v>8</v>
      </c>
      <c r="K7" s="35" t="n">
        <v>6</v>
      </c>
      <c r="L7" s="35" t="n">
        <v>0</v>
      </c>
      <c r="M7" s="35" t="n">
        <v>92</v>
      </c>
      <c r="N7" s="36">
        <f>E7-F7-G7+H7+I7+J7+K7+L7-M7</f>
        <v/>
      </c>
      <c r="O7" s="29">
        <f>IF(D7="kg",1000,1)</f>
        <v/>
      </c>
      <c r="P7" s="31">
        <f>N7*O7</f>
        <v/>
      </c>
      <c r="Q7" s="36">
        <f>E7-F7-G7+H7+I7+J7+K7+L7</f>
        <v/>
      </c>
      <c r="R7" s="36">
        <f>M7</f>
        <v/>
      </c>
      <c r="S7" s="36">
        <f>N7</f>
        <v/>
      </c>
    </row>
    <row r="8">
      <c r="A8" s="15" t="inlineStr">
        <is>
          <t>M002</t>
        </is>
      </c>
      <c r="B8" s="28" t="inlineStr">
        <is>
          <t>S002</t>
        </is>
      </c>
      <c r="C8" s="28" t="inlineStr">
        <is>
          <t>2026-03</t>
        </is>
      </c>
      <c r="D8" s="28" t="inlineStr">
        <is>
          <t>t</t>
        </is>
      </c>
      <c r="E8" s="35" t="n">
        <v>55</v>
      </c>
      <c r="F8" s="35" t="n">
        <v>0</v>
      </c>
      <c r="G8" s="35" t="n">
        <v>0</v>
      </c>
      <c r="H8" s="35" t="n">
        <v>22</v>
      </c>
      <c r="I8" s="35" t="n">
        <v>1</v>
      </c>
      <c r="J8" s="35" t="n">
        <v>5</v>
      </c>
      <c r="K8" s="35" t="n">
        <v>3</v>
      </c>
      <c r="L8" s="35" t="n">
        <v>0</v>
      </c>
      <c r="M8" s="35" t="n">
        <v>20</v>
      </c>
      <c r="N8" s="36">
        <f>E8-F8-G8+H8+I8+J8+K8+L8-M8</f>
        <v/>
      </c>
      <c r="O8" s="29">
        <f>IF(D8="kg",1000,1)</f>
        <v/>
      </c>
      <c r="P8" s="31">
        <f>N8*O8</f>
        <v/>
      </c>
      <c r="Q8" s="36">
        <f>E8-F8-G8+H8+I8+J8+K8+L8</f>
        <v/>
      </c>
      <c r="R8" s="36">
        <f>M8</f>
        <v/>
      </c>
      <c r="S8" s="36">
        <f>N8</f>
        <v/>
      </c>
    </row>
    <row r="9">
      <c r="A9" s="15" t="inlineStr">
        <is>
          <t>M003</t>
        </is>
      </c>
      <c r="B9" s="28" t="inlineStr">
        <is>
          <t>S001</t>
        </is>
      </c>
      <c r="C9" s="28" t="inlineStr">
        <is>
          <t>2026-03</t>
        </is>
      </c>
      <c r="D9" s="28" t="inlineStr">
        <is>
          <t>t</t>
        </is>
      </c>
      <c r="E9" s="35" t="n">
        <v>520</v>
      </c>
      <c r="F9" s="35" t="n">
        <v>15</v>
      </c>
      <c r="G9" s="35" t="n">
        <v>0</v>
      </c>
      <c r="H9" s="35" t="n">
        <v>40</v>
      </c>
      <c r="I9" s="35" t="n">
        <v>2</v>
      </c>
      <c r="J9" s="35" t="n">
        <v>6</v>
      </c>
      <c r="K9" s="35" t="n">
        <v>4</v>
      </c>
      <c r="L9" s="35" t="n">
        <v>0</v>
      </c>
      <c r="M9" s="35" t="n">
        <v>72</v>
      </c>
      <c r="N9" s="36">
        <f>E9-F9-G9+H9+I9+J9+K9+L9-M9</f>
        <v/>
      </c>
      <c r="O9" s="29">
        <f>IF(D9="kg",1000,1)</f>
        <v/>
      </c>
      <c r="P9" s="31">
        <f>N9*O9</f>
        <v/>
      </c>
      <c r="Q9" s="36">
        <f>E9-F9-G9+H9+I9+J9+K9+L9</f>
        <v/>
      </c>
      <c r="R9" s="36">
        <f>M9</f>
        <v/>
      </c>
      <c r="S9" s="36">
        <f>N9</f>
        <v/>
      </c>
    </row>
    <row r="10">
      <c r="A10" s="15" t="inlineStr">
        <is>
          <t>M004</t>
        </is>
      </c>
      <c r="B10" s="28" t="inlineStr">
        <is>
          <t>S003</t>
        </is>
      </c>
      <c r="C10" s="28" t="inlineStr">
        <is>
          <t>2026-03</t>
        </is>
      </c>
      <c r="D10" s="28" t="inlineStr">
        <is>
          <t>kg</t>
        </is>
      </c>
      <c r="E10" s="35" t="n">
        <v>19</v>
      </c>
      <c r="F10" s="35" t="n">
        <v>0.4</v>
      </c>
      <c r="G10" s="35" t="n">
        <v>0</v>
      </c>
      <c r="H10" s="35" t="n">
        <v>0.6</v>
      </c>
      <c r="I10" s="35" t="n">
        <v>0.05</v>
      </c>
      <c r="J10" s="35" t="n">
        <v>0.1</v>
      </c>
      <c r="K10" s="35" t="n">
        <v>0.05</v>
      </c>
      <c r="L10" s="35" t="n">
        <v>0</v>
      </c>
      <c r="M10" s="35" t="n">
        <v>2.4</v>
      </c>
      <c r="N10" s="36">
        <f>E10-F10-G10+H10+I10+J10+K10+L10-M10</f>
        <v/>
      </c>
      <c r="O10" s="29">
        <f>IF(D10="kg",1000,1)</f>
        <v/>
      </c>
      <c r="P10" s="31">
        <f>N10*O10</f>
        <v/>
      </c>
      <c r="Q10" s="36">
        <f>E10-F10-G10+H10+I10+J10+K10+L10</f>
        <v/>
      </c>
      <c r="R10" s="36">
        <f>M10</f>
        <v/>
      </c>
      <c r="S10" s="36">
        <f>N10</f>
        <v/>
      </c>
    </row>
    <row r="11">
      <c r="A11" s="15" t="inlineStr">
        <is>
          <t>M005</t>
        </is>
      </c>
      <c r="B11" s="28" t="inlineStr">
        <is>
          <t>S003</t>
        </is>
      </c>
      <c r="C11" s="28" t="inlineStr">
        <is>
          <t>2026-03</t>
        </is>
      </c>
      <c r="D11" s="28" t="inlineStr">
        <is>
          <t>kg</t>
        </is>
      </c>
      <c r="E11" s="35" t="n">
        <v>9.5</v>
      </c>
      <c r="F11" s="35" t="n">
        <v>0.2</v>
      </c>
      <c r="G11" s="35" t="n">
        <v>0</v>
      </c>
      <c r="H11" s="35" t="n">
        <v>0.4</v>
      </c>
      <c r="I11" s="35" t="n">
        <v>0.03</v>
      </c>
      <c r="J11" s="35" t="n">
        <v>0.05</v>
      </c>
      <c r="K11" s="35" t="n">
        <v>0.03</v>
      </c>
      <c r="L11" s="35" t="n">
        <v>0</v>
      </c>
      <c r="M11" s="35" t="n">
        <v>1.2</v>
      </c>
      <c r="N11" s="36">
        <f>E11-F11-G11+H11+I11+J11+K11+L11-M11</f>
        <v/>
      </c>
      <c r="O11" s="29">
        <f>IF(D11="kg",1000,1)</f>
        <v/>
      </c>
      <c r="P11" s="31">
        <f>N11*O11</f>
        <v/>
      </c>
      <c r="Q11" s="36">
        <f>E11-F11-G11+H11+I11+J11+K11+L11</f>
        <v/>
      </c>
      <c r="R11" s="36">
        <f>M11</f>
        <v/>
      </c>
      <c r="S11" s="36">
        <f>N11</f>
        <v/>
      </c>
    </row>
    <row r="12">
      <c r="A12" s="24" t="n"/>
      <c r="B12" s="18" t="n"/>
      <c r="C12" s="18" t="n"/>
      <c r="D12" s="18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8">
        <f>E12-F12-G12+H12+I12+J12+K12+L12-M12</f>
        <v/>
      </c>
      <c r="O12" s="39">
        <f>IF(D12="kg",1000,1)</f>
        <v/>
      </c>
      <c r="P12" s="33">
        <f>N12*O12</f>
        <v/>
      </c>
      <c r="Q12" s="38">
        <f>E12-F12-G12+H12+I12+J12+K12+L12</f>
        <v/>
      </c>
      <c r="R12" s="38">
        <f>M12</f>
        <v/>
      </c>
      <c r="S12" s="38">
        <f>N12</f>
        <v/>
      </c>
    </row>
    <row r="13">
      <c r="A13" s="24" t="n"/>
      <c r="B13" s="18" t="n"/>
      <c r="C13" s="18" t="n"/>
      <c r="D13" s="18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>
        <f>E13-F13-G13+H13+I13+J13+K13+L13-M13</f>
        <v/>
      </c>
      <c r="O13" s="39">
        <f>IF(D13="kg",1000,1)</f>
        <v/>
      </c>
      <c r="P13" s="33">
        <f>N13*O13</f>
        <v/>
      </c>
      <c r="Q13" s="38">
        <f>E13-F13-G13+H13+I13+J13+K13+L13</f>
        <v/>
      </c>
      <c r="R13" s="38">
        <f>M13</f>
        <v/>
      </c>
      <c r="S13" s="38">
        <f>N13</f>
        <v/>
      </c>
    </row>
    <row r="14">
      <c r="A14" s="24" t="n"/>
      <c r="B14" s="18" t="n"/>
      <c r="C14" s="18" t="n"/>
      <c r="D14" s="18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8">
        <f>E14-F14-G14+H14+I14+J14+K14+L14-M14</f>
        <v/>
      </c>
      <c r="O14" s="39">
        <f>IF(D14="kg",1000,1)</f>
        <v/>
      </c>
      <c r="P14" s="33">
        <f>N14*O14</f>
        <v/>
      </c>
      <c r="Q14" s="38">
        <f>E14-F14-G14+H14+I14+J14+K14+L14</f>
        <v/>
      </c>
      <c r="R14" s="38">
        <f>M14</f>
        <v/>
      </c>
      <c r="S14" s="38">
        <f>N14</f>
        <v/>
      </c>
    </row>
    <row r="15">
      <c r="A15" s="24" t="n"/>
      <c r="B15" s="18" t="n"/>
      <c r="C15" s="18" t="n"/>
      <c r="D15" s="18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8">
        <f>E15-F15-G15+H15+I15+J15+K15+L15-M15</f>
        <v/>
      </c>
      <c r="O15" s="39">
        <f>IF(D15="kg",1000,1)</f>
        <v/>
      </c>
      <c r="P15" s="33">
        <f>N15*O15</f>
        <v/>
      </c>
      <c r="Q15" s="38">
        <f>E15-F15-G15+H15+I15+J15+K15+L15</f>
        <v/>
      </c>
      <c r="R15" s="38">
        <f>M15</f>
        <v/>
      </c>
      <c r="S15" s="38">
        <f>N15</f>
        <v/>
      </c>
    </row>
    <row r="16">
      <c r="A16" s="24" t="n"/>
      <c r="B16" s="18" t="n"/>
      <c r="C16" s="18" t="n"/>
      <c r="D16" s="18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8">
        <f>E16-F16-G16+H16+I16+J16+K16+L16-M16</f>
        <v/>
      </c>
      <c r="O16" s="39">
        <f>IF(D16="kg",1000,1)</f>
        <v/>
      </c>
      <c r="P16" s="33">
        <f>N16*O16</f>
        <v/>
      </c>
      <c r="Q16" s="38">
        <f>E16-F16-G16+H16+I16+J16+K16+L16</f>
        <v/>
      </c>
      <c r="R16" s="38">
        <f>M16</f>
        <v/>
      </c>
      <c r="S16" s="38">
        <f>N16</f>
        <v/>
      </c>
    </row>
    <row r="17">
      <c r="A17" s="24" t="n"/>
      <c r="B17" s="18" t="n"/>
      <c r="C17" s="18" t="n"/>
      <c r="D17" s="18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8">
        <f>E17-F17-G17+H17+I17+J17+K17+L17-M17</f>
        <v/>
      </c>
      <c r="O17" s="39">
        <f>IF(D17="kg",1000,1)</f>
        <v/>
      </c>
      <c r="P17" s="33">
        <f>N17*O17</f>
        <v/>
      </c>
      <c r="Q17" s="38">
        <f>E17-F17-G17+H17+I17+J17+K17+L17</f>
        <v/>
      </c>
      <c r="R17" s="38">
        <f>M17</f>
        <v/>
      </c>
      <c r="S17" s="38">
        <f>N17</f>
        <v/>
      </c>
    </row>
    <row r="18">
      <c r="A18" s="24" t="n"/>
      <c r="B18" s="18" t="n"/>
      <c r="C18" s="18" t="n"/>
      <c r="D18" s="18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8">
        <f>E18-F18-G18+H18+I18+J18+K18+L18-M18</f>
        <v/>
      </c>
      <c r="O18" s="39">
        <f>IF(D18="kg",1000,1)</f>
        <v/>
      </c>
      <c r="P18" s="33">
        <f>N18*O18</f>
        <v/>
      </c>
      <c r="Q18" s="38">
        <f>E18-F18-G18+H18+I18+J18+K18+L18</f>
        <v/>
      </c>
      <c r="R18" s="38">
        <f>M18</f>
        <v/>
      </c>
      <c r="S18" s="38">
        <f>N18</f>
        <v/>
      </c>
    </row>
    <row r="19">
      <c r="A19" s="24" t="n"/>
      <c r="B19" s="18" t="n"/>
      <c r="C19" s="18" t="n"/>
      <c r="D19" s="18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8">
        <f>E19-F19-G19+H19+I19+J19+K19+L19-M19</f>
        <v/>
      </c>
      <c r="O19" s="39">
        <f>IF(D19="kg",1000,1)</f>
        <v/>
      </c>
      <c r="P19" s="33">
        <f>N19*O19</f>
        <v/>
      </c>
      <c r="Q19" s="38">
        <f>E19-F19-G19+H19+I19+J19+K19+L19</f>
        <v/>
      </c>
      <c r="R19" s="38">
        <f>M19</f>
        <v/>
      </c>
      <c r="S19" s="38">
        <f>N19</f>
        <v/>
      </c>
    </row>
    <row r="20">
      <c r="A20" s="24" t="n"/>
      <c r="B20" s="18" t="n"/>
      <c r="C20" s="18" t="n"/>
      <c r="D20" s="18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8">
        <f>E20-F20-G20+H20+I20+J20+K20+L20-M20</f>
        <v/>
      </c>
      <c r="O20" s="39">
        <f>IF(D20="kg",1000,1)</f>
        <v/>
      </c>
      <c r="P20" s="33">
        <f>N20*O20</f>
        <v/>
      </c>
      <c r="Q20" s="38">
        <f>E20-F20-G20+H20+I20+J20+K20+L20</f>
        <v/>
      </c>
      <c r="R20" s="38">
        <f>M20</f>
        <v/>
      </c>
      <c r="S20" s="38">
        <f>N20</f>
        <v/>
      </c>
    </row>
    <row r="21">
      <c r="A21" s="24" t="n"/>
      <c r="B21" s="18" t="n"/>
      <c r="C21" s="18" t="n"/>
      <c r="D21" s="18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8">
        <f>E21-F21-G21+H21+I21+J21+K21+L21-M21</f>
        <v/>
      </c>
      <c r="O21" s="39">
        <f>IF(D21="kg",1000,1)</f>
        <v/>
      </c>
      <c r="P21" s="33">
        <f>N21*O21</f>
        <v/>
      </c>
      <c r="Q21" s="38">
        <f>E21-F21-G21+H21+I21+J21+K21+L21</f>
        <v/>
      </c>
      <c r="R21" s="38">
        <f>M21</f>
        <v/>
      </c>
      <c r="S21" s="38">
        <f>N21</f>
        <v/>
      </c>
    </row>
    <row r="22">
      <c r="A22" s="24" t="n"/>
      <c r="B22" s="18" t="n"/>
      <c r="C22" s="18" t="n"/>
      <c r="D22" s="18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8">
        <f>E22-F22-G22+H22+I22+J22+K22+L22-M22</f>
        <v/>
      </c>
      <c r="O22" s="39">
        <f>IF(D22="kg",1000,1)</f>
        <v/>
      </c>
      <c r="P22" s="33">
        <f>N22*O22</f>
        <v/>
      </c>
      <c r="Q22" s="38">
        <f>E22-F22-G22+H22+I22+J22+K22+L22</f>
        <v/>
      </c>
      <c r="R22" s="38">
        <f>M22</f>
        <v/>
      </c>
      <c r="S22" s="38">
        <f>N22</f>
        <v/>
      </c>
    </row>
    <row r="23">
      <c r="A23" s="24" t="n"/>
      <c r="B23" s="18" t="n"/>
      <c r="C23" s="18" t="n"/>
      <c r="D23" s="18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8">
        <f>E23-F23-G23+H23+I23+J23+K23+L23-M23</f>
        <v/>
      </c>
      <c r="O23" s="39">
        <f>IF(D23="kg",1000,1)</f>
        <v/>
      </c>
      <c r="P23" s="33">
        <f>N23*O23</f>
        <v/>
      </c>
      <c r="Q23" s="38">
        <f>E23-F23-G23+H23+I23+J23+K23+L23</f>
        <v/>
      </c>
      <c r="R23" s="38">
        <f>M23</f>
        <v/>
      </c>
      <c r="S23" s="38">
        <f>N23</f>
        <v/>
      </c>
    </row>
    <row r="24">
      <c r="A24" s="24" t="n"/>
      <c r="B24" s="18" t="n"/>
      <c r="C24" s="18" t="n"/>
      <c r="D24" s="18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8">
        <f>E24-F24-G24+H24+I24+J24+K24+L24-M24</f>
        <v/>
      </c>
      <c r="O24" s="39">
        <f>IF(D24="kg",1000,1)</f>
        <v/>
      </c>
      <c r="P24" s="33">
        <f>N24*O24</f>
        <v/>
      </c>
      <c r="Q24" s="38">
        <f>E24-F24-G24+H24+I24+J24+K24+L24</f>
        <v/>
      </c>
      <c r="R24" s="38">
        <f>M24</f>
        <v/>
      </c>
      <c r="S24" s="38">
        <f>N24</f>
        <v/>
      </c>
    </row>
    <row r="25">
      <c r="A25" s="24" t="n"/>
      <c r="B25" s="18" t="n"/>
      <c r="C25" s="18" t="n"/>
      <c r="D25" s="18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8">
        <f>E25-F25-G25+H25+I25+J25+K25+L25-M25</f>
        <v/>
      </c>
      <c r="O25" s="39">
        <f>IF(D25="kg",1000,1)</f>
        <v/>
      </c>
      <c r="P25" s="33">
        <f>N25*O25</f>
        <v/>
      </c>
      <c r="Q25" s="38">
        <f>E25-F25-G25+H25+I25+J25+K25+L25</f>
        <v/>
      </c>
      <c r="R25" s="38">
        <f>M25</f>
        <v/>
      </c>
      <c r="S25" s="38">
        <f>N25</f>
        <v/>
      </c>
    </row>
    <row r="26">
      <c r="A26" s="24" t="n"/>
      <c r="B26" s="18" t="n"/>
      <c r="C26" s="18" t="n"/>
      <c r="D26" s="18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8">
        <f>E26-F26-G26+H26+I26+J26+K26+L26-M26</f>
        <v/>
      </c>
      <c r="O26" s="39">
        <f>IF(D26="kg",1000,1)</f>
        <v/>
      </c>
      <c r="P26" s="33">
        <f>N26*O26</f>
        <v/>
      </c>
      <c r="Q26" s="38">
        <f>E26-F26-G26+H26+I26+J26+K26+L26</f>
        <v/>
      </c>
      <c r="R26" s="38">
        <f>M26</f>
        <v/>
      </c>
      <c r="S26" s="38">
        <f>N26</f>
        <v/>
      </c>
    </row>
    <row r="27">
      <c r="A27" s="24" t="n"/>
      <c r="B27" s="18" t="n"/>
      <c r="C27" s="18" t="n"/>
      <c r="D27" s="18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8">
        <f>E27-F27-G27+H27+I27+J27+K27+L27-M27</f>
        <v/>
      </c>
      <c r="O27" s="39">
        <f>IF(D27="kg",1000,1)</f>
        <v/>
      </c>
      <c r="P27" s="33">
        <f>N27*O27</f>
        <v/>
      </c>
      <c r="Q27" s="38">
        <f>E27-F27-G27+H27+I27+J27+K27+L27</f>
        <v/>
      </c>
      <c r="R27" s="38">
        <f>M27</f>
        <v/>
      </c>
      <c r="S27" s="38">
        <f>N27</f>
        <v/>
      </c>
    </row>
    <row r="28">
      <c r="A28" s="24" t="n"/>
      <c r="B28" s="18" t="n"/>
      <c r="C28" s="18" t="n"/>
      <c r="D28" s="18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8">
        <f>E28-F28-G28+H28+I28+J28+K28+L28-M28</f>
        <v/>
      </c>
      <c r="O28" s="39">
        <f>IF(D28="kg",1000,1)</f>
        <v/>
      </c>
      <c r="P28" s="33">
        <f>N28*O28</f>
        <v/>
      </c>
      <c r="Q28" s="38">
        <f>E28-F28-G28+H28+I28+J28+K28+L28</f>
        <v/>
      </c>
      <c r="R28" s="38">
        <f>M28</f>
        <v/>
      </c>
      <c r="S28" s="38">
        <f>N28</f>
        <v/>
      </c>
    </row>
    <row r="29">
      <c r="A29" s="24" t="n"/>
      <c r="B29" s="18" t="n"/>
      <c r="C29" s="18" t="n"/>
      <c r="D29" s="18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8">
        <f>E29-F29-G29+H29+I29+J29+K29+L29-M29</f>
        <v/>
      </c>
      <c r="O29" s="39">
        <f>IF(D29="kg",1000,1)</f>
        <v/>
      </c>
      <c r="P29" s="33">
        <f>N29*O29</f>
        <v/>
      </c>
      <c r="Q29" s="38">
        <f>E29-F29-G29+H29+I29+J29+K29+L29</f>
        <v/>
      </c>
      <c r="R29" s="38">
        <f>M29</f>
        <v/>
      </c>
      <c r="S29" s="38">
        <f>N29</f>
        <v/>
      </c>
    </row>
    <row r="30">
      <c r="A30" s="24" t="n"/>
      <c r="B30" s="18" t="n"/>
      <c r="C30" s="18" t="n"/>
      <c r="D30" s="18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8">
        <f>E30-F30-G30+H30+I30+J30+K30+L30-M30</f>
        <v/>
      </c>
      <c r="O30" s="39">
        <f>IF(D30="kg",1000,1)</f>
        <v/>
      </c>
      <c r="P30" s="33">
        <f>N30*O30</f>
        <v/>
      </c>
      <c r="Q30" s="38">
        <f>E30-F30-G30+H30+I30+J30+K30+L30</f>
        <v/>
      </c>
      <c r="R30" s="38">
        <f>M30</f>
        <v/>
      </c>
      <c r="S30" s="38">
        <f>N30</f>
        <v/>
      </c>
    </row>
    <row r="31">
      <c r="A31" s="24" t="n"/>
      <c r="B31" s="18" t="n"/>
      <c r="C31" s="18" t="n"/>
      <c r="D31" s="18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8">
        <f>E31-F31-G31+H31+I31+J31+K31+L31-M31</f>
        <v/>
      </c>
      <c r="O31" s="39">
        <f>IF(D31="kg",1000,1)</f>
        <v/>
      </c>
      <c r="P31" s="33">
        <f>N31*O31</f>
        <v/>
      </c>
      <c r="Q31" s="38">
        <f>E31-F31-G31+H31+I31+J31+K31+L31</f>
        <v/>
      </c>
      <c r="R31" s="38">
        <f>M31</f>
        <v/>
      </c>
      <c r="S31" s="38">
        <f>N31</f>
        <v/>
      </c>
    </row>
    <row r="32">
      <c r="A32" s="24" t="n"/>
      <c r="B32" s="18" t="n"/>
      <c r="C32" s="18" t="n"/>
      <c r="D32" s="18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8">
        <f>E32-F32-G32+H32+I32+J32+K32+L32-M32</f>
        <v/>
      </c>
      <c r="O32" s="39">
        <f>IF(D32="kg",1000,1)</f>
        <v/>
      </c>
      <c r="P32" s="33">
        <f>N32*O32</f>
        <v/>
      </c>
      <c r="Q32" s="38">
        <f>E32-F32-G32+H32+I32+J32+K32+L32</f>
        <v/>
      </c>
      <c r="R32" s="38">
        <f>M32</f>
        <v/>
      </c>
      <c r="S32" s="38">
        <f>N32</f>
        <v/>
      </c>
    </row>
    <row r="33">
      <c r="A33" s="24" t="n"/>
      <c r="B33" s="18" t="n"/>
      <c r="C33" s="18" t="n"/>
      <c r="D33" s="18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8">
        <f>E33-F33-G33+H33+I33+J33+K33+L33-M33</f>
        <v/>
      </c>
      <c r="O33" s="39">
        <f>IF(D33="kg",1000,1)</f>
        <v/>
      </c>
      <c r="P33" s="33">
        <f>N33*O33</f>
        <v/>
      </c>
      <c r="Q33" s="38">
        <f>E33-F33-G33+H33+I33+J33+K33+L33</f>
        <v/>
      </c>
      <c r="R33" s="38">
        <f>M33</f>
        <v/>
      </c>
      <c r="S33" s="38">
        <f>N33</f>
        <v/>
      </c>
    </row>
    <row r="34">
      <c r="A34" s="24" t="n"/>
      <c r="B34" s="18" t="n"/>
      <c r="C34" s="18" t="n"/>
      <c r="D34" s="18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8">
        <f>E34-F34-G34+H34+I34+J34+K34+L34-M34</f>
        <v/>
      </c>
      <c r="O34" s="39">
        <f>IF(D34="kg",1000,1)</f>
        <v/>
      </c>
      <c r="P34" s="33">
        <f>N34*O34</f>
        <v/>
      </c>
      <c r="Q34" s="38">
        <f>E34-F34-G34+H34+I34+J34+K34+L34</f>
        <v/>
      </c>
      <c r="R34" s="38">
        <f>M34</f>
        <v/>
      </c>
      <c r="S34" s="38">
        <f>N34</f>
        <v/>
      </c>
    </row>
    <row r="35">
      <c r="A35" s="24" t="n"/>
      <c r="B35" s="18" t="n"/>
      <c r="C35" s="18" t="n"/>
      <c r="D35" s="18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8">
        <f>E35-F35-G35+H35+I35+J35+K35+L35-M35</f>
        <v/>
      </c>
      <c r="O35" s="39">
        <f>IF(D35="kg",1000,1)</f>
        <v/>
      </c>
      <c r="P35" s="33">
        <f>N35*O35</f>
        <v/>
      </c>
      <c r="Q35" s="38">
        <f>E35-F35-G35+H35+I35+J35+K35+L35</f>
        <v/>
      </c>
      <c r="R35" s="38">
        <f>M35</f>
        <v/>
      </c>
      <c r="S35" s="38">
        <f>N35</f>
        <v/>
      </c>
    </row>
    <row r="36">
      <c r="A36" s="24" t="n"/>
      <c r="B36" s="18" t="n"/>
      <c r="C36" s="18" t="n"/>
      <c r="D36" s="18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8">
        <f>E36-F36-G36+H36+I36+J36+K36+L36-M36</f>
        <v/>
      </c>
      <c r="O36" s="39">
        <f>IF(D36="kg",1000,1)</f>
        <v/>
      </c>
      <c r="P36" s="33">
        <f>N36*O36</f>
        <v/>
      </c>
      <c r="Q36" s="38">
        <f>E36-F36-G36+H36+I36+J36+K36+L36</f>
        <v/>
      </c>
      <c r="R36" s="38">
        <f>M36</f>
        <v/>
      </c>
      <c r="S36" s="38">
        <f>N36</f>
        <v/>
      </c>
    </row>
    <row r="37">
      <c r="A37" s="24" t="n"/>
      <c r="B37" s="18" t="n"/>
      <c r="C37" s="18" t="n"/>
      <c r="D37" s="18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8">
        <f>E37-F37-G37+H37+I37+J37+K37+L37-M37</f>
        <v/>
      </c>
      <c r="O37" s="39">
        <f>IF(D37="kg",1000,1)</f>
        <v/>
      </c>
      <c r="P37" s="33">
        <f>N37*O37</f>
        <v/>
      </c>
      <c r="Q37" s="38">
        <f>E37-F37-G37+H37+I37+J37+K37+L37</f>
        <v/>
      </c>
      <c r="R37" s="38">
        <f>M37</f>
        <v/>
      </c>
      <c r="S37" s="38">
        <f>N37</f>
        <v/>
      </c>
    </row>
    <row r="38">
      <c r="A38" s="24" t="n"/>
      <c r="B38" s="18" t="n"/>
      <c r="C38" s="18" t="n"/>
      <c r="D38" s="18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8">
        <f>E38-F38-G38+H38+I38+J38+K38+L38-M38</f>
        <v/>
      </c>
      <c r="O38" s="39">
        <f>IF(D38="kg",1000,1)</f>
        <v/>
      </c>
      <c r="P38" s="33">
        <f>N38*O38</f>
        <v/>
      </c>
      <c r="Q38" s="38">
        <f>E38-F38-G38+H38+I38+J38+K38+L38</f>
        <v/>
      </c>
      <c r="R38" s="38">
        <f>M38</f>
        <v/>
      </c>
      <c r="S38" s="38">
        <f>N38</f>
        <v/>
      </c>
    </row>
    <row r="39">
      <c r="A39" s="24" t="n"/>
      <c r="B39" s="18" t="n"/>
      <c r="C39" s="18" t="n"/>
      <c r="D39" s="18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8">
        <f>E39-F39-G39+H39+I39+J39+K39+L39-M39</f>
        <v/>
      </c>
      <c r="O39" s="39">
        <f>IF(D39="kg",1000,1)</f>
        <v/>
      </c>
      <c r="P39" s="33">
        <f>N39*O39</f>
        <v/>
      </c>
      <c r="Q39" s="38">
        <f>E39-F39-G39+H39+I39+J39+K39+L39</f>
        <v/>
      </c>
      <c r="R39" s="38">
        <f>M39</f>
        <v/>
      </c>
      <c r="S39" s="38">
        <f>N39</f>
        <v/>
      </c>
    </row>
    <row r="40">
      <c r="A40" s="24" t="n"/>
      <c r="B40" s="18" t="n"/>
      <c r="C40" s="18" t="n"/>
      <c r="D40" s="18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8">
        <f>E40-F40-G40+H40+I40+J40+K40+L40-M40</f>
        <v/>
      </c>
      <c r="O40" s="39">
        <f>IF(D40="kg",1000,1)</f>
        <v/>
      </c>
      <c r="P40" s="33">
        <f>N40*O40</f>
        <v/>
      </c>
      <c r="Q40" s="38">
        <f>E40-F40-G40+H40+I40+J40+K40+L40</f>
        <v/>
      </c>
      <c r="R40" s="38">
        <f>M40</f>
        <v/>
      </c>
      <c r="S40" s="38">
        <f>N40</f>
        <v/>
      </c>
    </row>
    <row r="41">
      <c r="A41" s="24" t="n"/>
      <c r="B41" s="18" t="n"/>
      <c r="C41" s="18" t="n"/>
      <c r="D41" s="18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8">
        <f>E41-F41-G41+H41+I41+J41+K41+L41-M41</f>
        <v/>
      </c>
      <c r="O41" s="39">
        <f>IF(D41="kg",1000,1)</f>
        <v/>
      </c>
      <c r="P41" s="33">
        <f>N41*O41</f>
        <v/>
      </c>
      <c r="Q41" s="38">
        <f>E41-F41-G41+H41+I41+J41+K41+L41</f>
        <v/>
      </c>
      <c r="R41" s="38">
        <f>M41</f>
        <v/>
      </c>
      <c r="S41" s="38">
        <f>N41</f>
        <v/>
      </c>
    </row>
    <row r="42">
      <c r="A42" s="24" t="n"/>
      <c r="B42" s="18" t="n"/>
      <c r="C42" s="18" t="n"/>
      <c r="D42" s="18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8">
        <f>E42-F42-G42+H42+I42+J42+K42+L42-M42</f>
        <v/>
      </c>
      <c r="O42" s="39">
        <f>IF(D42="kg",1000,1)</f>
        <v/>
      </c>
      <c r="P42" s="33">
        <f>N42*O42</f>
        <v/>
      </c>
      <c r="Q42" s="38">
        <f>E42-F42-G42+H42+I42+J42+K42+L42</f>
        <v/>
      </c>
      <c r="R42" s="38">
        <f>M42</f>
        <v/>
      </c>
      <c r="S42" s="38">
        <f>N42</f>
        <v/>
      </c>
    </row>
    <row r="43">
      <c r="A43" s="24" t="n"/>
      <c r="B43" s="18" t="n"/>
      <c r="C43" s="18" t="n"/>
      <c r="D43" s="18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8">
        <f>E43-F43-G43+H43+I43+J43+K43+L43-M43</f>
        <v/>
      </c>
      <c r="O43" s="39">
        <f>IF(D43="kg",1000,1)</f>
        <v/>
      </c>
      <c r="P43" s="33">
        <f>N43*O43</f>
        <v/>
      </c>
      <c r="Q43" s="38">
        <f>E43-F43-G43+H43+I43+J43+K43+L43</f>
        <v/>
      </c>
      <c r="R43" s="38">
        <f>M43</f>
        <v/>
      </c>
      <c r="S43" s="38">
        <f>N43</f>
        <v/>
      </c>
    </row>
    <row r="44">
      <c r="A44" s="24" t="n"/>
      <c r="B44" s="18" t="n"/>
      <c r="C44" s="18" t="n"/>
      <c r="D44" s="18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8">
        <f>E44-F44-G44+H44+I44+J44+K44+L44-M44</f>
        <v/>
      </c>
      <c r="O44" s="39">
        <f>IF(D44="kg",1000,1)</f>
        <v/>
      </c>
      <c r="P44" s="33">
        <f>N44*O44</f>
        <v/>
      </c>
      <c r="Q44" s="38">
        <f>E44-F44-G44+H44+I44+J44+K44+L44</f>
        <v/>
      </c>
      <c r="R44" s="38">
        <f>M44</f>
        <v/>
      </c>
      <c r="S44" s="38">
        <f>N44</f>
        <v/>
      </c>
    </row>
    <row r="45">
      <c r="A45" s="24" t="n"/>
      <c r="B45" s="18" t="n"/>
      <c r="C45" s="18" t="n"/>
      <c r="D45" s="18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8">
        <f>E45-F45-G45+H45+I45+J45+K45+L45-M45</f>
        <v/>
      </c>
      <c r="O45" s="39">
        <f>IF(D45="kg",1000,1)</f>
        <v/>
      </c>
      <c r="P45" s="33">
        <f>N45*O45</f>
        <v/>
      </c>
      <c r="Q45" s="38">
        <f>E45-F45-G45+H45+I45+J45+K45+L45</f>
        <v/>
      </c>
      <c r="R45" s="38">
        <f>M45</f>
        <v/>
      </c>
      <c r="S45" s="38">
        <f>N45</f>
        <v/>
      </c>
    </row>
    <row r="46">
      <c r="A46" s="24" t="n"/>
      <c r="B46" s="18" t="n"/>
      <c r="C46" s="18" t="n"/>
      <c r="D46" s="18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8">
        <f>E46-F46-G46+H46+I46+J46+K46+L46-M46</f>
        <v/>
      </c>
      <c r="O46" s="39">
        <f>IF(D46="kg",1000,1)</f>
        <v/>
      </c>
      <c r="P46" s="33">
        <f>N46*O46</f>
        <v/>
      </c>
      <c r="Q46" s="38">
        <f>E46-F46-G46+H46+I46+J46+K46+L46</f>
        <v/>
      </c>
      <c r="R46" s="38">
        <f>M46</f>
        <v/>
      </c>
      <c r="S46" s="38">
        <f>N46</f>
        <v/>
      </c>
    </row>
  </sheetData>
  <mergeCells count="8">
    <mergeCell ref="F4:G4"/>
    <mergeCell ref="J4:K4"/>
    <mergeCell ref="A2:S2"/>
    <mergeCell ref="L4:M4"/>
    <mergeCell ref="A1:S1"/>
    <mergeCell ref="D4:E4"/>
    <mergeCell ref="H4:I4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/>
  </sheetPr>
  <dimension ref="A1:S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4" customWidth="1" min="4" max="4"/>
    <col width="12" customWidth="1" min="5" max="5"/>
    <col width="8" customWidth="1" min="6" max="6"/>
    <col width="8" customWidth="1" min="7" max="7"/>
    <col width="10" customWidth="1" min="8" max="8"/>
    <col width="16" customWidth="1" min="9" max="9"/>
    <col width="9" customWidth="1" min="10" max="10"/>
    <col width="10" customWidth="1" min="11" max="11"/>
    <col width="10" customWidth="1" min="12" max="12"/>
    <col width="10" customWidth="1" min="13" max="13"/>
    <col width="16" customWidth="1" min="14" max="14"/>
    <col width="16" customWidth="1" min="15" max="15"/>
    <col width="12" customWidth="1" min="16" max="16"/>
    <col width="12" customWidth="1" min="17" max="17"/>
    <col width="12" customWidth="1" min="18" max="18"/>
    <col width="26" customWidth="1" min="19" max="19"/>
  </cols>
  <sheetData>
    <row r="1" ht="26" customHeight="1">
      <c r="A1" s="1" t="inlineStr">
        <is>
          <t>TAX RULES</t>
        </is>
      </c>
    </row>
    <row r="2">
      <c r="A2" s="2" t="inlineStr">
        <is>
          <t>Nenhuma aliquota digitada dentro de formula de custo. Cada regra tem vigencia; reforma tributaria (CBS/IBS 2026-2033) por DATA, nunca sobrescrevendo a antiga.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RULE_ID</t>
        </is>
      </c>
      <c r="B6" s="5" t="inlineStr">
        <is>
          <t>Tributo</t>
        </is>
      </c>
      <c r="C6" s="5" t="inlineStr">
        <is>
          <t>UF</t>
        </is>
      </c>
      <c r="D6" s="5" t="inlineStr">
        <is>
          <t>Operacao</t>
        </is>
      </c>
      <c r="E6" s="5" t="inlineStr">
        <is>
          <t>NCM</t>
        </is>
      </c>
      <c r="F6" s="5" t="inlineStr">
        <is>
          <t>CFOP</t>
        </is>
      </c>
      <c r="G6" s="5" t="inlineStr">
        <is>
          <t>CST</t>
        </is>
      </c>
      <c r="H6" s="5" t="inlineStr">
        <is>
          <t>Aliq. nominal</t>
        </is>
      </c>
      <c r="I6" s="5" t="inlineStr">
        <is>
          <t>Beneficio</t>
        </is>
      </c>
      <c r="J6" s="5" t="inlineStr">
        <is>
          <t>% reducao</t>
        </is>
      </c>
      <c r="K6" s="5" t="inlineStr">
        <is>
          <t>Aliq. efetiva</t>
        </is>
      </c>
      <c r="L6" s="5" t="inlineStr">
        <is>
          <t>Gera credito?</t>
        </is>
      </c>
      <c r="M6" s="5" t="inlineStr">
        <is>
          <t>Fundo adic.</t>
        </is>
      </c>
      <c r="N6" s="5" t="inlineStr">
        <is>
          <t>Fonte</t>
        </is>
      </c>
      <c r="O6" s="5" t="inlineStr">
        <is>
          <t>Responsavel</t>
        </is>
      </c>
      <c r="P6" s="5" t="inlineStr">
        <is>
          <t>Vigencia ini</t>
        </is>
      </c>
      <c r="Q6" s="5" t="inlineStr">
        <is>
          <t>Vigencia fim</t>
        </is>
      </c>
      <c r="R6" s="5" t="inlineStr">
        <is>
          <t>Atualizado em</t>
        </is>
      </c>
      <c r="S6" s="5" t="inlineStr">
        <is>
          <t>Comentario</t>
        </is>
      </c>
    </row>
    <row r="7" ht="15" customHeight="1">
      <c r="A7" s="24" t="inlineStr">
        <is>
          <t>TR001</t>
        </is>
      </c>
      <c r="B7" s="18" t="inlineStr">
        <is>
          <t>ICMS</t>
        </is>
      </c>
      <c r="C7" s="18" t="inlineStr">
        <is>
          <t>CE</t>
        </is>
      </c>
      <c r="D7" s="18" t="inlineStr">
        <is>
          <t>Saida interna</t>
        </is>
      </c>
      <c r="E7" s="18" t="inlineStr">
        <is>
          <t>3824.50.00</t>
        </is>
      </c>
      <c r="F7" s="18" t="inlineStr">
        <is>
          <t>5101</t>
        </is>
      </c>
      <c r="G7" s="18" t="inlineStr">
        <is>
          <t>51</t>
        </is>
      </c>
      <c r="H7" s="40" t="n">
        <v>0.225</v>
      </c>
      <c r="I7" s="18" t="inlineStr">
        <is>
          <t>Reducao 80%</t>
        </is>
      </c>
      <c r="J7" s="40" t="n">
        <v>0.8</v>
      </c>
      <c r="K7" s="32">
        <f>H7*(1-J7)</f>
        <v/>
      </c>
      <c r="L7" s="18" t="inlineStr">
        <is>
          <t>Nao</t>
        </is>
      </c>
      <c r="M7" s="40" t="n">
        <v>0</v>
      </c>
      <c r="N7" s="18" t="n"/>
      <c r="O7" s="18" t="n"/>
      <c r="P7" s="26" t="n"/>
      <c r="Q7" s="26" t="n"/>
      <c r="R7" s="26" t="n"/>
      <c r="S7" s="18" t="n"/>
    </row>
    <row r="8" ht="15" customHeight="1">
      <c r="A8" s="24" t="inlineStr">
        <is>
          <t>TR002</t>
        </is>
      </c>
      <c r="B8" s="18" t="inlineStr">
        <is>
          <t>ICMS</t>
        </is>
      </c>
      <c r="C8" s="18" t="inlineStr">
        <is>
          <t>CE</t>
        </is>
      </c>
      <c r="D8" s="18" t="inlineStr">
        <is>
          <t>Entrada MP</t>
        </is>
      </c>
      <c r="E8" s="18" t="inlineStr">
        <is>
          <t>2523.29.10</t>
        </is>
      </c>
      <c r="F8" s="18" t="inlineStr">
        <is>
          <t>1101</t>
        </is>
      </c>
      <c r="G8" s="18" t="inlineStr">
        <is>
          <t>00</t>
        </is>
      </c>
      <c r="H8" s="40" t="n">
        <v>0.18</v>
      </c>
      <c r="I8" s="18" t="inlineStr">
        <is>
          <t>Credito integral</t>
        </is>
      </c>
      <c r="J8" s="40" t="n">
        <v>0</v>
      </c>
      <c r="K8" s="32">
        <f>H8*(1-J8)</f>
        <v/>
      </c>
      <c r="L8" s="18" t="inlineStr">
        <is>
          <t>Sim</t>
        </is>
      </c>
      <c r="M8" s="40" t="n">
        <v>0</v>
      </c>
      <c r="N8" s="18" t="n"/>
      <c r="O8" s="18" t="n"/>
      <c r="P8" s="26" t="n"/>
      <c r="Q8" s="26" t="n"/>
      <c r="R8" s="26" t="n"/>
      <c r="S8" s="18" t="n"/>
    </row>
    <row r="9" ht="15" customHeight="1">
      <c r="A9" s="24" t="inlineStr">
        <is>
          <t>TR003</t>
        </is>
      </c>
      <c r="B9" s="18" t="inlineStr">
        <is>
          <t>PIS</t>
        </is>
      </c>
      <c r="C9" s="18" t="inlineStr">
        <is>
          <t>-</t>
        </is>
      </c>
      <c r="D9" s="18" t="inlineStr">
        <is>
          <t>Saida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40" t="n">
        <v>0.0165</v>
      </c>
      <c r="I9" s="18" t="inlineStr">
        <is>
          <t>Nao cumulativo</t>
        </is>
      </c>
      <c r="J9" s="40" t="n">
        <v>0</v>
      </c>
      <c r="K9" s="32">
        <f>H9*(1-J9)</f>
        <v/>
      </c>
      <c r="L9" s="18" t="inlineStr">
        <is>
          <t>Sim</t>
        </is>
      </c>
      <c r="M9" s="40" t="n">
        <v>0</v>
      </c>
      <c r="N9" s="18" t="n"/>
      <c r="O9" s="18" t="n"/>
      <c r="P9" s="26" t="n"/>
      <c r="Q9" s="26" t="n"/>
      <c r="R9" s="26" t="n"/>
      <c r="S9" s="18" t="n"/>
    </row>
    <row r="10" ht="15" customHeight="1">
      <c r="A10" s="24" t="inlineStr">
        <is>
          <t>TR004</t>
        </is>
      </c>
      <c r="B10" s="18" t="inlineStr">
        <is>
          <t>COFINS</t>
        </is>
      </c>
      <c r="C10" s="18" t="inlineStr">
        <is>
          <t>-</t>
        </is>
      </c>
      <c r="D10" s="18" t="inlineStr">
        <is>
          <t>Saida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-</t>
        </is>
      </c>
      <c r="H10" s="40" t="n">
        <v>0.076</v>
      </c>
      <c r="I10" s="18" t="inlineStr">
        <is>
          <t>Nao cumulativo</t>
        </is>
      </c>
      <c r="J10" s="40" t="n">
        <v>0</v>
      </c>
      <c r="K10" s="32">
        <f>H10*(1-J10)</f>
        <v/>
      </c>
      <c r="L10" s="18" t="inlineStr">
        <is>
          <t>Sim</t>
        </is>
      </c>
      <c r="M10" s="40" t="n">
        <v>0</v>
      </c>
      <c r="N10" s="18" t="n"/>
      <c r="O10" s="18" t="n"/>
      <c r="P10" s="26" t="n"/>
      <c r="Q10" s="26" t="n"/>
      <c r="R10" s="26" t="n"/>
      <c r="S10" s="18" t="n"/>
    </row>
    <row r="11" ht="15" customHeight="1">
      <c r="A11" s="24" t="inlineStr">
        <is>
          <t>TR005</t>
        </is>
      </c>
      <c r="B11" s="18" t="inlineStr">
        <is>
          <t>CBS</t>
        </is>
      </c>
      <c r="C11" s="18" t="inlineStr">
        <is>
          <t>-</t>
        </is>
      </c>
      <c r="D11" s="18" t="inlineStr">
        <is>
          <t>Saida (2027+)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40" t="n">
        <v>0</v>
      </c>
      <c r="I11" s="18" t="inlineStr">
        <is>
          <t>Reforma - preencher</t>
        </is>
      </c>
      <c r="J11" s="40" t="n">
        <v>0</v>
      </c>
      <c r="K11" s="32">
        <f>H11*(1-J11)</f>
        <v/>
      </c>
      <c r="L11" s="18" t="inlineStr">
        <is>
          <t>Sim</t>
        </is>
      </c>
      <c r="M11" s="40" t="n">
        <v>0</v>
      </c>
      <c r="N11" s="18" t="n"/>
      <c r="O11" s="18" t="n"/>
      <c r="P11" s="26" t="n"/>
      <c r="Q11" s="26" t="n"/>
      <c r="R11" s="26" t="n"/>
      <c r="S11" s="18" t="n"/>
    </row>
    <row r="12" ht="15" customHeight="1">
      <c r="A12" s="24" t="inlineStr">
        <is>
          <t>TR006</t>
        </is>
      </c>
      <c r="B12" s="18" t="inlineStr">
        <is>
          <t>IBS</t>
        </is>
      </c>
      <c r="C12" s="18" t="inlineStr">
        <is>
          <t>-</t>
        </is>
      </c>
      <c r="D12" s="18" t="inlineStr">
        <is>
          <t>Saida (2029+)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-</t>
        </is>
      </c>
      <c r="H12" s="40" t="n">
        <v>0</v>
      </c>
      <c r="I12" s="18" t="inlineStr">
        <is>
          <t>Reforma - preencher</t>
        </is>
      </c>
      <c r="J12" s="40" t="n">
        <v>0</v>
      </c>
      <c r="K12" s="32">
        <f>H12*(1-J12)</f>
        <v/>
      </c>
      <c r="L12" s="18" t="inlineStr">
        <is>
          <t>Sim</t>
        </is>
      </c>
      <c r="M12" s="40" t="n">
        <v>0</v>
      </c>
      <c r="N12" s="18" t="n"/>
      <c r="O12" s="18" t="n"/>
      <c r="P12" s="26" t="n"/>
      <c r="Q12" s="26" t="n"/>
      <c r="R12" s="26" t="n"/>
      <c r="S12" s="18" t="n"/>
    </row>
    <row r="13" ht="15" customHeight="1">
      <c r="A13" s="24" t="n"/>
      <c r="B13" s="18" t="n"/>
      <c r="C13" s="18" t="n"/>
      <c r="D13" s="18" t="n"/>
      <c r="E13" s="18" t="n"/>
      <c r="F13" s="18" t="n"/>
      <c r="G13" s="18" t="n"/>
      <c r="H13" s="40" t="n"/>
      <c r="I13" s="18" t="n"/>
      <c r="J13" s="40" t="n"/>
      <c r="K13" s="32" t="n"/>
      <c r="L13" s="18" t="n"/>
      <c r="M13" s="40" t="n"/>
      <c r="N13" s="18" t="n"/>
      <c r="O13" s="18" t="n"/>
      <c r="P13" s="26" t="n"/>
      <c r="Q13" s="26" t="n"/>
      <c r="R13" s="26" t="n"/>
      <c r="S13" s="18" t="n"/>
    </row>
    <row r="14" ht="15" customHeight="1">
      <c r="A14" s="27" t="inlineStr">
        <is>
          <t>^ Linhas acima = dados DEMO (marcados). Abaixo: campos de entrada em branco para dados reais.</t>
        </is>
      </c>
      <c r="B14" s="18" t="n"/>
      <c r="C14" s="18" t="n"/>
      <c r="D14" s="18" t="n"/>
      <c r="E14" s="18" t="n"/>
      <c r="F14" s="18" t="n"/>
      <c r="G14" s="18" t="n"/>
      <c r="H14" s="40" t="n"/>
      <c r="I14" s="18" t="n"/>
      <c r="J14" s="40" t="n"/>
      <c r="K14" s="32" t="n"/>
      <c r="L14" s="18" t="n"/>
      <c r="M14" s="40" t="n"/>
      <c r="N14" s="18" t="n"/>
      <c r="O14" s="18" t="n"/>
      <c r="P14" s="26" t="n"/>
      <c r="Q14" s="26" t="n"/>
      <c r="R14" s="26" t="n"/>
      <c r="S14" s="18" t="n"/>
    </row>
    <row r="15" ht="15" customHeight="1">
      <c r="A15" s="24" t="n"/>
      <c r="B15" s="18" t="n"/>
      <c r="C15" s="18" t="n"/>
      <c r="D15" s="18" t="n"/>
      <c r="E15" s="18" t="n"/>
      <c r="F15" s="18" t="n"/>
      <c r="G15" s="18" t="n"/>
      <c r="H15" s="40" t="n"/>
      <c r="I15" s="18" t="n"/>
      <c r="J15" s="40" t="n"/>
      <c r="K15" s="32" t="n"/>
      <c r="L15" s="18" t="n"/>
      <c r="M15" s="40" t="n"/>
      <c r="N15" s="18" t="n"/>
      <c r="O15" s="18" t="n"/>
      <c r="P15" s="26" t="n"/>
      <c r="Q15" s="26" t="n"/>
      <c r="R15" s="26" t="n"/>
      <c r="S15" s="18" t="n"/>
    </row>
    <row r="16" ht="15" customHeight="1">
      <c r="A16" s="24" t="n"/>
      <c r="B16" s="18" t="n"/>
      <c r="C16" s="18" t="n"/>
      <c r="D16" s="18" t="n"/>
      <c r="E16" s="18" t="n"/>
      <c r="F16" s="18" t="n"/>
      <c r="G16" s="18" t="n"/>
      <c r="H16" s="40" t="n"/>
      <c r="I16" s="18" t="n"/>
      <c r="J16" s="40" t="n"/>
      <c r="K16" s="32" t="n"/>
      <c r="L16" s="18" t="n"/>
      <c r="M16" s="40" t="n"/>
      <c r="N16" s="18" t="n"/>
      <c r="O16" s="18" t="n"/>
      <c r="P16" s="26" t="n"/>
      <c r="Q16" s="26" t="n"/>
      <c r="R16" s="26" t="n"/>
      <c r="S16" s="18" t="n"/>
    </row>
    <row r="17" ht="15" customHeight="1">
      <c r="A17" s="24" t="n"/>
      <c r="B17" s="18" t="n"/>
      <c r="C17" s="18" t="n"/>
      <c r="D17" s="18" t="n"/>
      <c r="E17" s="18" t="n"/>
      <c r="F17" s="18" t="n"/>
      <c r="G17" s="18" t="n"/>
      <c r="H17" s="40" t="n"/>
      <c r="I17" s="18" t="n"/>
      <c r="J17" s="40" t="n"/>
      <c r="K17" s="32" t="n"/>
      <c r="L17" s="18" t="n"/>
      <c r="M17" s="40" t="n"/>
      <c r="N17" s="18" t="n"/>
      <c r="O17" s="18" t="n"/>
      <c r="P17" s="26" t="n"/>
      <c r="Q17" s="26" t="n"/>
      <c r="R17" s="26" t="n"/>
      <c r="S17" s="18" t="n"/>
    </row>
    <row r="18" ht="15" customHeight="1">
      <c r="A18" s="24" t="n"/>
      <c r="B18" s="18" t="n"/>
      <c r="C18" s="18" t="n"/>
      <c r="D18" s="18" t="n"/>
      <c r="E18" s="18" t="n"/>
      <c r="F18" s="18" t="n"/>
      <c r="G18" s="18" t="n"/>
      <c r="H18" s="40" t="n"/>
      <c r="I18" s="18" t="n"/>
      <c r="J18" s="40" t="n"/>
      <c r="K18" s="32" t="n"/>
      <c r="L18" s="18" t="n"/>
      <c r="M18" s="40" t="n"/>
      <c r="N18" s="18" t="n"/>
      <c r="O18" s="18" t="n"/>
      <c r="P18" s="26" t="n"/>
      <c r="Q18" s="26" t="n"/>
      <c r="R18" s="26" t="n"/>
      <c r="S18" s="18" t="n"/>
    </row>
    <row r="19" ht="15" customHeight="1">
      <c r="A19" s="24" t="n"/>
      <c r="B19" s="18" t="n"/>
      <c r="C19" s="18" t="n"/>
      <c r="D19" s="18" t="n"/>
      <c r="E19" s="18" t="n"/>
      <c r="F19" s="18" t="n"/>
      <c r="G19" s="18" t="n"/>
      <c r="H19" s="40" t="n"/>
      <c r="I19" s="18" t="n"/>
      <c r="J19" s="40" t="n"/>
      <c r="K19" s="32" t="n"/>
      <c r="L19" s="18" t="n"/>
      <c r="M19" s="40" t="n"/>
      <c r="N19" s="18" t="n"/>
      <c r="O19" s="18" t="n"/>
      <c r="P19" s="26" t="n"/>
      <c r="Q19" s="26" t="n"/>
      <c r="R19" s="26" t="n"/>
      <c r="S19" s="18" t="n"/>
    </row>
    <row r="20" ht="15" customHeight="1">
      <c r="A20" s="24" t="n"/>
      <c r="B20" s="18" t="n"/>
      <c r="C20" s="18" t="n"/>
      <c r="D20" s="18" t="n"/>
      <c r="E20" s="18" t="n"/>
      <c r="F20" s="18" t="n"/>
      <c r="G20" s="18" t="n"/>
      <c r="H20" s="40" t="n"/>
      <c r="I20" s="18" t="n"/>
      <c r="J20" s="40" t="n"/>
      <c r="K20" s="32" t="n"/>
      <c r="L20" s="18" t="n"/>
      <c r="M20" s="40" t="n"/>
      <c r="N20" s="18" t="n"/>
      <c r="O20" s="18" t="n"/>
      <c r="P20" s="26" t="n"/>
      <c r="Q20" s="26" t="n"/>
      <c r="R20" s="26" t="n"/>
      <c r="S20" s="18" t="n"/>
    </row>
    <row r="21" ht="15" customHeight="1">
      <c r="A21" s="24" t="n"/>
      <c r="B21" s="18" t="n"/>
      <c r="C21" s="18" t="n"/>
      <c r="D21" s="18" t="n"/>
      <c r="E21" s="18" t="n"/>
      <c r="F21" s="18" t="n"/>
      <c r="G21" s="18" t="n"/>
      <c r="H21" s="40" t="n"/>
      <c r="I21" s="18" t="n"/>
      <c r="J21" s="40" t="n"/>
      <c r="K21" s="32" t="n"/>
      <c r="L21" s="18" t="n"/>
      <c r="M21" s="40" t="n"/>
      <c r="N21" s="18" t="n"/>
      <c r="O21" s="18" t="n"/>
      <c r="P21" s="26" t="n"/>
      <c r="Q21" s="26" t="n"/>
      <c r="R21" s="26" t="n"/>
      <c r="S21" s="18" t="n"/>
    </row>
    <row r="22" ht="15" customHeight="1">
      <c r="A22" s="24" t="n"/>
      <c r="B22" s="18" t="n"/>
      <c r="C22" s="18" t="n"/>
      <c r="D22" s="18" t="n"/>
      <c r="E22" s="18" t="n"/>
      <c r="F22" s="18" t="n"/>
      <c r="G22" s="18" t="n"/>
      <c r="H22" s="40" t="n"/>
      <c r="I22" s="18" t="n"/>
      <c r="J22" s="40" t="n"/>
      <c r="K22" s="32" t="n"/>
      <c r="L22" s="18" t="n"/>
      <c r="M22" s="40" t="n"/>
      <c r="N22" s="18" t="n"/>
      <c r="O22" s="18" t="n"/>
      <c r="P22" s="26" t="n"/>
      <c r="Q22" s="26" t="n"/>
      <c r="R22" s="26" t="n"/>
      <c r="S22" s="18" t="n"/>
    </row>
    <row r="23" ht="15" customHeight="1">
      <c r="A23" s="24" t="n"/>
      <c r="B23" s="18" t="n"/>
      <c r="C23" s="18" t="n"/>
      <c r="D23" s="18" t="n"/>
      <c r="E23" s="18" t="n"/>
      <c r="F23" s="18" t="n"/>
      <c r="G23" s="18" t="n"/>
      <c r="H23" s="40" t="n"/>
      <c r="I23" s="18" t="n"/>
      <c r="J23" s="40" t="n"/>
      <c r="K23" s="32" t="n"/>
      <c r="L23" s="18" t="n"/>
      <c r="M23" s="40" t="n"/>
      <c r="N23" s="18" t="n"/>
      <c r="O23" s="18" t="n"/>
      <c r="P23" s="26" t="n"/>
      <c r="Q23" s="26" t="n"/>
      <c r="R23" s="26" t="n"/>
      <c r="S23" s="18" t="n"/>
    </row>
    <row r="24" ht="15" customHeight="1">
      <c r="A24" s="24" t="n"/>
      <c r="B24" s="18" t="n"/>
      <c r="C24" s="18" t="n"/>
      <c r="D24" s="18" t="n"/>
      <c r="E24" s="18" t="n"/>
      <c r="F24" s="18" t="n"/>
      <c r="G24" s="18" t="n"/>
      <c r="H24" s="40" t="n"/>
      <c r="I24" s="18" t="n"/>
      <c r="J24" s="40" t="n"/>
      <c r="K24" s="32" t="n"/>
      <c r="L24" s="18" t="n"/>
      <c r="M24" s="40" t="n"/>
      <c r="N24" s="18" t="n"/>
      <c r="O24" s="18" t="n"/>
      <c r="P24" s="26" t="n"/>
      <c r="Q24" s="26" t="n"/>
      <c r="R24" s="26" t="n"/>
      <c r="S24" s="18" t="n"/>
    </row>
    <row r="25" ht="15" customHeight="1">
      <c r="A25" s="24" t="n"/>
      <c r="B25" s="18" t="n"/>
      <c r="C25" s="18" t="n"/>
      <c r="D25" s="18" t="n"/>
      <c r="E25" s="18" t="n"/>
      <c r="F25" s="18" t="n"/>
      <c r="G25" s="18" t="n"/>
      <c r="H25" s="40" t="n"/>
      <c r="I25" s="18" t="n"/>
      <c r="J25" s="40" t="n"/>
      <c r="K25" s="32" t="n"/>
      <c r="L25" s="18" t="n"/>
      <c r="M25" s="40" t="n"/>
      <c r="N25" s="18" t="n"/>
      <c r="O25" s="18" t="n"/>
      <c r="P25" s="26" t="n"/>
      <c r="Q25" s="26" t="n"/>
      <c r="R25" s="26" t="n"/>
      <c r="S25" s="18" t="n"/>
    </row>
    <row r="26" ht="15" customHeight="1">
      <c r="A26" s="24" t="n"/>
      <c r="B26" s="18" t="n"/>
      <c r="C26" s="18" t="n"/>
      <c r="D26" s="18" t="n"/>
      <c r="E26" s="18" t="n"/>
      <c r="F26" s="18" t="n"/>
      <c r="G26" s="18" t="n"/>
      <c r="H26" s="40" t="n"/>
      <c r="I26" s="18" t="n"/>
      <c r="J26" s="40" t="n"/>
      <c r="K26" s="32" t="n"/>
      <c r="L26" s="18" t="n"/>
      <c r="M26" s="40" t="n"/>
      <c r="N26" s="18" t="n"/>
      <c r="O26" s="18" t="n"/>
      <c r="P26" s="26" t="n"/>
      <c r="Q26" s="26" t="n"/>
      <c r="R26" s="26" t="n"/>
      <c r="S26" s="18" t="n"/>
    </row>
    <row r="27" ht="15" customHeight="1">
      <c r="A27" s="24" t="n"/>
      <c r="B27" s="18" t="n"/>
      <c r="C27" s="18" t="n"/>
      <c r="D27" s="18" t="n"/>
      <c r="E27" s="18" t="n"/>
      <c r="F27" s="18" t="n"/>
      <c r="G27" s="18" t="n"/>
      <c r="H27" s="40" t="n"/>
      <c r="I27" s="18" t="n"/>
      <c r="J27" s="40" t="n"/>
      <c r="K27" s="32" t="n"/>
      <c r="L27" s="18" t="n"/>
      <c r="M27" s="40" t="n"/>
      <c r="N27" s="18" t="n"/>
      <c r="O27" s="18" t="n"/>
      <c r="P27" s="26" t="n"/>
      <c r="Q27" s="26" t="n"/>
      <c r="R27" s="26" t="n"/>
      <c r="S27" s="18" t="n"/>
    </row>
    <row r="28" ht="15" customHeight="1">
      <c r="A28" s="24" t="n"/>
      <c r="B28" s="18" t="n"/>
      <c r="C28" s="18" t="n"/>
      <c r="D28" s="18" t="n"/>
      <c r="E28" s="18" t="n"/>
      <c r="F28" s="18" t="n"/>
      <c r="G28" s="18" t="n"/>
      <c r="H28" s="40" t="n"/>
      <c r="I28" s="18" t="n"/>
      <c r="J28" s="40" t="n"/>
      <c r="K28" s="32" t="n"/>
      <c r="L28" s="18" t="n"/>
      <c r="M28" s="40" t="n"/>
      <c r="N28" s="18" t="n"/>
      <c r="O28" s="18" t="n"/>
      <c r="P28" s="26" t="n"/>
      <c r="Q28" s="26" t="n"/>
      <c r="R28" s="26" t="n"/>
      <c r="S28" s="18" t="n"/>
    </row>
    <row r="29" ht="15" customHeight="1">
      <c r="A29" s="24" t="n"/>
      <c r="B29" s="18" t="n"/>
      <c r="C29" s="18" t="n"/>
      <c r="D29" s="18" t="n"/>
      <c r="E29" s="18" t="n"/>
      <c r="F29" s="18" t="n"/>
      <c r="G29" s="18" t="n"/>
      <c r="H29" s="40" t="n"/>
      <c r="I29" s="18" t="n"/>
      <c r="J29" s="40" t="n"/>
      <c r="K29" s="32" t="n"/>
      <c r="L29" s="18" t="n"/>
      <c r="M29" s="40" t="n"/>
      <c r="N29" s="18" t="n"/>
      <c r="O29" s="18" t="n"/>
      <c r="P29" s="26" t="n"/>
      <c r="Q29" s="26" t="n"/>
      <c r="R29" s="26" t="n"/>
      <c r="S29" s="18" t="n"/>
    </row>
    <row r="30" ht="15" customHeight="1">
      <c r="A30" s="24" t="n"/>
      <c r="B30" s="18" t="n"/>
      <c r="C30" s="18" t="n"/>
      <c r="D30" s="18" t="n"/>
      <c r="E30" s="18" t="n"/>
      <c r="F30" s="18" t="n"/>
      <c r="G30" s="18" t="n"/>
      <c r="H30" s="40" t="n"/>
      <c r="I30" s="18" t="n"/>
      <c r="J30" s="40" t="n"/>
      <c r="K30" s="32" t="n"/>
      <c r="L30" s="18" t="n"/>
      <c r="M30" s="40" t="n"/>
      <c r="N30" s="18" t="n"/>
      <c r="O30" s="18" t="n"/>
      <c r="P30" s="26" t="n"/>
      <c r="Q30" s="26" t="n"/>
      <c r="R30" s="26" t="n"/>
      <c r="S30" s="18" t="n"/>
    </row>
    <row r="31" ht="15" customHeight="1">
      <c r="A31" s="24" t="n"/>
      <c r="B31" s="18" t="n"/>
      <c r="C31" s="18" t="n"/>
      <c r="D31" s="18" t="n"/>
      <c r="E31" s="18" t="n"/>
      <c r="F31" s="18" t="n"/>
      <c r="G31" s="18" t="n"/>
      <c r="H31" s="40" t="n"/>
      <c r="I31" s="18" t="n"/>
      <c r="J31" s="40" t="n"/>
      <c r="K31" s="32" t="n"/>
      <c r="L31" s="18" t="n"/>
      <c r="M31" s="40" t="n"/>
      <c r="N31" s="18" t="n"/>
      <c r="O31" s="18" t="n"/>
      <c r="P31" s="26" t="n"/>
      <c r="Q31" s="26" t="n"/>
      <c r="R31" s="26" t="n"/>
      <c r="S31" s="18" t="n"/>
    </row>
    <row r="32" ht="15" customHeight="1">
      <c r="A32" s="24" t="n"/>
      <c r="B32" s="18" t="n"/>
      <c r="C32" s="18" t="n"/>
      <c r="D32" s="18" t="n"/>
      <c r="E32" s="18" t="n"/>
      <c r="F32" s="18" t="n"/>
      <c r="G32" s="18" t="n"/>
      <c r="H32" s="40" t="n"/>
      <c r="I32" s="18" t="n"/>
      <c r="J32" s="40" t="n"/>
      <c r="K32" s="32" t="n"/>
      <c r="L32" s="18" t="n"/>
      <c r="M32" s="40" t="n"/>
      <c r="N32" s="18" t="n"/>
      <c r="O32" s="18" t="n"/>
      <c r="P32" s="26" t="n"/>
      <c r="Q32" s="26" t="n"/>
      <c r="R32" s="26" t="n"/>
      <c r="S32" s="18" t="n"/>
    </row>
    <row r="33" ht="15" customHeight="1">
      <c r="A33" s="24" t="n"/>
      <c r="B33" s="18" t="n"/>
      <c r="C33" s="18" t="n"/>
      <c r="D33" s="18" t="n"/>
      <c r="E33" s="18" t="n"/>
      <c r="F33" s="18" t="n"/>
      <c r="G33" s="18" t="n"/>
      <c r="H33" s="40" t="n"/>
      <c r="I33" s="18" t="n"/>
      <c r="J33" s="40" t="n"/>
      <c r="K33" s="32" t="n"/>
      <c r="L33" s="18" t="n"/>
      <c r="M33" s="40" t="n"/>
      <c r="N33" s="18" t="n"/>
      <c r="O33" s="18" t="n"/>
      <c r="P33" s="26" t="n"/>
      <c r="Q33" s="26" t="n"/>
      <c r="R33" s="26" t="n"/>
      <c r="S33" s="18" t="n"/>
    </row>
    <row r="34" ht="15" customHeight="1">
      <c r="A34" s="24" t="n"/>
      <c r="B34" s="18" t="n"/>
      <c r="C34" s="18" t="n"/>
      <c r="D34" s="18" t="n"/>
      <c r="E34" s="18" t="n"/>
      <c r="F34" s="18" t="n"/>
      <c r="G34" s="18" t="n"/>
      <c r="H34" s="40" t="n"/>
      <c r="I34" s="18" t="n"/>
      <c r="J34" s="40" t="n"/>
      <c r="K34" s="32" t="n"/>
      <c r="L34" s="18" t="n"/>
      <c r="M34" s="40" t="n"/>
      <c r="N34" s="18" t="n"/>
      <c r="O34" s="18" t="n"/>
      <c r="P34" s="26" t="n"/>
      <c r="Q34" s="26" t="n"/>
      <c r="R34" s="26" t="n"/>
      <c r="S34" s="18" t="n"/>
    </row>
    <row r="35" ht="15" customHeight="1">
      <c r="A35" s="24" t="n"/>
      <c r="B35" s="18" t="n"/>
      <c r="C35" s="18" t="n"/>
      <c r="D35" s="18" t="n"/>
      <c r="E35" s="18" t="n"/>
      <c r="F35" s="18" t="n"/>
      <c r="G35" s="18" t="n"/>
      <c r="H35" s="40" t="n"/>
      <c r="I35" s="18" t="n"/>
      <c r="J35" s="40" t="n"/>
      <c r="K35" s="32" t="n"/>
      <c r="L35" s="18" t="n"/>
      <c r="M35" s="40" t="n"/>
      <c r="N35" s="18" t="n"/>
      <c r="O35" s="18" t="n"/>
      <c r="P35" s="26" t="n"/>
      <c r="Q35" s="26" t="n"/>
      <c r="R35" s="26" t="n"/>
      <c r="S35" s="18" t="n"/>
    </row>
    <row r="36" ht="15" customHeight="1">
      <c r="A36" s="24" t="n"/>
      <c r="B36" s="18" t="n"/>
      <c r="C36" s="18" t="n"/>
      <c r="D36" s="18" t="n"/>
      <c r="E36" s="18" t="n"/>
      <c r="F36" s="18" t="n"/>
      <c r="G36" s="18" t="n"/>
      <c r="H36" s="40" t="n"/>
      <c r="I36" s="18" t="n"/>
      <c r="J36" s="40" t="n"/>
      <c r="K36" s="32" t="n"/>
      <c r="L36" s="18" t="n"/>
      <c r="M36" s="40" t="n"/>
      <c r="N36" s="18" t="n"/>
      <c r="O36" s="18" t="n"/>
      <c r="P36" s="26" t="n"/>
      <c r="Q36" s="26" t="n"/>
      <c r="R36" s="26" t="n"/>
      <c r="S36" s="18" t="n"/>
    </row>
    <row r="37" ht="15" customHeight="1">
      <c r="A37" s="24" t="n"/>
      <c r="B37" s="18" t="n"/>
      <c r="C37" s="18" t="n"/>
      <c r="D37" s="18" t="n"/>
      <c r="E37" s="18" t="n"/>
      <c r="F37" s="18" t="n"/>
      <c r="G37" s="18" t="n"/>
      <c r="H37" s="40" t="n"/>
      <c r="I37" s="18" t="n"/>
      <c r="J37" s="40" t="n"/>
      <c r="K37" s="32" t="n"/>
      <c r="L37" s="18" t="n"/>
      <c r="M37" s="40" t="n"/>
      <c r="N37" s="18" t="n"/>
      <c r="O37" s="18" t="n"/>
      <c r="P37" s="26" t="n"/>
      <c r="Q37" s="26" t="n"/>
      <c r="R37" s="26" t="n"/>
      <c r="S37" s="18" t="n"/>
    </row>
    <row r="38" ht="15" customHeight="1">
      <c r="A38" s="24" t="n"/>
      <c r="B38" s="18" t="n"/>
      <c r="C38" s="18" t="n"/>
      <c r="D38" s="18" t="n"/>
      <c r="E38" s="18" t="n"/>
      <c r="F38" s="18" t="n"/>
      <c r="G38" s="18" t="n"/>
      <c r="H38" s="40" t="n"/>
      <c r="I38" s="18" t="n"/>
      <c r="J38" s="40" t="n"/>
      <c r="K38" s="32" t="n"/>
      <c r="L38" s="18" t="n"/>
      <c r="M38" s="40" t="n"/>
      <c r="N38" s="18" t="n"/>
      <c r="O38" s="18" t="n"/>
      <c r="P38" s="26" t="n"/>
      <c r="Q38" s="26" t="n"/>
      <c r="R38" s="26" t="n"/>
      <c r="S38" s="18" t="n"/>
    </row>
    <row r="39" ht="15" customHeight="1">
      <c r="A39" s="24" t="n"/>
      <c r="B39" s="18" t="n"/>
      <c r="C39" s="18" t="n"/>
      <c r="D39" s="18" t="n"/>
      <c r="E39" s="18" t="n"/>
      <c r="F39" s="18" t="n"/>
      <c r="G39" s="18" t="n"/>
      <c r="H39" s="40" t="n"/>
      <c r="I39" s="18" t="n"/>
      <c r="J39" s="40" t="n"/>
      <c r="K39" s="32" t="n"/>
      <c r="L39" s="18" t="n"/>
      <c r="M39" s="40" t="n"/>
      <c r="N39" s="18" t="n"/>
      <c r="O39" s="18" t="n"/>
      <c r="P39" s="26" t="n"/>
      <c r="Q39" s="26" t="n"/>
      <c r="R39" s="26" t="n"/>
      <c r="S39" s="18" t="n"/>
    </row>
    <row r="40" ht="15" customHeight="1">
      <c r="A40" s="24" t="n"/>
      <c r="B40" s="18" t="n"/>
      <c r="C40" s="18" t="n"/>
      <c r="D40" s="18" t="n"/>
      <c r="E40" s="18" t="n"/>
      <c r="F40" s="18" t="n"/>
      <c r="G40" s="18" t="n"/>
      <c r="H40" s="40" t="n"/>
      <c r="I40" s="18" t="n"/>
      <c r="J40" s="40" t="n"/>
      <c r="K40" s="32" t="n"/>
      <c r="L40" s="18" t="n"/>
      <c r="M40" s="40" t="n"/>
      <c r="N40" s="18" t="n"/>
      <c r="O40" s="18" t="n"/>
      <c r="P40" s="26" t="n"/>
      <c r="Q40" s="26" t="n"/>
      <c r="R40" s="26" t="n"/>
      <c r="S40" s="18" t="n"/>
    </row>
    <row r="41" ht="15" customHeight="1">
      <c r="A41" s="24" t="n"/>
      <c r="B41" s="18" t="n"/>
      <c r="C41" s="18" t="n"/>
      <c r="D41" s="18" t="n"/>
      <c r="E41" s="18" t="n"/>
      <c r="F41" s="18" t="n"/>
      <c r="G41" s="18" t="n"/>
      <c r="H41" s="40" t="n"/>
      <c r="I41" s="18" t="n"/>
      <c r="J41" s="40" t="n"/>
      <c r="K41" s="32" t="n"/>
      <c r="L41" s="18" t="n"/>
      <c r="M41" s="40" t="n"/>
      <c r="N41" s="18" t="n"/>
      <c r="O41" s="18" t="n"/>
      <c r="P41" s="26" t="n"/>
      <c r="Q41" s="26" t="n"/>
      <c r="R41" s="26" t="n"/>
      <c r="S41" s="18" t="n"/>
    </row>
    <row r="42" ht="15" customHeight="1">
      <c r="A42" s="24" t="n"/>
      <c r="B42" s="18" t="n"/>
      <c r="C42" s="18" t="n"/>
      <c r="D42" s="18" t="n"/>
      <c r="E42" s="18" t="n"/>
      <c r="F42" s="18" t="n"/>
      <c r="G42" s="18" t="n"/>
      <c r="H42" s="40" t="n"/>
      <c r="I42" s="18" t="n"/>
      <c r="J42" s="40" t="n"/>
      <c r="K42" s="32" t="n"/>
      <c r="L42" s="18" t="n"/>
      <c r="M42" s="40" t="n"/>
      <c r="N42" s="18" t="n"/>
      <c r="O42" s="18" t="n"/>
      <c r="P42" s="26" t="n"/>
      <c r="Q42" s="26" t="n"/>
      <c r="R42" s="26" t="n"/>
      <c r="S42" s="18" t="n"/>
    </row>
    <row r="43" ht="15" customHeight="1">
      <c r="A43" s="24" t="n"/>
      <c r="B43" s="18" t="n"/>
      <c r="C43" s="18" t="n"/>
      <c r="D43" s="18" t="n"/>
      <c r="E43" s="18" t="n"/>
      <c r="F43" s="18" t="n"/>
      <c r="G43" s="18" t="n"/>
      <c r="H43" s="40" t="n"/>
      <c r="I43" s="18" t="n"/>
      <c r="J43" s="40" t="n"/>
      <c r="K43" s="32" t="n"/>
      <c r="L43" s="18" t="n"/>
      <c r="M43" s="40" t="n"/>
      <c r="N43" s="18" t="n"/>
      <c r="O43" s="18" t="n"/>
      <c r="P43" s="26" t="n"/>
      <c r="Q43" s="26" t="n"/>
      <c r="R43" s="26" t="n"/>
      <c r="S43" s="18" t="n"/>
    </row>
    <row r="44" ht="15" customHeight="1">
      <c r="A44" s="24" t="n"/>
      <c r="B44" s="18" t="n"/>
      <c r="C44" s="18" t="n"/>
      <c r="D44" s="18" t="n"/>
      <c r="E44" s="18" t="n"/>
      <c r="F44" s="18" t="n"/>
      <c r="G44" s="18" t="n"/>
      <c r="H44" s="40" t="n"/>
      <c r="I44" s="18" t="n"/>
      <c r="J44" s="40" t="n"/>
      <c r="K44" s="32" t="n"/>
      <c r="L44" s="18" t="n"/>
      <c r="M44" s="40" t="n"/>
      <c r="N44" s="18" t="n"/>
      <c r="O44" s="18" t="n"/>
      <c r="P44" s="26" t="n"/>
      <c r="Q44" s="26" t="n"/>
      <c r="R44" s="26" t="n"/>
      <c r="S44" s="18" t="n"/>
    </row>
    <row r="45" ht="15" customHeight="1">
      <c r="A45" s="24" t="n"/>
      <c r="B45" s="18" t="n"/>
      <c r="C45" s="18" t="n"/>
      <c r="D45" s="18" t="n"/>
      <c r="E45" s="18" t="n"/>
      <c r="F45" s="18" t="n"/>
      <c r="G45" s="18" t="n"/>
      <c r="H45" s="40" t="n"/>
      <c r="I45" s="18" t="n"/>
      <c r="J45" s="40" t="n"/>
      <c r="K45" s="32" t="n"/>
      <c r="L45" s="18" t="n"/>
      <c r="M45" s="40" t="n"/>
      <c r="N45" s="18" t="n"/>
      <c r="O45" s="18" t="n"/>
      <c r="P45" s="26" t="n"/>
      <c r="Q45" s="26" t="n"/>
      <c r="R45" s="26" t="n"/>
      <c r="S45" s="18" t="n"/>
    </row>
    <row r="46" ht="15" customHeight="1">
      <c r="A46" s="24" t="n"/>
      <c r="B46" s="18" t="n"/>
      <c r="C46" s="18" t="n"/>
      <c r="D46" s="18" t="n"/>
      <c r="E46" s="18" t="n"/>
      <c r="F46" s="18" t="n"/>
      <c r="G46" s="18" t="n"/>
      <c r="H46" s="40" t="n"/>
      <c r="I46" s="18" t="n"/>
      <c r="J46" s="40" t="n"/>
      <c r="K46" s="32" t="n"/>
      <c r="L46" s="18" t="n"/>
      <c r="M46" s="40" t="n"/>
      <c r="N46" s="18" t="n"/>
      <c r="O46" s="18" t="n"/>
      <c r="P46" s="26" t="n"/>
      <c r="Q46" s="26" t="n"/>
      <c r="R46" s="26" t="n"/>
      <c r="S46" s="18" t="n"/>
    </row>
    <row r="47" ht="15" customHeight="1">
      <c r="A47" s="24" t="n"/>
      <c r="B47" s="18" t="n"/>
      <c r="C47" s="18" t="n"/>
      <c r="D47" s="18" t="n"/>
      <c r="E47" s="18" t="n"/>
      <c r="F47" s="18" t="n"/>
      <c r="G47" s="18" t="n"/>
      <c r="H47" s="40" t="n"/>
      <c r="I47" s="18" t="n"/>
      <c r="J47" s="40" t="n"/>
      <c r="K47" s="32" t="n"/>
      <c r="L47" s="18" t="n"/>
      <c r="M47" s="40" t="n"/>
      <c r="N47" s="18" t="n"/>
      <c r="O47" s="18" t="n"/>
      <c r="P47" s="26" t="n"/>
      <c r="Q47" s="26" t="n"/>
      <c r="R47" s="26" t="n"/>
      <c r="S47" s="18" t="n"/>
    </row>
    <row r="48" ht="15" customHeight="1">
      <c r="A48" s="24" t="n"/>
      <c r="B48" s="18" t="n"/>
      <c r="C48" s="18" t="n"/>
      <c r="D48" s="18" t="n"/>
      <c r="E48" s="18" t="n"/>
      <c r="F48" s="18" t="n"/>
      <c r="G48" s="18" t="n"/>
      <c r="H48" s="40" t="n"/>
      <c r="I48" s="18" t="n"/>
      <c r="J48" s="40" t="n"/>
      <c r="K48" s="32" t="n"/>
      <c r="L48" s="18" t="n"/>
      <c r="M48" s="40" t="n"/>
      <c r="N48" s="18" t="n"/>
      <c r="O48" s="18" t="n"/>
      <c r="P48" s="26" t="n"/>
      <c r="Q48" s="26" t="n"/>
      <c r="R48" s="26" t="n"/>
      <c r="S48" s="18" t="n"/>
    </row>
    <row r="49" ht="15" customHeight="1">
      <c r="A49" s="24" t="n"/>
      <c r="B49" s="18" t="n"/>
      <c r="C49" s="18" t="n"/>
      <c r="D49" s="18" t="n"/>
      <c r="E49" s="18" t="n"/>
      <c r="F49" s="18" t="n"/>
      <c r="G49" s="18" t="n"/>
      <c r="H49" s="40" t="n"/>
      <c r="I49" s="18" t="n"/>
      <c r="J49" s="40" t="n"/>
      <c r="K49" s="32" t="n"/>
      <c r="L49" s="18" t="n"/>
      <c r="M49" s="40" t="n"/>
      <c r="N49" s="18" t="n"/>
      <c r="O49" s="18" t="n"/>
      <c r="P49" s="26" t="n"/>
      <c r="Q49" s="26" t="n"/>
      <c r="R49" s="26" t="n"/>
      <c r="S49" s="18" t="n"/>
    </row>
    <row r="50" ht="15" customHeight="1">
      <c r="A50" s="24" t="n"/>
      <c r="B50" s="18" t="n"/>
      <c r="C50" s="18" t="n"/>
      <c r="D50" s="18" t="n"/>
      <c r="E50" s="18" t="n"/>
      <c r="F50" s="18" t="n"/>
      <c r="G50" s="18" t="n"/>
      <c r="H50" s="40" t="n"/>
      <c r="I50" s="18" t="n"/>
      <c r="J50" s="40" t="n"/>
      <c r="K50" s="32" t="n"/>
      <c r="L50" s="18" t="n"/>
      <c r="M50" s="40" t="n"/>
      <c r="N50" s="18" t="n"/>
      <c r="O50" s="18" t="n"/>
      <c r="P50" s="26" t="n"/>
      <c r="Q50" s="26" t="n"/>
      <c r="R50" s="26" t="n"/>
      <c r="S50" s="18" t="n"/>
    </row>
    <row r="51" ht="15" customHeight="1">
      <c r="A51" s="24" t="n"/>
      <c r="B51" s="18" t="n"/>
      <c r="C51" s="18" t="n"/>
      <c r="D51" s="18" t="n"/>
      <c r="E51" s="18" t="n"/>
      <c r="F51" s="18" t="n"/>
      <c r="G51" s="18" t="n"/>
      <c r="H51" s="40" t="n"/>
      <c r="I51" s="18" t="n"/>
      <c r="J51" s="40" t="n"/>
      <c r="K51" s="32" t="n"/>
      <c r="L51" s="18" t="n"/>
      <c r="M51" s="40" t="n"/>
      <c r="N51" s="18" t="n"/>
      <c r="O51" s="18" t="n"/>
      <c r="P51" s="26" t="n"/>
      <c r="Q51" s="26" t="n"/>
      <c r="R51" s="26" t="n"/>
      <c r="S51" s="18" t="n"/>
    </row>
    <row r="52" ht="15" customHeight="1">
      <c r="A52" s="24" t="n"/>
      <c r="B52" s="18" t="n"/>
      <c r="C52" s="18" t="n"/>
      <c r="D52" s="18" t="n"/>
      <c r="E52" s="18" t="n"/>
      <c r="F52" s="18" t="n"/>
      <c r="G52" s="18" t="n"/>
      <c r="H52" s="40" t="n"/>
      <c r="I52" s="18" t="n"/>
      <c r="J52" s="40" t="n"/>
      <c r="K52" s="32" t="n"/>
      <c r="L52" s="18" t="n"/>
      <c r="M52" s="40" t="n"/>
      <c r="N52" s="18" t="n"/>
      <c r="O52" s="18" t="n"/>
      <c r="P52" s="26" t="n"/>
      <c r="Q52" s="26" t="n"/>
      <c r="R52" s="26" t="n"/>
      <c r="S52" s="18" t="n"/>
    </row>
    <row r="53" ht="15" customHeight="1">
      <c r="A53" s="24" t="n"/>
      <c r="B53" s="18" t="n"/>
      <c r="C53" s="18" t="n"/>
      <c r="D53" s="18" t="n"/>
      <c r="E53" s="18" t="n"/>
      <c r="F53" s="18" t="n"/>
      <c r="G53" s="18" t="n"/>
      <c r="H53" s="40" t="n"/>
      <c r="I53" s="18" t="n"/>
      <c r="J53" s="40" t="n"/>
      <c r="K53" s="32" t="n"/>
      <c r="L53" s="18" t="n"/>
      <c r="M53" s="40" t="n"/>
      <c r="N53" s="18" t="n"/>
      <c r="O53" s="18" t="n"/>
      <c r="P53" s="26" t="n"/>
      <c r="Q53" s="26" t="n"/>
      <c r="R53" s="26" t="n"/>
      <c r="S53" s="18" t="n"/>
    </row>
    <row r="54" ht="15" customHeight="1">
      <c r="A54" s="24" t="n"/>
      <c r="B54" s="18" t="n"/>
      <c r="C54" s="18" t="n"/>
      <c r="D54" s="18" t="n"/>
      <c r="E54" s="18" t="n"/>
      <c r="F54" s="18" t="n"/>
      <c r="G54" s="18" t="n"/>
      <c r="H54" s="40" t="n"/>
      <c r="I54" s="18" t="n"/>
      <c r="J54" s="40" t="n"/>
      <c r="K54" s="32" t="n"/>
      <c r="L54" s="18" t="n"/>
      <c r="M54" s="40" t="n"/>
      <c r="N54" s="18" t="n"/>
      <c r="O54" s="18" t="n"/>
      <c r="P54" s="26" t="n"/>
      <c r="Q54" s="26" t="n"/>
      <c r="R54" s="26" t="n"/>
      <c r="S54" s="18" t="n"/>
    </row>
    <row r="55" ht="15" customHeight="1">
      <c r="A55" s="24" t="n"/>
      <c r="B55" s="18" t="n"/>
      <c r="C55" s="18" t="n"/>
      <c r="D55" s="18" t="n"/>
      <c r="E55" s="18" t="n"/>
      <c r="F55" s="18" t="n"/>
      <c r="G55" s="18" t="n"/>
      <c r="H55" s="40" t="n"/>
      <c r="I55" s="18" t="n"/>
      <c r="J55" s="40" t="n"/>
      <c r="K55" s="32" t="n"/>
      <c r="L55" s="18" t="n"/>
      <c r="M55" s="40" t="n"/>
      <c r="N55" s="18" t="n"/>
      <c r="O55" s="18" t="n"/>
      <c r="P55" s="26" t="n"/>
      <c r="Q55" s="26" t="n"/>
      <c r="R55" s="26" t="n"/>
      <c r="S55" s="18" t="n"/>
    </row>
    <row r="56" ht="15" customHeight="1">
      <c r="A56" s="24" t="n"/>
      <c r="B56" s="18" t="n"/>
      <c r="C56" s="18" t="n"/>
      <c r="D56" s="18" t="n"/>
      <c r="E56" s="18" t="n"/>
      <c r="F56" s="18" t="n"/>
      <c r="G56" s="18" t="n"/>
      <c r="H56" s="40" t="n"/>
      <c r="I56" s="18" t="n"/>
      <c r="J56" s="40" t="n"/>
      <c r="K56" s="32" t="n"/>
      <c r="L56" s="18" t="n"/>
      <c r="M56" s="40" t="n"/>
      <c r="N56" s="18" t="n"/>
      <c r="O56" s="18" t="n"/>
      <c r="P56" s="26" t="n"/>
      <c r="Q56" s="26" t="n"/>
      <c r="R56" s="26" t="n"/>
      <c r="S56" s="18" t="n"/>
    </row>
    <row r="57" ht="15" customHeight="1">
      <c r="A57" s="24" t="n"/>
      <c r="B57" s="18" t="n"/>
      <c r="C57" s="18" t="n"/>
      <c r="D57" s="18" t="n"/>
      <c r="E57" s="18" t="n"/>
      <c r="F57" s="18" t="n"/>
      <c r="G57" s="18" t="n"/>
      <c r="H57" s="40" t="n"/>
      <c r="I57" s="18" t="n"/>
      <c r="J57" s="40" t="n"/>
      <c r="K57" s="32" t="n"/>
      <c r="L57" s="18" t="n"/>
      <c r="M57" s="40" t="n"/>
      <c r="N57" s="18" t="n"/>
      <c r="O57" s="18" t="n"/>
      <c r="P57" s="26" t="n"/>
      <c r="Q57" s="26" t="n"/>
      <c r="R57" s="26" t="n"/>
      <c r="S57" s="18" t="n"/>
    </row>
    <row r="58" ht="15" customHeight="1">
      <c r="A58" s="24" t="n"/>
      <c r="B58" s="18" t="n"/>
      <c r="C58" s="18" t="n"/>
      <c r="D58" s="18" t="n"/>
      <c r="E58" s="18" t="n"/>
      <c r="F58" s="18" t="n"/>
      <c r="G58" s="18" t="n"/>
      <c r="H58" s="40" t="n"/>
      <c r="I58" s="18" t="n"/>
      <c r="J58" s="40" t="n"/>
      <c r="K58" s="32" t="n"/>
      <c r="L58" s="18" t="n"/>
      <c r="M58" s="40" t="n"/>
      <c r="N58" s="18" t="n"/>
      <c r="O58" s="18" t="n"/>
      <c r="P58" s="26" t="n"/>
      <c r="Q58" s="26" t="n"/>
      <c r="R58" s="26" t="n"/>
      <c r="S58" s="18" t="n"/>
    </row>
    <row r="59" ht="15" customHeight="1">
      <c r="A59" s="24" t="n"/>
      <c r="B59" s="18" t="n"/>
      <c r="C59" s="18" t="n"/>
      <c r="D59" s="18" t="n"/>
      <c r="E59" s="18" t="n"/>
      <c r="F59" s="18" t="n"/>
      <c r="G59" s="18" t="n"/>
      <c r="H59" s="40" t="n"/>
      <c r="I59" s="18" t="n"/>
      <c r="J59" s="40" t="n"/>
      <c r="K59" s="32" t="n"/>
      <c r="L59" s="18" t="n"/>
      <c r="M59" s="40" t="n"/>
      <c r="N59" s="18" t="n"/>
      <c r="O59" s="18" t="n"/>
      <c r="P59" s="26" t="n"/>
      <c r="Q59" s="26" t="n"/>
      <c r="R59" s="26" t="n"/>
      <c r="S59" s="18" t="n"/>
    </row>
    <row r="60" ht="15" customHeight="1">
      <c r="A60" s="24" t="n"/>
      <c r="B60" s="18" t="n"/>
      <c r="C60" s="18" t="n"/>
      <c r="D60" s="18" t="n"/>
      <c r="E60" s="18" t="n"/>
      <c r="F60" s="18" t="n"/>
      <c r="G60" s="18" t="n"/>
      <c r="H60" s="40" t="n"/>
      <c r="I60" s="18" t="n"/>
      <c r="J60" s="40" t="n"/>
      <c r="K60" s="32" t="n"/>
      <c r="L60" s="18" t="n"/>
      <c r="M60" s="40" t="n"/>
      <c r="N60" s="18" t="n"/>
      <c r="O60" s="18" t="n"/>
      <c r="P60" s="26" t="n"/>
      <c r="Q60" s="26" t="n"/>
      <c r="R60" s="26" t="n"/>
      <c r="S60" s="18" t="n"/>
    </row>
    <row r="61" ht="15" customHeight="1">
      <c r="A61" s="24" t="n"/>
      <c r="B61" s="18" t="n"/>
      <c r="C61" s="18" t="n"/>
      <c r="D61" s="18" t="n"/>
      <c r="E61" s="18" t="n"/>
      <c r="F61" s="18" t="n"/>
      <c r="G61" s="18" t="n"/>
      <c r="H61" s="40" t="n"/>
      <c r="I61" s="18" t="n"/>
      <c r="J61" s="40" t="n"/>
      <c r="K61" s="32" t="n"/>
      <c r="L61" s="18" t="n"/>
      <c r="M61" s="40" t="n"/>
      <c r="N61" s="18" t="n"/>
      <c r="O61" s="18" t="n"/>
      <c r="P61" s="26" t="n"/>
      <c r="Q61" s="26" t="n"/>
      <c r="R61" s="26" t="n"/>
      <c r="S61" s="18" t="n"/>
    </row>
    <row r="62" ht="15" customHeight="1">
      <c r="A62" s="24" t="n"/>
      <c r="B62" s="18" t="n"/>
      <c r="C62" s="18" t="n"/>
      <c r="D62" s="18" t="n"/>
      <c r="E62" s="18" t="n"/>
      <c r="F62" s="18" t="n"/>
      <c r="G62" s="18" t="n"/>
      <c r="H62" s="40" t="n"/>
      <c r="I62" s="18" t="n"/>
      <c r="J62" s="40" t="n"/>
      <c r="K62" s="32" t="n"/>
      <c r="L62" s="18" t="n"/>
      <c r="M62" s="40" t="n"/>
      <c r="N62" s="18" t="n"/>
      <c r="O62" s="18" t="n"/>
      <c r="P62" s="26" t="n"/>
      <c r="Q62" s="26" t="n"/>
      <c r="R62" s="26" t="n"/>
      <c r="S62" s="18" t="n"/>
    </row>
    <row r="63" ht="15" customHeight="1">
      <c r="A63" s="24" t="n"/>
      <c r="B63" s="18" t="n"/>
      <c r="C63" s="18" t="n"/>
      <c r="D63" s="18" t="n"/>
      <c r="E63" s="18" t="n"/>
      <c r="F63" s="18" t="n"/>
      <c r="G63" s="18" t="n"/>
      <c r="H63" s="40" t="n"/>
      <c r="I63" s="18" t="n"/>
      <c r="J63" s="40" t="n"/>
      <c r="K63" s="32" t="n"/>
      <c r="L63" s="18" t="n"/>
      <c r="M63" s="40" t="n"/>
      <c r="N63" s="18" t="n"/>
      <c r="O63" s="18" t="n"/>
      <c r="P63" s="26" t="n"/>
      <c r="Q63" s="26" t="n"/>
      <c r="R63" s="26" t="n"/>
      <c r="S63" s="18" t="n"/>
    </row>
    <row r="64" ht="15" customHeight="1">
      <c r="A64" s="24" t="n"/>
      <c r="B64" s="18" t="n"/>
      <c r="C64" s="18" t="n"/>
      <c r="D64" s="18" t="n"/>
      <c r="E64" s="18" t="n"/>
      <c r="F64" s="18" t="n"/>
      <c r="G64" s="18" t="n"/>
      <c r="H64" s="40" t="n"/>
      <c r="I64" s="18" t="n"/>
      <c r="J64" s="40" t="n"/>
      <c r="K64" s="32" t="n"/>
      <c r="L64" s="18" t="n"/>
      <c r="M64" s="40" t="n"/>
      <c r="N64" s="18" t="n"/>
      <c r="O64" s="18" t="n"/>
      <c r="P64" s="26" t="n"/>
      <c r="Q64" s="26" t="n"/>
      <c r="R64" s="26" t="n"/>
      <c r="S64" s="18" t="n"/>
    </row>
    <row r="65" ht="15" customHeight="1">
      <c r="A65" s="24" t="n"/>
      <c r="B65" s="18" t="n"/>
      <c r="C65" s="18" t="n"/>
      <c r="D65" s="18" t="n"/>
      <c r="E65" s="18" t="n"/>
      <c r="F65" s="18" t="n"/>
      <c r="G65" s="18" t="n"/>
      <c r="H65" s="40" t="n"/>
      <c r="I65" s="18" t="n"/>
      <c r="J65" s="40" t="n"/>
      <c r="K65" s="32" t="n"/>
      <c r="L65" s="18" t="n"/>
      <c r="M65" s="40" t="n"/>
      <c r="N65" s="18" t="n"/>
      <c r="O65" s="18" t="n"/>
      <c r="P65" s="26" t="n"/>
      <c r="Q65" s="26" t="n"/>
      <c r="R65" s="26" t="n"/>
      <c r="S65" s="18" t="n"/>
    </row>
    <row r="66" ht="15" customHeight="1">
      <c r="A66" s="24" t="n"/>
      <c r="B66" s="18" t="n"/>
      <c r="C66" s="18" t="n"/>
      <c r="D66" s="18" t="n"/>
      <c r="E66" s="18" t="n"/>
      <c r="F66" s="18" t="n"/>
      <c r="G66" s="18" t="n"/>
      <c r="H66" s="40" t="n"/>
      <c r="I66" s="18" t="n"/>
      <c r="J66" s="40" t="n"/>
      <c r="K66" s="32" t="n"/>
      <c r="L66" s="18" t="n"/>
      <c r="M66" s="40" t="n"/>
      <c r="N66" s="18" t="n"/>
      <c r="O66" s="18" t="n"/>
      <c r="P66" s="26" t="n"/>
      <c r="Q66" s="26" t="n"/>
      <c r="R66" s="26" t="n"/>
      <c r="S66" s="18" t="n"/>
    </row>
  </sheetData>
  <mergeCells count="8">
    <mergeCell ref="F4:G4"/>
    <mergeCell ref="J4:K4"/>
    <mergeCell ref="A2:S2"/>
    <mergeCell ref="L4:M4"/>
    <mergeCell ref="A1:S1"/>
    <mergeCell ref="D4:E4"/>
    <mergeCell ref="H4:I4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55A11"/>
    <outlinePr summaryBelow="1" summaryRight="1"/>
    <pageSetUpPr/>
  </sheetPr>
  <dimension ref="A1:O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26" customWidth="1" min="15" max="15"/>
  </cols>
  <sheetData>
    <row r="1" ht="26" customHeight="1">
      <c r="A1" s="1" t="inlineStr">
        <is>
          <t>TAX CREDITS</t>
        </is>
      </c>
    </row>
    <row r="2">
      <c r="A2" s="2" t="inlineStr">
        <is>
          <t>Separar credito potencial, escriturado, utilizado e monetizado. So o efetivamente recuperavel reduz o Landed Net Cost (aba 09).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MATERIAL_ID</t>
        </is>
      </c>
      <c r="B6" s="5" t="inlineStr">
        <is>
          <t>PERIOD</t>
        </is>
      </c>
      <c r="C6" s="5" t="inlineStr">
        <is>
          <t>Base (R$)</t>
        </is>
      </c>
      <c r="D6" s="5" t="inlineStr">
        <is>
          <t>Credito ICMS potencial</t>
        </is>
      </c>
      <c r="E6" s="5" t="inlineStr">
        <is>
          <t>Credito PIS/COFINS potencial</t>
        </is>
      </c>
      <c r="F6" s="5" t="inlineStr">
        <is>
          <t>Credito escriturado</t>
        </is>
      </c>
      <c r="G6" s="5" t="inlineStr">
        <is>
          <t>Credito utilizado</t>
        </is>
      </c>
      <c r="H6" s="5" t="inlineStr">
        <is>
          <t>Credito monetizado</t>
        </is>
      </c>
      <c r="I6" s="5" t="inlineStr">
        <is>
          <t>Gap (pot.-util.)</t>
        </is>
      </c>
      <c r="J6" s="5" t="inlineStr">
        <is>
          <t>Fonte</t>
        </is>
      </c>
      <c r="K6" s="5" t="inlineStr">
        <is>
          <t>Responsavel</t>
        </is>
      </c>
      <c r="L6" s="5" t="inlineStr">
        <is>
          <t>Vigencia ini</t>
        </is>
      </c>
      <c r="M6" s="5" t="inlineStr">
        <is>
          <t>Vigencia fim</t>
        </is>
      </c>
      <c r="N6" s="5" t="inlineStr">
        <is>
          <t>Atualizado em</t>
        </is>
      </c>
      <c r="O6" s="5" t="inlineStr">
        <is>
          <t>Comentario</t>
        </is>
      </c>
    </row>
    <row r="7" ht="15" customHeight="1">
      <c r="A7" s="24" t="inlineStr">
        <is>
          <t>M001</t>
        </is>
      </c>
      <c r="B7" s="18" t="inlineStr">
        <is>
          <t>2026-03</t>
        </is>
      </c>
      <c r="C7" s="30" t="n">
        <v>100000</v>
      </c>
      <c r="D7" s="33">
        <f>C7*ICMS_NOMINAL</f>
        <v/>
      </c>
      <c r="E7" s="33">
        <f>C7*(PIS_DEBITO+COFINS_DEBITO)</f>
        <v/>
      </c>
      <c r="F7" s="30" t="n">
        <v>0</v>
      </c>
      <c r="G7" s="30" t="n">
        <v>0</v>
      </c>
      <c r="H7" s="30" t="n">
        <v>0</v>
      </c>
      <c r="I7" s="33">
        <f>D7+E7-G7</f>
        <v/>
      </c>
      <c r="J7" s="18" t="n"/>
      <c r="K7" s="18" t="n"/>
      <c r="L7" s="26" t="n"/>
      <c r="M7" s="26" t="n"/>
      <c r="N7" s="26" t="n"/>
      <c r="O7" s="18" t="n"/>
    </row>
    <row r="8" ht="15" customHeight="1">
      <c r="A8" s="24" t="inlineStr">
        <is>
          <t>M002</t>
        </is>
      </c>
      <c r="B8" s="18" t="inlineStr">
        <is>
          <t>2026-03</t>
        </is>
      </c>
      <c r="C8" s="30" t="n">
        <v>50000</v>
      </c>
      <c r="D8" s="33">
        <f>C8*ICMS_NOMINAL</f>
        <v/>
      </c>
      <c r="E8" s="33">
        <f>C8*(PIS_DEBITO+COFINS_DEBITO)</f>
        <v/>
      </c>
      <c r="F8" s="30" t="n">
        <v>0</v>
      </c>
      <c r="G8" s="30" t="n">
        <v>0</v>
      </c>
      <c r="H8" s="30" t="n">
        <v>0</v>
      </c>
      <c r="I8" s="33">
        <f>D8+E8-G8</f>
        <v/>
      </c>
      <c r="J8" s="18" t="n"/>
      <c r="K8" s="18" t="n"/>
      <c r="L8" s="26" t="n"/>
      <c r="M8" s="26" t="n"/>
      <c r="N8" s="26" t="n"/>
      <c r="O8" s="18" t="n"/>
    </row>
    <row r="9" ht="15" customHeight="1">
      <c r="A9" s="24" t="n"/>
      <c r="B9" s="18" t="n"/>
      <c r="C9" s="30" t="n"/>
      <c r="D9" s="33" t="n"/>
      <c r="E9" s="33" t="n"/>
      <c r="F9" s="30" t="n"/>
      <c r="G9" s="30" t="n"/>
      <c r="H9" s="30" t="n"/>
      <c r="I9" s="33" t="n"/>
      <c r="J9" s="18" t="n"/>
      <c r="K9" s="18" t="n"/>
      <c r="L9" s="26" t="n"/>
      <c r="M9" s="26" t="n"/>
      <c r="N9" s="26" t="n"/>
      <c r="O9" s="18" t="n"/>
    </row>
    <row r="10" ht="15" customHeight="1">
      <c r="A10" s="27" t="inlineStr">
        <is>
          <t>^ Linhas acima = dados DEMO (marcados). Abaixo: campos de entrada em branco para dados reais.</t>
        </is>
      </c>
      <c r="B10" s="18" t="n"/>
      <c r="C10" s="30" t="n"/>
      <c r="D10" s="33" t="n"/>
      <c r="E10" s="33" t="n"/>
      <c r="F10" s="30" t="n"/>
      <c r="G10" s="30" t="n"/>
      <c r="H10" s="30" t="n"/>
      <c r="I10" s="33" t="n"/>
      <c r="J10" s="18" t="n"/>
      <c r="K10" s="18" t="n"/>
      <c r="L10" s="26" t="n"/>
      <c r="M10" s="26" t="n"/>
      <c r="N10" s="26" t="n"/>
      <c r="O10" s="18" t="n"/>
    </row>
    <row r="11" ht="15" customHeight="1">
      <c r="A11" s="24" t="n"/>
      <c r="B11" s="18" t="n"/>
      <c r="C11" s="30" t="n"/>
      <c r="D11" s="33" t="n"/>
      <c r="E11" s="33" t="n"/>
      <c r="F11" s="30" t="n"/>
      <c r="G11" s="30" t="n"/>
      <c r="H11" s="30" t="n"/>
      <c r="I11" s="33" t="n"/>
      <c r="J11" s="18" t="n"/>
      <c r="K11" s="18" t="n"/>
      <c r="L11" s="26" t="n"/>
      <c r="M11" s="26" t="n"/>
      <c r="N11" s="26" t="n"/>
      <c r="O11" s="18" t="n"/>
    </row>
    <row r="12" ht="15" customHeight="1">
      <c r="A12" s="24" t="n"/>
      <c r="B12" s="18" t="n"/>
      <c r="C12" s="30" t="n"/>
      <c r="D12" s="33" t="n"/>
      <c r="E12" s="33" t="n"/>
      <c r="F12" s="30" t="n"/>
      <c r="G12" s="30" t="n"/>
      <c r="H12" s="30" t="n"/>
      <c r="I12" s="33" t="n"/>
      <c r="J12" s="18" t="n"/>
      <c r="K12" s="18" t="n"/>
      <c r="L12" s="26" t="n"/>
      <c r="M12" s="26" t="n"/>
      <c r="N12" s="26" t="n"/>
      <c r="O12" s="18" t="n"/>
    </row>
    <row r="13" ht="15" customHeight="1">
      <c r="A13" s="24" t="n"/>
      <c r="B13" s="18" t="n"/>
      <c r="C13" s="30" t="n"/>
      <c r="D13" s="33" t="n"/>
      <c r="E13" s="33" t="n"/>
      <c r="F13" s="30" t="n"/>
      <c r="G13" s="30" t="n"/>
      <c r="H13" s="30" t="n"/>
      <c r="I13" s="33" t="n"/>
      <c r="J13" s="18" t="n"/>
      <c r="K13" s="18" t="n"/>
      <c r="L13" s="26" t="n"/>
      <c r="M13" s="26" t="n"/>
      <c r="N13" s="26" t="n"/>
      <c r="O13" s="18" t="n"/>
    </row>
    <row r="14" ht="15" customHeight="1">
      <c r="A14" s="24" t="n"/>
      <c r="B14" s="18" t="n"/>
      <c r="C14" s="30" t="n"/>
      <c r="D14" s="33" t="n"/>
      <c r="E14" s="33" t="n"/>
      <c r="F14" s="30" t="n"/>
      <c r="G14" s="30" t="n"/>
      <c r="H14" s="30" t="n"/>
      <c r="I14" s="33" t="n"/>
      <c r="J14" s="18" t="n"/>
      <c r="K14" s="18" t="n"/>
      <c r="L14" s="26" t="n"/>
      <c r="M14" s="26" t="n"/>
      <c r="N14" s="26" t="n"/>
      <c r="O14" s="18" t="n"/>
    </row>
    <row r="15" ht="15" customHeight="1">
      <c r="A15" s="24" t="n"/>
      <c r="B15" s="18" t="n"/>
      <c r="C15" s="30" t="n"/>
      <c r="D15" s="33" t="n"/>
      <c r="E15" s="33" t="n"/>
      <c r="F15" s="30" t="n"/>
      <c r="G15" s="30" t="n"/>
      <c r="H15" s="30" t="n"/>
      <c r="I15" s="33" t="n"/>
      <c r="J15" s="18" t="n"/>
      <c r="K15" s="18" t="n"/>
      <c r="L15" s="26" t="n"/>
      <c r="M15" s="26" t="n"/>
      <c r="N15" s="26" t="n"/>
      <c r="O15" s="18" t="n"/>
    </row>
    <row r="16" ht="15" customHeight="1">
      <c r="A16" s="24" t="n"/>
      <c r="B16" s="18" t="n"/>
      <c r="C16" s="30" t="n"/>
      <c r="D16" s="33" t="n"/>
      <c r="E16" s="33" t="n"/>
      <c r="F16" s="30" t="n"/>
      <c r="G16" s="30" t="n"/>
      <c r="H16" s="30" t="n"/>
      <c r="I16" s="33" t="n"/>
      <c r="J16" s="18" t="n"/>
      <c r="K16" s="18" t="n"/>
      <c r="L16" s="26" t="n"/>
      <c r="M16" s="26" t="n"/>
      <c r="N16" s="26" t="n"/>
      <c r="O16" s="18" t="n"/>
    </row>
    <row r="17" ht="15" customHeight="1">
      <c r="A17" s="24" t="n"/>
      <c r="B17" s="18" t="n"/>
      <c r="C17" s="30" t="n"/>
      <c r="D17" s="33" t="n"/>
      <c r="E17" s="33" t="n"/>
      <c r="F17" s="30" t="n"/>
      <c r="G17" s="30" t="n"/>
      <c r="H17" s="30" t="n"/>
      <c r="I17" s="33" t="n"/>
      <c r="J17" s="18" t="n"/>
      <c r="K17" s="18" t="n"/>
      <c r="L17" s="26" t="n"/>
      <c r="M17" s="26" t="n"/>
      <c r="N17" s="26" t="n"/>
      <c r="O17" s="18" t="n"/>
    </row>
    <row r="18" ht="15" customHeight="1">
      <c r="A18" s="24" t="n"/>
      <c r="B18" s="18" t="n"/>
      <c r="C18" s="30" t="n"/>
      <c r="D18" s="33" t="n"/>
      <c r="E18" s="33" t="n"/>
      <c r="F18" s="30" t="n"/>
      <c r="G18" s="30" t="n"/>
      <c r="H18" s="30" t="n"/>
      <c r="I18" s="33" t="n"/>
      <c r="J18" s="18" t="n"/>
      <c r="K18" s="18" t="n"/>
      <c r="L18" s="26" t="n"/>
      <c r="M18" s="26" t="n"/>
      <c r="N18" s="26" t="n"/>
      <c r="O18" s="18" t="n"/>
    </row>
    <row r="19" ht="15" customHeight="1">
      <c r="A19" s="24" t="n"/>
      <c r="B19" s="18" t="n"/>
      <c r="C19" s="30" t="n"/>
      <c r="D19" s="33" t="n"/>
      <c r="E19" s="33" t="n"/>
      <c r="F19" s="30" t="n"/>
      <c r="G19" s="30" t="n"/>
      <c r="H19" s="30" t="n"/>
      <c r="I19" s="33" t="n"/>
      <c r="J19" s="18" t="n"/>
      <c r="K19" s="18" t="n"/>
      <c r="L19" s="26" t="n"/>
      <c r="M19" s="26" t="n"/>
      <c r="N19" s="26" t="n"/>
      <c r="O19" s="18" t="n"/>
    </row>
    <row r="20" ht="15" customHeight="1">
      <c r="A20" s="24" t="n"/>
      <c r="B20" s="18" t="n"/>
      <c r="C20" s="30" t="n"/>
      <c r="D20" s="33" t="n"/>
      <c r="E20" s="33" t="n"/>
      <c r="F20" s="30" t="n"/>
      <c r="G20" s="30" t="n"/>
      <c r="H20" s="30" t="n"/>
      <c r="I20" s="33" t="n"/>
      <c r="J20" s="18" t="n"/>
      <c r="K20" s="18" t="n"/>
      <c r="L20" s="26" t="n"/>
      <c r="M20" s="26" t="n"/>
      <c r="N20" s="26" t="n"/>
      <c r="O20" s="18" t="n"/>
    </row>
    <row r="21" ht="15" customHeight="1">
      <c r="A21" s="24" t="n"/>
      <c r="B21" s="18" t="n"/>
      <c r="C21" s="30" t="n"/>
      <c r="D21" s="33" t="n"/>
      <c r="E21" s="33" t="n"/>
      <c r="F21" s="30" t="n"/>
      <c r="G21" s="30" t="n"/>
      <c r="H21" s="30" t="n"/>
      <c r="I21" s="33" t="n"/>
      <c r="J21" s="18" t="n"/>
      <c r="K21" s="18" t="n"/>
      <c r="L21" s="26" t="n"/>
      <c r="M21" s="26" t="n"/>
      <c r="N21" s="26" t="n"/>
      <c r="O21" s="18" t="n"/>
    </row>
    <row r="22" ht="15" customHeight="1">
      <c r="A22" s="24" t="n"/>
      <c r="B22" s="18" t="n"/>
      <c r="C22" s="30" t="n"/>
      <c r="D22" s="33" t="n"/>
      <c r="E22" s="33" t="n"/>
      <c r="F22" s="30" t="n"/>
      <c r="G22" s="30" t="n"/>
      <c r="H22" s="30" t="n"/>
      <c r="I22" s="33" t="n"/>
      <c r="J22" s="18" t="n"/>
      <c r="K22" s="18" t="n"/>
      <c r="L22" s="26" t="n"/>
      <c r="M22" s="26" t="n"/>
      <c r="N22" s="26" t="n"/>
      <c r="O22" s="18" t="n"/>
    </row>
    <row r="23" ht="15" customHeight="1">
      <c r="A23" s="24" t="n"/>
      <c r="B23" s="18" t="n"/>
      <c r="C23" s="30" t="n"/>
      <c r="D23" s="33" t="n"/>
      <c r="E23" s="33" t="n"/>
      <c r="F23" s="30" t="n"/>
      <c r="G23" s="30" t="n"/>
      <c r="H23" s="30" t="n"/>
      <c r="I23" s="33" t="n"/>
      <c r="J23" s="18" t="n"/>
      <c r="K23" s="18" t="n"/>
      <c r="L23" s="26" t="n"/>
      <c r="M23" s="26" t="n"/>
      <c r="N23" s="26" t="n"/>
      <c r="O23" s="18" t="n"/>
    </row>
    <row r="24" ht="15" customHeight="1">
      <c r="A24" s="24" t="n"/>
      <c r="B24" s="18" t="n"/>
      <c r="C24" s="30" t="n"/>
      <c r="D24" s="33" t="n"/>
      <c r="E24" s="33" t="n"/>
      <c r="F24" s="30" t="n"/>
      <c r="G24" s="30" t="n"/>
      <c r="H24" s="30" t="n"/>
      <c r="I24" s="33" t="n"/>
      <c r="J24" s="18" t="n"/>
      <c r="K24" s="18" t="n"/>
      <c r="L24" s="26" t="n"/>
      <c r="M24" s="26" t="n"/>
      <c r="N24" s="26" t="n"/>
      <c r="O24" s="18" t="n"/>
    </row>
    <row r="25" ht="15" customHeight="1">
      <c r="A25" s="24" t="n"/>
      <c r="B25" s="18" t="n"/>
      <c r="C25" s="30" t="n"/>
      <c r="D25" s="33" t="n"/>
      <c r="E25" s="33" t="n"/>
      <c r="F25" s="30" t="n"/>
      <c r="G25" s="30" t="n"/>
      <c r="H25" s="30" t="n"/>
      <c r="I25" s="33" t="n"/>
      <c r="J25" s="18" t="n"/>
      <c r="K25" s="18" t="n"/>
      <c r="L25" s="26" t="n"/>
      <c r="M25" s="26" t="n"/>
      <c r="N25" s="26" t="n"/>
      <c r="O25" s="18" t="n"/>
    </row>
    <row r="26" ht="15" customHeight="1">
      <c r="A26" s="24" t="n"/>
      <c r="B26" s="18" t="n"/>
      <c r="C26" s="30" t="n"/>
      <c r="D26" s="33" t="n"/>
      <c r="E26" s="33" t="n"/>
      <c r="F26" s="30" t="n"/>
      <c r="G26" s="30" t="n"/>
      <c r="H26" s="30" t="n"/>
      <c r="I26" s="33" t="n"/>
      <c r="J26" s="18" t="n"/>
      <c r="K26" s="18" t="n"/>
      <c r="L26" s="26" t="n"/>
      <c r="M26" s="26" t="n"/>
      <c r="N26" s="26" t="n"/>
      <c r="O26" s="18" t="n"/>
    </row>
    <row r="27" ht="15" customHeight="1">
      <c r="A27" s="24" t="n"/>
      <c r="B27" s="18" t="n"/>
      <c r="C27" s="30" t="n"/>
      <c r="D27" s="33" t="n"/>
      <c r="E27" s="33" t="n"/>
      <c r="F27" s="30" t="n"/>
      <c r="G27" s="30" t="n"/>
      <c r="H27" s="30" t="n"/>
      <c r="I27" s="33" t="n"/>
      <c r="J27" s="18" t="n"/>
      <c r="K27" s="18" t="n"/>
      <c r="L27" s="26" t="n"/>
      <c r="M27" s="26" t="n"/>
      <c r="N27" s="26" t="n"/>
      <c r="O27" s="18" t="n"/>
    </row>
    <row r="28" ht="15" customHeight="1">
      <c r="A28" s="24" t="n"/>
      <c r="B28" s="18" t="n"/>
      <c r="C28" s="30" t="n"/>
      <c r="D28" s="33" t="n"/>
      <c r="E28" s="33" t="n"/>
      <c r="F28" s="30" t="n"/>
      <c r="G28" s="30" t="n"/>
      <c r="H28" s="30" t="n"/>
      <c r="I28" s="33" t="n"/>
      <c r="J28" s="18" t="n"/>
      <c r="K28" s="18" t="n"/>
      <c r="L28" s="26" t="n"/>
      <c r="M28" s="26" t="n"/>
      <c r="N28" s="26" t="n"/>
      <c r="O28" s="18" t="n"/>
    </row>
    <row r="29" ht="15" customHeight="1">
      <c r="A29" s="24" t="n"/>
      <c r="B29" s="18" t="n"/>
      <c r="C29" s="30" t="n"/>
      <c r="D29" s="33" t="n"/>
      <c r="E29" s="33" t="n"/>
      <c r="F29" s="30" t="n"/>
      <c r="G29" s="30" t="n"/>
      <c r="H29" s="30" t="n"/>
      <c r="I29" s="33" t="n"/>
      <c r="J29" s="18" t="n"/>
      <c r="K29" s="18" t="n"/>
      <c r="L29" s="26" t="n"/>
      <c r="M29" s="26" t="n"/>
      <c r="N29" s="26" t="n"/>
      <c r="O29" s="18" t="n"/>
    </row>
    <row r="30" ht="15" customHeight="1">
      <c r="A30" s="24" t="n"/>
      <c r="B30" s="18" t="n"/>
      <c r="C30" s="30" t="n"/>
      <c r="D30" s="33" t="n"/>
      <c r="E30" s="33" t="n"/>
      <c r="F30" s="30" t="n"/>
      <c r="G30" s="30" t="n"/>
      <c r="H30" s="30" t="n"/>
      <c r="I30" s="33" t="n"/>
      <c r="J30" s="18" t="n"/>
      <c r="K30" s="18" t="n"/>
      <c r="L30" s="26" t="n"/>
      <c r="M30" s="26" t="n"/>
      <c r="N30" s="26" t="n"/>
      <c r="O30" s="18" t="n"/>
    </row>
    <row r="31" ht="15" customHeight="1">
      <c r="A31" s="24" t="n"/>
      <c r="B31" s="18" t="n"/>
      <c r="C31" s="30" t="n"/>
      <c r="D31" s="33" t="n"/>
      <c r="E31" s="33" t="n"/>
      <c r="F31" s="30" t="n"/>
      <c r="G31" s="30" t="n"/>
      <c r="H31" s="30" t="n"/>
      <c r="I31" s="33" t="n"/>
      <c r="J31" s="18" t="n"/>
      <c r="K31" s="18" t="n"/>
      <c r="L31" s="26" t="n"/>
      <c r="M31" s="26" t="n"/>
      <c r="N31" s="26" t="n"/>
      <c r="O31" s="18" t="n"/>
    </row>
    <row r="32" ht="15" customHeight="1">
      <c r="A32" s="24" t="n"/>
      <c r="B32" s="18" t="n"/>
      <c r="C32" s="30" t="n"/>
      <c r="D32" s="33" t="n"/>
      <c r="E32" s="33" t="n"/>
      <c r="F32" s="30" t="n"/>
      <c r="G32" s="30" t="n"/>
      <c r="H32" s="30" t="n"/>
      <c r="I32" s="33" t="n"/>
      <c r="J32" s="18" t="n"/>
      <c r="K32" s="18" t="n"/>
      <c r="L32" s="26" t="n"/>
      <c r="M32" s="26" t="n"/>
      <c r="N32" s="26" t="n"/>
      <c r="O32" s="18" t="n"/>
    </row>
    <row r="33" ht="15" customHeight="1">
      <c r="A33" s="24" t="n"/>
      <c r="B33" s="18" t="n"/>
      <c r="C33" s="30" t="n"/>
      <c r="D33" s="33" t="n"/>
      <c r="E33" s="33" t="n"/>
      <c r="F33" s="30" t="n"/>
      <c r="G33" s="30" t="n"/>
      <c r="H33" s="30" t="n"/>
      <c r="I33" s="33" t="n"/>
      <c r="J33" s="18" t="n"/>
      <c r="K33" s="18" t="n"/>
      <c r="L33" s="26" t="n"/>
      <c r="M33" s="26" t="n"/>
      <c r="N33" s="26" t="n"/>
      <c r="O33" s="18" t="n"/>
    </row>
    <row r="34" ht="15" customHeight="1">
      <c r="A34" s="24" t="n"/>
      <c r="B34" s="18" t="n"/>
      <c r="C34" s="30" t="n"/>
      <c r="D34" s="33" t="n"/>
      <c r="E34" s="33" t="n"/>
      <c r="F34" s="30" t="n"/>
      <c r="G34" s="30" t="n"/>
      <c r="H34" s="30" t="n"/>
      <c r="I34" s="33" t="n"/>
      <c r="J34" s="18" t="n"/>
      <c r="K34" s="18" t="n"/>
      <c r="L34" s="26" t="n"/>
      <c r="M34" s="26" t="n"/>
      <c r="N34" s="26" t="n"/>
      <c r="O34" s="18" t="n"/>
    </row>
    <row r="35" ht="15" customHeight="1">
      <c r="A35" s="24" t="n"/>
      <c r="B35" s="18" t="n"/>
      <c r="C35" s="30" t="n"/>
      <c r="D35" s="33" t="n"/>
      <c r="E35" s="33" t="n"/>
      <c r="F35" s="30" t="n"/>
      <c r="G35" s="30" t="n"/>
      <c r="H35" s="30" t="n"/>
      <c r="I35" s="33" t="n"/>
      <c r="J35" s="18" t="n"/>
      <c r="K35" s="18" t="n"/>
      <c r="L35" s="26" t="n"/>
      <c r="M35" s="26" t="n"/>
      <c r="N35" s="26" t="n"/>
      <c r="O35" s="18" t="n"/>
    </row>
    <row r="36" ht="15" customHeight="1">
      <c r="A36" s="24" t="n"/>
      <c r="B36" s="18" t="n"/>
      <c r="C36" s="30" t="n"/>
      <c r="D36" s="33" t="n"/>
      <c r="E36" s="33" t="n"/>
      <c r="F36" s="30" t="n"/>
      <c r="G36" s="30" t="n"/>
      <c r="H36" s="30" t="n"/>
      <c r="I36" s="33" t="n"/>
      <c r="J36" s="18" t="n"/>
      <c r="K36" s="18" t="n"/>
      <c r="L36" s="26" t="n"/>
      <c r="M36" s="26" t="n"/>
      <c r="N36" s="26" t="n"/>
      <c r="O36" s="18" t="n"/>
    </row>
    <row r="37" ht="15" customHeight="1">
      <c r="A37" s="24" t="n"/>
      <c r="B37" s="18" t="n"/>
      <c r="C37" s="30" t="n"/>
      <c r="D37" s="33" t="n"/>
      <c r="E37" s="33" t="n"/>
      <c r="F37" s="30" t="n"/>
      <c r="G37" s="30" t="n"/>
      <c r="H37" s="30" t="n"/>
      <c r="I37" s="33" t="n"/>
      <c r="J37" s="18" t="n"/>
      <c r="K37" s="18" t="n"/>
      <c r="L37" s="26" t="n"/>
      <c r="M37" s="26" t="n"/>
      <c r="N37" s="26" t="n"/>
      <c r="O37" s="18" t="n"/>
    </row>
    <row r="38" ht="15" customHeight="1">
      <c r="A38" s="24" t="n"/>
      <c r="B38" s="18" t="n"/>
      <c r="C38" s="30" t="n"/>
      <c r="D38" s="33" t="n"/>
      <c r="E38" s="33" t="n"/>
      <c r="F38" s="30" t="n"/>
      <c r="G38" s="30" t="n"/>
      <c r="H38" s="30" t="n"/>
      <c r="I38" s="33" t="n"/>
      <c r="J38" s="18" t="n"/>
      <c r="K38" s="18" t="n"/>
      <c r="L38" s="26" t="n"/>
      <c r="M38" s="26" t="n"/>
      <c r="N38" s="26" t="n"/>
      <c r="O38" s="18" t="n"/>
    </row>
    <row r="39" ht="15" customHeight="1">
      <c r="A39" s="24" t="n"/>
      <c r="B39" s="18" t="n"/>
      <c r="C39" s="30" t="n"/>
      <c r="D39" s="33" t="n"/>
      <c r="E39" s="33" t="n"/>
      <c r="F39" s="30" t="n"/>
      <c r="G39" s="30" t="n"/>
      <c r="H39" s="30" t="n"/>
      <c r="I39" s="33" t="n"/>
      <c r="J39" s="18" t="n"/>
      <c r="K39" s="18" t="n"/>
      <c r="L39" s="26" t="n"/>
      <c r="M39" s="26" t="n"/>
      <c r="N39" s="26" t="n"/>
      <c r="O39" s="18" t="n"/>
    </row>
    <row r="40" ht="15" customHeight="1">
      <c r="A40" s="24" t="n"/>
      <c r="B40" s="18" t="n"/>
      <c r="C40" s="30" t="n"/>
      <c r="D40" s="33" t="n"/>
      <c r="E40" s="33" t="n"/>
      <c r="F40" s="30" t="n"/>
      <c r="G40" s="30" t="n"/>
      <c r="H40" s="30" t="n"/>
      <c r="I40" s="33" t="n"/>
      <c r="J40" s="18" t="n"/>
      <c r="K40" s="18" t="n"/>
      <c r="L40" s="26" t="n"/>
      <c r="M40" s="26" t="n"/>
      <c r="N40" s="26" t="n"/>
      <c r="O40" s="18" t="n"/>
    </row>
    <row r="41" ht="15" customHeight="1">
      <c r="A41" s="24" t="n"/>
      <c r="B41" s="18" t="n"/>
      <c r="C41" s="30" t="n"/>
      <c r="D41" s="33" t="n"/>
      <c r="E41" s="33" t="n"/>
      <c r="F41" s="30" t="n"/>
      <c r="G41" s="30" t="n"/>
      <c r="H41" s="30" t="n"/>
      <c r="I41" s="33" t="n"/>
      <c r="J41" s="18" t="n"/>
      <c r="K41" s="18" t="n"/>
      <c r="L41" s="26" t="n"/>
      <c r="M41" s="26" t="n"/>
      <c r="N41" s="26" t="n"/>
      <c r="O41" s="18" t="n"/>
    </row>
    <row r="42" ht="15" customHeight="1">
      <c r="A42" s="24" t="n"/>
      <c r="B42" s="18" t="n"/>
      <c r="C42" s="30" t="n"/>
      <c r="D42" s="33" t="n"/>
      <c r="E42" s="33" t="n"/>
      <c r="F42" s="30" t="n"/>
      <c r="G42" s="30" t="n"/>
      <c r="H42" s="30" t="n"/>
      <c r="I42" s="33" t="n"/>
      <c r="J42" s="18" t="n"/>
      <c r="K42" s="18" t="n"/>
      <c r="L42" s="26" t="n"/>
      <c r="M42" s="26" t="n"/>
      <c r="N42" s="26" t="n"/>
      <c r="O42" s="18" t="n"/>
    </row>
    <row r="43" ht="15" customHeight="1">
      <c r="A43" s="24" t="n"/>
      <c r="B43" s="18" t="n"/>
      <c r="C43" s="30" t="n"/>
      <c r="D43" s="33" t="n"/>
      <c r="E43" s="33" t="n"/>
      <c r="F43" s="30" t="n"/>
      <c r="G43" s="30" t="n"/>
      <c r="H43" s="30" t="n"/>
      <c r="I43" s="33" t="n"/>
      <c r="J43" s="18" t="n"/>
      <c r="K43" s="18" t="n"/>
      <c r="L43" s="26" t="n"/>
      <c r="M43" s="26" t="n"/>
      <c r="N43" s="26" t="n"/>
      <c r="O43" s="18" t="n"/>
    </row>
    <row r="44" ht="15" customHeight="1">
      <c r="A44" s="24" t="n"/>
      <c r="B44" s="18" t="n"/>
      <c r="C44" s="30" t="n"/>
      <c r="D44" s="33" t="n"/>
      <c r="E44" s="33" t="n"/>
      <c r="F44" s="30" t="n"/>
      <c r="G44" s="30" t="n"/>
      <c r="H44" s="30" t="n"/>
      <c r="I44" s="33" t="n"/>
      <c r="J44" s="18" t="n"/>
      <c r="K44" s="18" t="n"/>
      <c r="L44" s="26" t="n"/>
      <c r="M44" s="26" t="n"/>
      <c r="N44" s="26" t="n"/>
      <c r="O44" s="18" t="n"/>
    </row>
    <row r="45" ht="15" customHeight="1">
      <c r="A45" s="24" t="n"/>
      <c r="B45" s="18" t="n"/>
      <c r="C45" s="30" t="n"/>
      <c r="D45" s="33" t="n"/>
      <c r="E45" s="33" t="n"/>
      <c r="F45" s="30" t="n"/>
      <c r="G45" s="30" t="n"/>
      <c r="H45" s="30" t="n"/>
      <c r="I45" s="33" t="n"/>
      <c r="J45" s="18" t="n"/>
      <c r="K45" s="18" t="n"/>
      <c r="L45" s="26" t="n"/>
      <c r="M45" s="26" t="n"/>
      <c r="N45" s="26" t="n"/>
      <c r="O45" s="18" t="n"/>
    </row>
    <row r="46" ht="15" customHeight="1">
      <c r="A46" s="24" t="n"/>
      <c r="B46" s="18" t="n"/>
      <c r="C46" s="30" t="n"/>
      <c r="D46" s="33" t="n"/>
      <c r="E46" s="33" t="n"/>
      <c r="F46" s="30" t="n"/>
      <c r="G46" s="30" t="n"/>
      <c r="H46" s="30" t="n"/>
      <c r="I46" s="33" t="n"/>
      <c r="J46" s="18" t="n"/>
      <c r="K46" s="18" t="n"/>
      <c r="L46" s="26" t="n"/>
      <c r="M46" s="26" t="n"/>
      <c r="N46" s="26" t="n"/>
      <c r="O46" s="18" t="n"/>
    </row>
    <row r="47" ht="15" customHeight="1">
      <c r="A47" s="24" t="n"/>
      <c r="B47" s="18" t="n"/>
      <c r="C47" s="30" t="n"/>
      <c r="D47" s="33" t="n"/>
      <c r="E47" s="33" t="n"/>
      <c r="F47" s="30" t="n"/>
      <c r="G47" s="30" t="n"/>
      <c r="H47" s="30" t="n"/>
      <c r="I47" s="33" t="n"/>
      <c r="J47" s="18" t="n"/>
      <c r="K47" s="18" t="n"/>
      <c r="L47" s="26" t="n"/>
      <c r="M47" s="26" t="n"/>
      <c r="N47" s="26" t="n"/>
      <c r="O47" s="18" t="n"/>
    </row>
    <row r="48" ht="15" customHeight="1">
      <c r="A48" s="24" t="n"/>
      <c r="B48" s="18" t="n"/>
      <c r="C48" s="30" t="n"/>
      <c r="D48" s="33" t="n"/>
      <c r="E48" s="33" t="n"/>
      <c r="F48" s="30" t="n"/>
      <c r="G48" s="30" t="n"/>
      <c r="H48" s="30" t="n"/>
      <c r="I48" s="33" t="n"/>
      <c r="J48" s="18" t="n"/>
      <c r="K48" s="18" t="n"/>
      <c r="L48" s="26" t="n"/>
      <c r="M48" s="26" t="n"/>
      <c r="N48" s="26" t="n"/>
      <c r="O48" s="18" t="n"/>
    </row>
    <row r="49" ht="15" customHeight="1">
      <c r="A49" s="24" t="n"/>
      <c r="B49" s="18" t="n"/>
      <c r="C49" s="30" t="n"/>
      <c r="D49" s="33" t="n"/>
      <c r="E49" s="33" t="n"/>
      <c r="F49" s="30" t="n"/>
      <c r="G49" s="30" t="n"/>
      <c r="H49" s="30" t="n"/>
      <c r="I49" s="33" t="n"/>
      <c r="J49" s="18" t="n"/>
      <c r="K49" s="18" t="n"/>
      <c r="L49" s="26" t="n"/>
      <c r="M49" s="26" t="n"/>
      <c r="N49" s="26" t="n"/>
      <c r="O49" s="18" t="n"/>
    </row>
    <row r="50" ht="15" customHeight="1">
      <c r="A50" s="24" t="n"/>
      <c r="B50" s="18" t="n"/>
      <c r="C50" s="30" t="n"/>
      <c r="D50" s="33" t="n"/>
      <c r="E50" s="33" t="n"/>
      <c r="F50" s="30" t="n"/>
      <c r="G50" s="30" t="n"/>
      <c r="H50" s="30" t="n"/>
      <c r="I50" s="33" t="n"/>
      <c r="J50" s="18" t="n"/>
      <c r="K50" s="18" t="n"/>
      <c r="L50" s="26" t="n"/>
      <c r="M50" s="26" t="n"/>
      <c r="N50" s="26" t="n"/>
      <c r="O50" s="18" t="n"/>
    </row>
    <row r="51" ht="15" customHeight="1">
      <c r="A51" s="24" t="n"/>
      <c r="B51" s="18" t="n"/>
      <c r="C51" s="30" t="n"/>
      <c r="D51" s="33" t="n"/>
      <c r="E51" s="33" t="n"/>
      <c r="F51" s="30" t="n"/>
      <c r="G51" s="30" t="n"/>
      <c r="H51" s="30" t="n"/>
      <c r="I51" s="33" t="n"/>
      <c r="J51" s="18" t="n"/>
      <c r="K51" s="18" t="n"/>
      <c r="L51" s="26" t="n"/>
      <c r="M51" s="26" t="n"/>
      <c r="N51" s="26" t="n"/>
      <c r="O51" s="18" t="n"/>
    </row>
    <row r="52" ht="15" customHeight="1">
      <c r="A52" s="24" t="n"/>
      <c r="B52" s="18" t="n"/>
      <c r="C52" s="30" t="n"/>
      <c r="D52" s="33" t="n"/>
      <c r="E52" s="33" t="n"/>
      <c r="F52" s="30" t="n"/>
      <c r="G52" s="30" t="n"/>
      <c r="H52" s="30" t="n"/>
      <c r="I52" s="33" t="n"/>
      <c r="J52" s="18" t="n"/>
      <c r="K52" s="18" t="n"/>
      <c r="L52" s="26" t="n"/>
      <c r="M52" s="26" t="n"/>
      <c r="N52" s="26" t="n"/>
      <c r="O52" s="18" t="n"/>
    </row>
    <row r="53" ht="15" customHeight="1">
      <c r="A53" s="24" t="n"/>
      <c r="B53" s="18" t="n"/>
      <c r="C53" s="30" t="n"/>
      <c r="D53" s="33" t="n"/>
      <c r="E53" s="33" t="n"/>
      <c r="F53" s="30" t="n"/>
      <c r="G53" s="30" t="n"/>
      <c r="H53" s="30" t="n"/>
      <c r="I53" s="33" t="n"/>
      <c r="J53" s="18" t="n"/>
      <c r="K53" s="18" t="n"/>
      <c r="L53" s="26" t="n"/>
      <c r="M53" s="26" t="n"/>
      <c r="N53" s="26" t="n"/>
      <c r="O53" s="18" t="n"/>
    </row>
    <row r="54" ht="15" customHeight="1">
      <c r="A54" s="24" t="n"/>
      <c r="B54" s="18" t="n"/>
      <c r="C54" s="30" t="n"/>
      <c r="D54" s="33" t="n"/>
      <c r="E54" s="33" t="n"/>
      <c r="F54" s="30" t="n"/>
      <c r="G54" s="30" t="n"/>
      <c r="H54" s="30" t="n"/>
      <c r="I54" s="33" t="n"/>
      <c r="J54" s="18" t="n"/>
      <c r="K54" s="18" t="n"/>
      <c r="L54" s="26" t="n"/>
      <c r="M54" s="26" t="n"/>
      <c r="N54" s="26" t="n"/>
      <c r="O54" s="18" t="n"/>
    </row>
    <row r="55" ht="15" customHeight="1">
      <c r="A55" s="24" t="n"/>
      <c r="B55" s="18" t="n"/>
      <c r="C55" s="30" t="n"/>
      <c r="D55" s="33" t="n"/>
      <c r="E55" s="33" t="n"/>
      <c r="F55" s="30" t="n"/>
      <c r="G55" s="30" t="n"/>
      <c r="H55" s="30" t="n"/>
      <c r="I55" s="33" t="n"/>
      <c r="J55" s="18" t="n"/>
      <c r="K55" s="18" t="n"/>
      <c r="L55" s="26" t="n"/>
      <c r="M55" s="26" t="n"/>
      <c r="N55" s="26" t="n"/>
      <c r="O55" s="18" t="n"/>
    </row>
    <row r="56" ht="15" customHeight="1">
      <c r="A56" s="24" t="n"/>
      <c r="B56" s="18" t="n"/>
      <c r="C56" s="30" t="n"/>
      <c r="D56" s="33" t="n"/>
      <c r="E56" s="33" t="n"/>
      <c r="F56" s="30" t="n"/>
      <c r="G56" s="30" t="n"/>
      <c r="H56" s="30" t="n"/>
      <c r="I56" s="33" t="n"/>
      <c r="J56" s="18" t="n"/>
      <c r="K56" s="18" t="n"/>
      <c r="L56" s="26" t="n"/>
      <c r="M56" s="26" t="n"/>
      <c r="N56" s="26" t="n"/>
      <c r="O56" s="18" t="n"/>
    </row>
    <row r="57" ht="15" customHeight="1">
      <c r="A57" s="24" t="n"/>
      <c r="B57" s="18" t="n"/>
      <c r="C57" s="30" t="n"/>
      <c r="D57" s="33" t="n"/>
      <c r="E57" s="33" t="n"/>
      <c r="F57" s="30" t="n"/>
      <c r="G57" s="30" t="n"/>
      <c r="H57" s="30" t="n"/>
      <c r="I57" s="33" t="n"/>
      <c r="J57" s="18" t="n"/>
      <c r="K57" s="18" t="n"/>
      <c r="L57" s="26" t="n"/>
      <c r="M57" s="26" t="n"/>
      <c r="N57" s="26" t="n"/>
      <c r="O57" s="18" t="n"/>
    </row>
    <row r="58" ht="15" customHeight="1">
      <c r="A58" s="24" t="n"/>
      <c r="B58" s="18" t="n"/>
      <c r="C58" s="30" t="n"/>
      <c r="D58" s="33" t="n"/>
      <c r="E58" s="33" t="n"/>
      <c r="F58" s="30" t="n"/>
      <c r="G58" s="30" t="n"/>
      <c r="H58" s="30" t="n"/>
      <c r="I58" s="33" t="n"/>
      <c r="J58" s="18" t="n"/>
      <c r="K58" s="18" t="n"/>
      <c r="L58" s="26" t="n"/>
      <c r="M58" s="26" t="n"/>
      <c r="N58" s="26" t="n"/>
      <c r="O58" s="18" t="n"/>
    </row>
    <row r="59" ht="15" customHeight="1">
      <c r="A59" s="24" t="n"/>
      <c r="B59" s="18" t="n"/>
      <c r="C59" s="30" t="n"/>
      <c r="D59" s="33" t="n"/>
      <c r="E59" s="33" t="n"/>
      <c r="F59" s="30" t="n"/>
      <c r="G59" s="30" t="n"/>
      <c r="H59" s="30" t="n"/>
      <c r="I59" s="33" t="n"/>
      <c r="J59" s="18" t="n"/>
      <c r="K59" s="18" t="n"/>
      <c r="L59" s="26" t="n"/>
      <c r="M59" s="26" t="n"/>
      <c r="N59" s="26" t="n"/>
      <c r="O59" s="18" t="n"/>
    </row>
    <row r="60" ht="15" customHeight="1">
      <c r="A60" s="24" t="n"/>
      <c r="B60" s="18" t="n"/>
      <c r="C60" s="30" t="n"/>
      <c r="D60" s="33" t="n"/>
      <c r="E60" s="33" t="n"/>
      <c r="F60" s="30" t="n"/>
      <c r="G60" s="30" t="n"/>
      <c r="H60" s="30" t="n"/>
      <c r="I60" s="33" t="n"/>
      <c r="J60" s="18" t="n"/>
      <c r="K60" s="18" t="n"/>
      <c r="L60" s="26" t="n"/>
      <c r="M60" s="26" t="n"/>
      <c r="N60" s="26" t="n"/>
      <c r="O60" s="18" t="n"/>
    </row>
    <row r="61" ht="15" customHeight="1">
      <c r="A61" s="24" t="n"/>
      <c r="B61" s="18" t="n"/>
      <c r="C61" s="30" t="n"/>
      <c r="D61" s="33" t="n"/>
      <c r="E61" s="33" t="n"/>
      <c r="F61" s="30" t="n"/>
      <c r="G61" s="30" t="n"/>
      <c r="H61" s="30" t="n"/>
      <c r="I61" s="33" t="n"/>
      <c r="J61" s="18" t="n"/>
      <c r="K61" s="18" t="n"/>
      <c r="L61" s="26" t="n"/>
      <c r="M61" s="26" t="n"/>
      <c r="N61" s="26" t="n"/>
      <c r="O61" s="18" t="n"/>
    </row>
    <row r="62" ht="15" customHeight="1">
      <c r="A62" s="24" t="n"/>
      <c r="B62" s="18" t="n"/>
      <c r="C62" s="30" t="n"/>
      <c r="D62" s="33" t="n"/>
      <c r="E62" s="33" t="n"/>
      <c r="F62" s="30" t="n"/>
      <c r="G62" s="30" t="n"/>
      <c r="H62" s="30" t="n"/>
      <c r="I62" s="33" t="n"/>
      <c r="J62" s="18" t="n"/>
      <c r="K62" s="18" t="n"/>
      <c r="L62" s="26" t="n"/>
      <c r="M62" s="26" t="n"/>
      <c r="N62" s="26" t="n"/>
      <c r="O62" s="18" t="n"/>
    </row>
    <row r="63" ht="15" customHeight="1">
      <c r="A63" s="24" t="n"/>
      <c r="B63" s="18" t="n"/>
      <c r="C63" s="30" t="n"/>
      <c r="D63" s="33" t="n"/>
      <c r="E63" s="33" t="n"/>
      <c r="F63" s="30" t="n"/>
      <c r="G63" s="30" t="n"/>
      <c r="H63" s="30" t="n"/>
      <c r="I63" s="33" t="n"/>
      <c r="J63" s="18" t="n"/>
      <c r="K63" s="18" t="n"/>
      <c r="L63" s="26" t="n"/>
      <c r="M63" s="26" t="n"/>
      <c r="N63" s="26" t="n"/>
      <c r="O63" s="18" t="n"/>
    </row>
    <row r="64" ht="15" customHeight="1">
      <c r="A64" s="24" t="n"/>
      <c r="B64" s="18" t="n"/>
      <c r="C64" s="30" t="n"/>
      <c r="D64" s="33" t="n"/>
      <c r="E64" s="33" t="n"/>
      <c r="F64" s="30" t="n"/>
      <c r="G64" s="30" t="n"/>
      <c r="H64" s="30" t="n"/>
      <c r="I64" s="33" t="n"/>
      <c r="J64" s="18" t="n"/>
      <c r="K64" s="18" t="n"/>
      <c r="L64" s="26" t="n"/>
      <c r="M64" s="26" t="n"/>
      <c r="N64" s="26" t="n"/>
      <c r="O64" s="18" t="n"/>
    </row>
    <row r="65" ht="15" customHeight="1">
      <c r="A65" s="24" t="n"/>
      <c r="B65" s="18" t="n"/>
      <c r="C65" s="30" t="n"/>
      <c r="D65" s="33" t="n"/>
      <c r="E65" s="33" t="n"/>
      <c r="F65" s="30" t="n"/>
      <c r="G65" s="30" t="n"/>
      <c r="H65" s="30" t="n"/>
      <c r="I65" s="33" t="n"/>
      <c r="J65" s="18" t="n"/>
      <c r="K65" s="18" t="n"/>
      <c r="L65" s="26" t="n"/>
      <c r="M65" s="26" t="n"/>
      <c r="N65" s="26" t="n"/>
      <c r="O65" s="18" t="n"/>
    </row>
    <row r="66" ht="15" customHeight="1">
      <c r="A66" s="24" t="n"/>
      <c r="B66" s="18" t="n"/>
      <c r="C66" s="30" t="n"/>
      <c r="D66" s="33" t="n"/>
      <c r="E66" s="33" t="n"/>
      <c r="F66" s="30" t="n"/>
      <c r="G66" s="30" t="n"/>
      <c r="H66" s="30" t="n"/>
      <c r="I66" s="33" t="n"/>
      <c r="J66" s="18" t="n"/>
      <c r="K66" s="18" t="n"/>
      <c r="L66" s="26" t="n"/>
      <c r="M66" s="26" t="n"/>
      <c r="N66" s="26" t="n"/>
      <c r="O66" s="18" t="n"/>
    </row>
  </sheetData>
  <mergeCells count="8">
    <mergeCell ref="F4:G4"/>
    <mergeCell ref="J4:K4"/>
    <mergeCell ref="A2:O2"/>
    <mergeCell ref="L4:M4"/>
    <mergeCell ref="A1:O1"/>
    <mergeCell ref="D4:E4"/>
    <mergeCell ref="H4:I4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M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 ht="26" customHeight="1">
      <c r="A1" s="1" t="inlineStr">
        <is>
          <t>RESOURCE RATES</t>
        </is>
      </c>
    </row>
    <row r="2">
      <c r="A2" s="2" t="inlineStr">
        <is>
          <t>R$/hora = custo fixo / horas de CAPACIDADE PRATICA (nao a producao real). Base do custo de conversao e do unused capacity cost.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RESOURCE_ID</t>
        </is>
      </c>
      <c r="B6" s="5" t="inlineStr">
        <is>
          <t>Custo fixo R$/mes
(dep+manut+outros)</t>
        </is>
      </c>
      <c r="C6" s="5" t="inlineStr">
        <is>
          <t>Horas praticas/mes</t>
        </is>
      </c>
      <c r="D6" s="5" t="inlineStr">
        <is>
          <t>R$/hora pratica</t>
        </is>
      </c>
    </row>
    <row r="7">
      <c r="A7" s="15" t="inlineStr">
        <is>
          <t>RES-MIST1</t>
        </is>
      </c>
      <c r="B7" s="31">
        <f>SUMIF('12_RESOURCES'!$A$7:$A$67,A7,'12_RESOURCES'!$G$7:$G$67)+SUMIF('12_RESOURCES'!$A$7:$A$67,A7,'12_RESOURCES'!$H$7:$H$67)+SUMIF('12_RESOURCES'!$A$7:$A$67,A7,'12_RESOURCES'!$I$7:$I$67)</f>
        <v/>
      </c>
      <c r="C7" s="31">
        <f>SUMIF('12_RESOURCES'!$A$7:$A$67,A7,'12_RESOURCES'!$F$7:$F$67)</f>
        <v/>
      </c>
      <c r="D7" s="41">
        <f>IFERROR(B7/C7,0)</f>
        <v/>
      </c>
    </row>
    <row r="8">
      <c r="A8" s="15" t="inlineStr">
        <is>
          <t>RES-MIST2</t>
        </is>
      </c>
      <c r="B8" s="31">
        <f>SUMIF('12_RESOURCES'!$A$7:$A$67,A8,'12_RESOURCES'!$G$7:$G$67)+SUMIF('12_RESOURCES'!$A$7:$A$67,A8,'12_RESOURCES'!$H$7:$H$67)+SUMIF('12_RESOURCES'!$A$7:$A$67,A8,'12_RESOURCES'!$I$7:$I$67)</f>
        <v/>
      </c>
      <c r="C8" s="31">
        <f>SUMIF('12_RESOURCES'!$A$7:$A$67,A8,'12_RESOURCES'!$F$7:$F$67)</f>
        <v/>
      </c>
      <c r="D8" s="41">
        <f>IFERROR(B8/C8,0)</f>
        <v/>
      </c>
    </row>
  </sheetData>
  <mergeCells count="8">
    <mergeCell ref="A1:D1"/>
    <mergeCell ref="F4:G4"/>
    <mergeCell ref="J4:K4"/>
    <mergeCell ref="L4:M4"/>
    <mergeCell ref="D4:E4"/>
    <mergeCell ref="A2:D2"/>
    <mergeCell ref="H4:I4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M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</cols>
  <sheetData>
    <row r="1" ht="26" customHeight="1">
      <c r="A1" s="1" t="inlineStr">
        <is>
          <t>STANDARD TIMES</t>
        </is>
      </c>
    </row>
    <row r="2">
      <c r="A2" s="2" t="inlineStr">
        <is>
          <t>Consolida o routing (14) em h/t por produto. Base do custo de conversao padrao e do speed loss.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Tempo padrao total h/t
(soma routing)</t>
        </is>
      </c>
      <c r="C6" s="5" t="inlineStr">
        <is>
          <t>Velocidade padrao t/h</t>
        </is>
      </c>
    </row>
    <row r="7">
      <c r="A7" s="15" t="inlineStr">
        <is>
          <t>P001</t>
        </is>
      </c>
      <c r="B7" s="36">
        <f>SUMIF('14_ROUTINGS'!$B$7:$B$67,A7,'14_ROUTINGS'!$F$7:$F$67)</f>
        <v/>
      </c>
      <c r="C7" s="31">
        <f>IFERROR(1/B7,0)</f>
        <v/>
      </c>
    </row>
    <row r="8">
      <c r="A8" s="15" t="inlineStr">
        <is>
          <t>P002</t>
        </is>
      </c>
      <c r="B8" s="36">
        <f>SUMIF('14_ROUTINGS'!$B$7:$B$67,A8,'14_ROUTINGS'!$F$7:$F$67)</f>
        <v/>
      </c>
      <c r="C8" s="31">
        <f>IFERROR(1/B8,0)</f>
        <v/>
      </c>
    </row>
    <row r="9">
      <c r="A9" s="15" t="inlineStr">
        <is>
          <t>P003</t>
        </is>
      </c>
      <c r="B9" s="36">
        <f>SUMIF('14_ROUTINGS'!$B$7:$B$67,A9,'14_ROUTINGS'!$F$7:$F$67)</f>
        <v/>
      </c>
      <c r="C9" s="31">
        <f>IFERROR(1/B9,0)</f>
        <v/>
      </c>
    </row>
  </sheetData>
  <mergeCells count="8">
    <mergeCell ref="F4:G4"/>
    <mergeCell ref="J4:K4"/>
    <mergeCell ref="L4:M4"/>
    <mergeCell ref="A1:C1"/>
    <mergeCell ref="D4:E4"/>
    <mergeCell ref="H4:I4"/>
    <mergeCell ref="B4:C4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S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7" customWidth="1" min="4" max="4"/>
    <col width="11" customWidth="1" min="5" max="5"/>
    <col width="10" customWidth="1" min="6" max="6"/>
    <col width="11" customWidth="1" min="7" max="7"/>
    <col width="8" customWidth="1" min="8" max="8"/>
    <col width="8" customWidth="1" min="9" max="9"/>
    <col width="10" customWidth="1" min="10" max="10"/>
    <col width="10" customWidth="1" min="11" max="11"/>
    <col width="9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6" customWidth="1" min="19" max="19"/>
  </cols>
  <sheetData>
    <row r="1" ht="26" customHeight="1">
      <c r="A1" s="1" t="inlineStr">
        <is>
          <t>PRODUCTION OF</t>
        </is>
      </c>
    </row>
    <row r="2">
      <c r="A2" s="2" t="inlineStr">
        <is>
          <t>Produtividade medida por hora inicio/fim da OF/lote (NAO por jornada contratual). Reproc. separado. t/h = qtd boa / tempo.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OF_ID</t>
        </is>
      </c>
      <c r="B6" s="5" t="inlineStr">
        <is>
          <t>PRODUCT_ID</t>
        </is>
      </c>
      <c r="C6" s="5" t="inlineStr">
        <is>
          <t>FORMULA_ID</t>
        </is>
      </c>
      <c r="D6" s="5" t="inlineStr">
        <is>
          <t>Versao</t>
        </is>
      </c>
      <c r="E6" s="5" t="inlineStr">
        <is>
          <t>RESOURCE_ID</t>
        </is>
      </c>
      <c r="F6" s="5" t="inlineStr">
        <is>
          <t>Equipe</t>
        </is>
      </c>
      <c r="G6" s="5" t="inlineStr">
        <is>
          <t>Data</t>
        </is>
      </c>
      <c r="H6" s="5" t="inlineStr">
        <is>
          <t>Hora ini</t>
        </is>
      </c>
      <c r="I6" s="5" t="inlineStr">
        <is>
          <t>Hora fim</t>
        </is>
      </c>
      <c r="J6" s="5" t="inlineStr">
        <is>
          <t>Qtd progr.
(t)</t>
        </is>
      </c>
      <c r="K6" s="5" t="inlineStr">
        <is>
          <t>Qtd produz.
(t)</t>
        </is>
      </c>
      <c r="L6" s="5" t="inlineStr">
        <is>
          <t>Qtd BOA
(t)</t>
        </is>
      </c>
      <c r="M6" s="5" t="inlineStr">
        <is>
          <t>Sacos</t>
        </is>
      </c>
      <c r="N6" s="5" t="inlineStr">
        <is>
          <t>Paletes</t>
        </is>
      </c>
      <c r="O6" s="5" t="inlineStr">
        <is>
          <t>Perdas
(t)</t>
        </is>
      </c>
      <c r="P6" s="5" t="inlineStr">
        <is>
          <t>Reproc.
(t)</t>
        </is>
      </c>
      <c r="Q6" s="5" t="inlineStr">
        <is>
          <t>Tempo
(h)</t>
        </is>
      </c>
      <c r="R6" s="5" t="inlineStr">
        <is>
          <t>t/h</t>
        </is>
      </c>
      <c r="S6" s="5" t="inlineStr">
        <is>
          <t>Obs</t>
        </is>
      </c>
    </row>
    <row r="7">
      <c r="A7" s="15" t="inlineStr">
        <is>
          <t>OF-2603-01</t>
        </is>
      </c>
      <c r="B7" s="28" t="inlineStr">
        <is>
          <t>P001</t>
        </is>
      </c>
      <c r="C7" s="28" t="inlineStr">
        <is>
          <t>F-P001</t>
        </is>
      </c>
      <c r="D7" s="28" t="inlineStr">
        <is>
          <t>v1</t>
        </is>
      </c>
      <c r="E7" s="28" t="inlineStr">
        <is>
          <t>RES-MIST1</t>
        </is>
      </c>
      <c r="F7" s="18" t="inlineStr">
        <is>
          <t>Turma A</t>
        </is>
      </c>
      <c r="G7" s="28" t="inlineStr">
        <is>
          <t>2026-03-05</t>
        </is>
      </c>
      <c r="H7" s="28" t="inlineStr">
        <is>
          <t>06:00</t>
        </is>
      </c>
      <c r="I7" s="28" t="inlineStr">
        <is>
          <t>10:00</t>
        </is>
      </c>
      <c r="J7" s="30" t="n">
        <v>400</v>
      </c>
      <c r="K7" s="30" t="n">
        <v>402</v>
      </c>
      <c r="L7" s="30" t="n">
        <v>400</v>
      </c>
      <c r="M7" s="42">
        <f>IFERROR(L7*1000/INDEX('03_PRODUCTS'!$G$7:$G$49,MATCH(B7,'03_PRODUCTS'!$A$7:$A$49,0)),"")</f>
        <v/>
      </c>
      <c r="N7" s="42">
        <f>IFERROR(M7/INDEX('03_PRODUCTS'!$H$7:$H$49,MATCH(B7,'03_PRODUCTS'!$A$7:$A$49,0)),"")</f>
        <v/>
      </c>
      <c r="O7" s="31">
        <f>K7-L7-P7</f>
        <v/>
      </c>
      <c r="P7" s="30" t="n">
        <v>0</v>
      </c>
      <c r="Q7" s="31">
        <f>IFERROR((TIMEVALUE(I7)-TIMEVALUE(H7))*24,"")</f>
        <v/>
      </c>
      <c r="R7" s="31">
        <f>IFERROR(L7/Q7,"")</f>
        <v/>
      </c>
      <c r="S7" s="18" t="inlineStr"/>
    </row>
    <row r="8">
      <c r="A8" s="15" t="inlineStr">
        <is>
          <t>OF-2603-02</t>
        </is>
      </c>
      <c r="B8" s="28" t="inlineStr">
        <is>
          <t>P002</t>
        </is>
      </c>
      <c r="C8" s="28" t="inlineStr">
        <is>
          <t>F-P002</t>
        </is>
      </c>
      <c r="D8" s="28" t="inlineStr">
        <is>
          <t>v1</t>
        </is>
      </c>
      <c r="E8" s="28" t="inlineStr">
        <is>
          <t>RES-MIST1</t>
        </is>
      </c>
      <c r="F8" s="18" t="inlineStr">
        <is>
          <t>Turma A</t>
        </is>
      </c>
      <c r="G8" s="28" t="inlineStr">
        <is>
          <t>2026-03-06</t>
        </is>
      </c>
      <c r="H8" s="28" t="inlineStr">
        <is>
          <t>06:00</t>
        </is>
      </c>
      <c r="I8" s="28" t="inlineStr">
        <is>
          <t>11:00</t>
        </is>
      </c>
      <c r="J8" s="30" t="n">
        <v>250</v>
      </c>
      <c r="K8" s="30" t="n">
        <v>251</v>
      </c>
      <c r="L8" s="30" t="n">
        <v>250</v>
      </c>
      <c r="M8" s="42">
        <f>IFERROR(L8*1000/INDEX('03_PRODUCTS'!$G$7:$G$49,MATCH(B8,'03_PRODUCTS'!$A$7:$A$49,0)),"")</f>
        <v/>
      </c>
      <c r="N8" s="42">
        <f>IFERROR(M8/INDEX('03_PRODUCTS'!$H$7:$H$49,MATCH(B8,'03_PRODUCTS'!$A$7:$A$49,0)),"")</f>
        <v/>
      </c>
      <c r="O8" s="31">
        <f>K8-L8-P8</f>
        <v/>
      </c>
      <c r="P8" s="30" t="n">
        <v>0</v>
      </c>
      <c r="Q8" s="31">
        <f>IFERROR((TIMEVALUE(I8)-TIMEVALUE(H8))*24,"")</f>
        <v/>
      </c>
      <c r="R8" s="31">
        <f>IFERROR(L8/Q8,"")</f>
        <v/>
      </c>
      <c r="S8" s="18" t="inlineStr"/>
    </row>
    <row r="9">
      <c r="A9" s="15" t="inlineStr">
        <is>
          <t>OF-2603-03</t>
        </is>
      </c>
      <c r="B9" s="28" t="inlineStr">
        <is>
          <t>P003</t>
        </is>
      </c>
      <c r="C9" s="28" t="inlineStr">
        <is>
          <t>F-P003</t>
        </is>
      </c>
      <c r="D9" s="28" t="inlineStr">
        <is>
          <t>v1</t>
        </is>
      </c>
      <c r="E9" s="28" t="inlineStr">
        <is>
          <t>RES-MIST2</t>
        </is>
      </c>
      <c r="F9" s="18" t="inlineStr">
        <is>
          <t>Turma B</t>
        </is>
      </c>
      <c r="G9" s="28" t="inlineStr">
        <is>
          <t>2026-03-07</t>
        </is>
      </c>
      <c r="H9" s="28" t="inlineStr">
        <is>
          <t>07:00</t>
        </is>
      </c>
      <c r="I9" s="28" t="inlineStr">
        <is>
          <t>10:00</t>
        </is>
      </c>
      <c r="J9" s="30" t="n">
        <v>120</v>
      </c>
      <c r="K9" s="30" t="n">
        <v>121</v>
      </c>
      <c r="L9" s="30" t="n">
        <v>120</v>
      </c>
      <c r="M9" s="42">
        <f>IFERROR(L9*1000/INDEX('03_PRODUCTS'!$G$7:$G$49,MATCH(B9,'03_PRODUCTS'!$A$7:$A$49,0)),"")</f>
        <v/>
      </c>
      <c r="N9" s="42">
        <f>IFERROR(M9/INDEX('03_PRODUCTS'!$H$7:$H$49,MATCH(B9,'03_PRODUCTS'!$A$7:$A$49,0)),"")</f>
        <v/>
      </c>
      <c r="O9" s="31">
        <f>K9-L9-P9</f>
        <v/>
      </c>
      <c r="P9" s="30" t="n">
        <v>0.5</v>
      </c>
      <c r="Q9" s="31">
        <f>IFERROR((TIMEVALUE(I9)-TIMEVALUE(H9))*24,"")</f>
        <v/>
      </c>
      <c r="R9" s="31">
        <f>IFERROR(L9/Q9,"")</f>
        <v/>
      </c>
      <c r="S9" s="18" t="inlineStr"/>
    </row>
    <row r="10">
      <c r="A10" s="24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6" t="n"/>
      <c r="N10" s="6" t="n"/>
      <c r="O10" s="6" t="n"/>
      <c r="P10" s="18" t="n"/>
      <c r="Q10" s="6" t="n"/>
      <c r="R10" s="6" t="n"/>
      <c r="S10" s="18" t="n"/>
    </row>
    <row r="11">
      <c r="A11" s="24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6" t="n"/>
      <c r="N11" s="6" t="n"/>
      <c r="O11" s="6" t="n"/>
      <c r="P11" s="18" t="n"/>
      <c r="Q11" s="6" t="n"/>
      <c r="R11" s="6" t="n"/>
      <c r="S11" s="18" t="n"/>
    </row>
    <row r="12">
      <c r="A12" s="24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6" t="n"/>
      <c r="N12" s="6" t="n"/>
      <c r="O12" s="6" t="n"/>
      <c r="P12" s="18" t="n"/>
      <c r="Q12" s="6" t="n"/>
      <c r="R12" s="6" t="n"/>
      <c r="S12" s="18" t="n"/>
    </row>
    <row r="13">
      <c r="A13" s="24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6" t="n"/>
      <c r="N13" s="6" t="n"/>
      <c r="O13" s="6" t="n"/>
      <c r="P13" s="18" t="n"/>
      <c r="Q13" s="6" t="n"/>
      <c r="R13" s="6" t="n"/>
      <c r="S13" s="18" t="n"/>
    </row>
    <row r="14">
      <c r="A14" s="24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6" t="n"/>
      <c r="N14" s="6" t="n"/>
      <c r="O14" s="6" t="n"/>
      <c r="P14" s="18" t="n"/>
      <c r="Q14" s="6" t="n"/>
      <c r="R14" s="6" t="n"/>
      <c r="S14" s="18" t="n"/>
    </row>
    <row r="15">
      <c r="A15" s="24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6" t="n"/>
      <c r="N15" s="6" t="n"/>
      <c r="O15" s="6" t="n"/>
      <c r="P15" s="18" t="n"/>
      <c r="Q15" s="6" t="n"/>
      <c r="R15" s="6" t="n"/>
      <c r="S15" s="18" t="n"/>
    </row>
    <row r="16">
      <c r="A16" s="24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6" t="n"/>
      <c r="N16" s="6" t="n"/>
      <c r="O16" s="6" t="n"/>
      <c r="P16" s="18" t="n"/>
      <c r="Q16" s="6" t="n"/>
      <c r="R16" s="6" t="n"/>
      <c r="S16" s="18" t="n"/>
    </row>
    <row r="17">
      <c r="A17" s="24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6" t="n"/>
      <c r="N17" s="6" t="n"/>
      <c r="O17" s="6" t="n"/>
      <c r="P17" s="18" t="n"/>
      <c r="Q17" s="6" t="n"/>
      <c r="R17" s="6" t="n"/>
      <c r="S17" s="18" t="n"/>
    </row>
    <row r="18">
      <c r="A18" s="24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6" t="n"/>
      <c r="N18" s="6" t="n"/>
      <c r="O18" s="6" t="n"/>
      <c r="P18" s="18" t="n"/>
      <c r="Q18" s="6" t="n"/>
      <c r="R18" s="6" t="n"/>
      <c r="S18" s="18" t="n"/>
    </row>
    <row r="19">
      <c r="A19" s="24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6" t="n"/>
      <c r="N19" s="6" t="n"/>
      <c r="O19" s="6" t="n"/>
      <c r="P19" s="18" t="n"/>
      <c r="Q19" s="6" t="n"/>
      <c r="R19" s="6" t="n"/>
      <c r="S19" s="18" t="n"/>
    </row>
    <row r="20">
      <c r="A20" s="24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6" t="n"/>
      <c r="N20" s="6" t="n"/>
      <c r="O20" s="6" t="n"/>
      <c r="P20" s="18" t="n"/>
      <c r="Q20" s="6" t="n"/>
      <c r="R20" s="6" t="n"/>
      <c r="S20" s="18" t="n"/>
    </row>
    <row r="21">
      <c r="A21" s="24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6" t="n"/>
      <c r="N21" s="6" t="n"/>
      <c r="O21" s="6" t="n"/>
      <c r="P21" s="18" t="n"/>
      <c r="Q21" s="6" t="n"/>
      <c r="R21" s="6" t="n"/>
      <c r="S21" s="18" t="n"/>
    </row>
    <row r="22">
      <c r="A22" s="24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6" t="n"/>
      <c r="N22" s="6" t="n"/>
      <c r="O22" s="6" t="n"/>
      <c r="P22" s="18" t="n"/>
      <c r="Q22" s="6" t="n"/>
      <c r="R22" s="6" t="n"/>
      <c r="S22" s="18" t="n"/>
    </row>
    <row r="23">
      <c r="A23" s="24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6" t="n"/>
      <c r="N23" s="6" t="n"/>
      <c r="O23" s="6" t="n"/>
      <c r="P23" s="18" t="n"/>
      <c r="Q23" s="6" t="n"/>
      <c r="R23" s="6" t="n"/>
      <c r="S23" s="18" t="n"/>
    </row>
    <row r="24">
      <c r="A24" s="24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6" t="n"/>
      <c r="N24" s="6" t="n"/>
      <c r="O24" s="6" t="n"/>
      <c r="P24" s="18" t="n"/>
      <c r="Q24" s="6" t="n"/>
      <c r="R24" s="6" t="n"/>
      <c r="S24" s="18" t="n"/>
    </row>
    <row r="25">
      <c r="A25" s="24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6" t="n"/>
      <c r="N25" s="6" t="n"/>
      <c r="O25" s="6" t="n"/>
      <c r="P25" s="18" t="n"/>
      <c r="Q25" s="6" t="n"/>
      <c r="R25" s="6" t="n"/>
      <c r="S25" s="18" t="n"/>
    </row>
    <row r="26">
      <c r="A26" s="24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6" t="n"/>
      <c r="N26" s="6" t="n"/>
      <c r="O26" s="6" t="n"/>
      <c r="P26" s="18" t="n"/>
      <c r="Q26" s="6" t="n"/>
      <c r="R26" s="6" t="n"/>
      <c r="S26" s="18" t="n"/>
    </row>
    <row r="27">
      <c r="A27" s="24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6" t="n"/>
      <c r="N27" s="6" t="n"/>
      <c r="O27" s="6" t="n"/>
      <c r="P27" s="18" t="n"/>
      <c r="Q27" s="6" t="n"/>
      <c r="R27" s="6" t="n"/>
      <c r="S27" s="18" t="n"/>
    </row>
    <row r="28">
      <c r="A28" s="24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6" t="n"/>
      <c r="N28" s="6" t="n"/>
      <c r="O28" s="6" t="n"/>
      <c r="P28" s="18" t="n"/>
      <c r="Q28" s="6" t="n"/>
      <c r="R28" s="6" t="n"/>
      <c r="S28" s="18" t="n"/>
    </row>
    <row r="29">
      <c r="A29" s="24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6" t="n"/>
      <c r="N29" s="6" t="n"/>
      <c r="O29" s="6" t="n"/>
      <c r="P29" s="18" t="n"/>
      <c r="Q29" s="6" t="n"/>
      <c r="R29" s="6" t="n"/>
      <c r="S29" s="18" t="n"/>
    </row>
    <row r="30">
      <c r="A30" s="24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6" t="n"/>
      <c r="N30" s="6" t="n"/>
      <c r="O30" s="6" t="n"/>
      <c r="P30" s="18" t="n"/>
      <c r="Q30" s="6" t="n"/>
      <c r="R30" s="6" t="n"/>
      <c r="S30" s="18" t="n"/>
    </row>
    <row r="31">
      <c r="A31" s="24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6" t="n"/>
      <c r="N31" s="6" t="n"/>
      <c r="O31" s="6" t="n"/>
      <c r="P31" s="18" t="n"/>
      <c r="Q31" s="6" t="n"/>
      <c r="R31" s="6" t="n"/>
      <c r="S31" s="18" t="n"/>
    </row>
    <row r="32">
      <c r="A32" s="24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6" t="n"/>
      <c r="N32" s="6" t="n"/>
      <c r="O32" s="6" t="n"/>
      <c r="P32" s="18" t="n"/>
      <c r="Q32" s="6" t="n"/>
      <c r="R32" s="6" t="n"/>
      <c r="S32" s="18" t="n"/>
    </row>
    <row r="33">
      <c r="A33" s="24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6" t="n"/>
      <c r="N33" s="6" t="n"/>
      <c r="O33" s="6" t="n"/>
      <c r="P33" s="18" t="n"/>
      <c r="Q33" s="6" t="n"/>
      <c r="R33" s="6" t="n"/>
      <c r="S33" s="18" t="n"/>
    </row>
    <row r="34">
      <c r="A34" s="24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6" t="n"/>
      <c r="N34" s="6" t="n"/>
      <c r="O34" s="6" t="n"/>
      <c r="P34" s="18" t="n"/>
      <c r="Q34" s="6" t="n"/>
      <c r="R34" s="6" t="n"/>
      <c r="S34" s="18" t="n"/>
    </row>
    <row r="35">
      <c r="A35" s="24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6" t="n"/>
      <c r="N35" s="6" t="n"/>
      <c r="O35" s="6" t="n"/>
      <c r="P35" s="18" t="n"/>
      <c r="Q35" s="6" t="n"/>
      <c r="R35" s="6" t="n"/>
      <c r="S35" s="18" t="n"/>
    </row>
    <row r="36">
      <c r="A36" s="24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6" t="n"/>
      <c r="N36" s="6" t="n"/>
      <c r="O36" s="6" t="n"/>
      <c r="P36" s="18" t="n"/>
      <c r="Q36" s="6" t="n"/>
      <c r="R36" s="6" t="n"/>
      <c r="S36" s="18" t="n"/>
    </row>
    <row r="37">
      <c r="A37" s="24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6" t="n"/>
      <c r="N37" s="6" t="n"/>
      <c r="O37" s="6" t="n"/>
      <c r="P37" s="18" t="n"/>
      <c r="Q37" s="6" t="n"/>
      <c r="R37" s="6" t="n"/>
      <c r="S37" s="18" t="n"/>
    </row>
    <row r="38">
      <c r="A38" s="24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6" t="n"/>
      <c r="N38" s="6" t="n"/>
      <c r="O38" s="6" t="n"/>
      <c r="P38" s="18" t="n"/>
      <c r="Q38" s="6" t="n"/>
      <c r="R38" s="6" t="n"/>
      <c r="S38" s="18" t="n"/>
    </row>
    <row r="39">
      <c r="A39" s="24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6" t="n"/>
      <c r="N39" s="6" t="n"/>
      <c r="O39" s="6" t="n"/>
      <c r="P39" s="18" t="n"/>
      <c r="Q39" s="6" t="n"/>
      <c r="R39" s="6" t="n"/>
      <c r="S39" s="18" t="n"/>
    </row>
    <row r="40">
      <c r="A40" s="24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6" t="n"/>
      <c r="N40" s="6" t="n"/>
      <c r="O40" s="6" t="n"/>
      <c r="P40" s="18" t="n"/>
      <c r="Q40" s="6" t="n"/>
      <c r="R40" s="6" t="n"/>
      <c r="S40" s="18" t="n"/>
    </row>
    <row r="41">
      <c r="A41" s="24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6" t="n"/>
      <c r="N41" s="6" t="n"/>
      <c r="O41" s="6" t="n"/>
      <c r="P41" s="18" t="n"/>
      <c r="Q41" s="6" t="n"/>
      <c r="R41" s="6" t="n"/>
      <c r="S41" s="18" t="n"/>
    </row>
    <row r="42">
      <c r="A42" s="24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6" t="n"/>
      <c r="N42" s="6" t="n"/>
      <c r="O42" s="6" t="n"/>
      <c r="P42" s="18" t="n"/>
      <c r="Q42" s="6" t="n"/>
      <c r="R42" s="6" t="n"/>
      <c r="S42" s="18" t="n"/>
    </row>
    <row r="43">
      <c r="A43" s="24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6" t="n"/>
      <c r="N43" s="6" t="n"/>
      <c r="O43" s="6" t="n"/>
      <c r="P43" s="18" t="n"/>
      <c r="Q43" s="6" t="n"/>
      <c r="R43" s="6" t="n"/>
      <c r="S43" s="18" t="n"/>
    </row>
    <row r="44">
      <c r="A44" s="24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6" t="n"/>
      <c r="N44" s="6" t="n"/>
      <c r="O44" s="6" t="n"/>
      <c r="P44" s="18" t="n"/>
      <c r="Q44" s="6" t="n"/>
      <c r="R44" s="6" t="n"/>
      <c r="S44" s="18" t="n"/>
    </row>
    <row r="45">
      <c r="A45" s="24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6" t="n"/>
      <c r="N45" s="6" t="n"/>
      <c r="O45" s="6" t="n"/>
      <c r="P45" s="18" t="n"/>
      <c r="Q45" s="6" t="n"/>
      <c r="R45" s="6" t="n"/>
      <c r="S45" s="18" t="n"/>
    </row>
    <row r="46">
      <c r="A46" s="24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6" t="n"/>
      <c r="N46" s="6" t="n"/>
      <c r="O46" s="6" t="n"/>
      <c r="P46" s="18" t="n"/>
      <c r="Q46" s="6" t="n"/>
      <c r="R46" s="6" t="n"/>
      <c r="S46" s="18" t="n"/>
    </row>
  </sheetData>
  <mergeCells count="8">
    <mergeCell ref="F4:G4"/>
    <mergeCell ref="J4:K4"/>
    <mergeCell ref="A2:S2"/>
    <mergeCell ref="L4:M4"/>
    <mergeCell ref="A1:S1"/>
    <mergeCell ref="D4:E4"/>
    <mergeCell ref="H4:I4"/>
    <mergeCell ref="B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  <col width="14" customWidth="1" min="9" max="9"/>
  </cols>
  <sheetData>
    <row r="1" ht="26" customHeight="1">
      <c r="A1" s="1" t="inlineStr">
        <is>
          <t>ACTUAL CONSUMPTION</t>
        </is>
      </c>
    </row>
    <row r="2">
      <c r="A2" s="2" t="inlineStr">
        <is>
          <t>Base do Actual Cost. Act qtd = act kg/t /1000 x good tons. Act custo = act qtd x act preco.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OF_ID</t>
        </is>
      </c>
      <c r="B6" s="5" t="inlineStr">
        <is>
          <t>PRODUCT_ID</t>
        </is>
      </c>
      <c r="C6" s="5" t="inlineStr">
        <is>
          <t>MATERIAL_ID</t>
        </is>
      </c>
      <c r="D6" s="5" t="inlineStr">
        <is>
          <t>Good tons
(link)</t>
        </is>
      </c>
      <c r="E6" s="5" t="inlineStr">
        <is>
          <t>Act kg/t
(real)</t>
        </is>
      </c>
      <c r="F6" s="5" t="inlineStr">
        <is>
          <t>Act qtd
(t)</t>
        </is>
      </c>
      <c r="G6" s="5" t="inlineStr">
        <is>
          <t>Act preco
R$/t (real)</t>
        </is>
      </c>
      <c r="H6" s="5" t="inlineStr">
        <is>
          <t>Act custo
(R$)</t>
        </is>
      </c>
      <c r="I6" s="5" t="inlineStr">
        <is>
          <t>KEY
(prod|mat)</t>
        </is>
      </c>
    </row>
    <row r="7">
      <c r="A7" s="15" t="inlineStr">
        <is>
          <t>OF-2603-01</t>
        </is>
      </c>
      <c r="B7" s="28" t="inlineStr">
        <is>
          <t>P001</t>
        </is>
      </c>
      <c r="C7" s="15" t="inlineStr">
        <is>
          <t>M001</t>
        </is>
      </c>
      <c r="D7" s="31">
        <f>IFERROR(INDEX('17_PRODUCTION_OF'!$L$7:$L$47,MATCH(A7,'17_PRODUCTION_OF'!$A$7:$A$47,0)),0)</f>
        <v/>
      </c>
      <c r="E7" s="21" t="n">
        <v>255</v>
      </c>
      <c r="F7" s="31">
        <f>E7/1000*D7</f>
        <v/>
      </c>
      <c r="G7" s="21" t="n">
        <v>660</v>
      </c>
      <c r="H7" s="31">
        <f>F7*G7</f>
        <v/>
      </c>
      <c r="I7" s="15">
        <f>B7&amp;"|"&amp;C7</f>
        <v/>
      </c>
    </row>
    <row r="8">
      <c r="A8" s="15" t="inlineStr">
        <is>
          <t>OF-2603-01</t>
        </is>
      </c>
      <c r="B8" s="28" t="inlineStr">
        <is>
          <t>P001</t>
        </is>
      </c>
      <c r="C8" s="15" t="inlineStr">
        <is>
          <t>M002</t>
        </is>
      </c>
      <c r="D8" s="31">
        <f>IFERROR(INDEX('17_PRODUCTION_OF'!$L$7:$L$47,MATCH(A8,'17_PRODUCTION_OF'!$A$7:$A$47,0)),0)</f>
        <v/>
      </c>
      <c r="E8" s="21" t="n">
        <v>700</v>
      </c>
      <c r="F8" s="31">
        <f>E8/1000*D8</f>
        <v/>
      </c>
      <c r="G8" s="21" t="n">
        <v>66</v>
      </c>
      <c r="H8" s="31">
        <f>F8*G8</f>
        <v/>
      </c>
      <c r="I8" s="15">
        <f>B8&amp;"|"&amp;C8</f>
        <v/>
      </c>
    </row>
    <row r="9">
      <c r="A9" s="15" t="inlineStr">
        <is>
          <t>OF-2603-01</t>
        </is>
      </c>
      <c r="B9" s="28" t="inlineStr">
        <is>
          <t>P001</t>
        </is>
      </c>
      <c r="C9" s="15" t="inlineStr">
        <is>
          <t>M003</t>
        </is>
      </c>
      <c r="D9" s="31">
        <f>IFERROR(INDEX('17_PRODUCTION_OF'!$L$7:$L$47,MATCH(A9,'17_PRODUCTION_OF'!$A$7:$A$47,0)),0)</f>
        <v/>
      </c>
      <c r="E9" s="21" t="n">
        <v>45</v>
      </c>
      <c r="F9" s="31">
        <f>E9/1000*D9</f>
        <v/>
      </c>
      <c r="G9" s="21" t="n">
        <v>485</v>
      </c>
      <c r="H9" s="31">
        <f>F9*G9</f>
        <v/>
      </c>
      <c r="I9" s="15">
        <f>B9&amp;"|"&amp;C9</f>
        <v/>
      </c>
    </row>
    <row r="10">
      <c r="A10" s="15" t="inlineStr">
        <is>
          <t>OF-2603-01</t>
        </is>
      </c>
      <c r="B10" s="28" t="inlineStr">
        <is>
          <t>P001</t>
        </is>
      </c>
      <c r="C10" s="15" t="inlineStr">
        <is>
          <t>M004</t>
        </is>
      </c>
      <c r="D10" s="31">
        <f>IFERROR(INDEX('17_PRODUCTION_OF'!$L$7:$L$47,MATCH(A10,'17_PRODUCTION_OF'!$A$7:$A$47,0)),0)</f>
        <v/>
      </c>
      <c r="E10" s="21" t="n">
        <v>5</v>
      </c>
      <c r="F10" s="31">
        <f>E10/1000*D10</f>
        <v/>
      </c>
      <c r="G10" s="21" t="n">
        <v>17000</v>
      </c>
      <c r="H10" s="31">
        <f>F10*G10</f>
        <v/>
      </c>
      <c r="I10" s="15">
        <f>B10&amp;"|"&amp;C10</f>
        <v/>
      </c>
    </row>
    <row r="11">
      <c r="A11" s="15" t="inlineStr">
        <is>
          <t>OF-2603-02</t>
        </is>
      </c>
      <c r="B11" s="28" t="inlineStr">
        <is>
          <t>P002</t>
        </is>
      </c>
      <c r="C11" s="15" t="inlineStr">
        <is>
          <t>M001</t>
        </is>
      </c>
      <c r="D11" s="31">
        <f>IFERROR(INDEX('17_PRODUCTION_OF'!$L$7:$L$47,MATCH(A11,'17_PRODUCTION_OF'!$A$7:$A$47,0)),0)</f>
        <v/>
      </c>
      <c r="E11" s="21" t="n">
        <v>300</v>
      </c>
      <c r="F11" s="31">
        <f>E11/1000*D11</f>
        <v/>
      </c>
      <c r="G11" s="21" t="n">
        <v>660</v>
      </c>
      <c r="H11" s="31">
        <f>F11*G11</f>
        <v/>
      </c>
      <c r="I11" s="15">
        <f>B11&amp;"|"&amp;C11</f>
        <v/>
      </c>
    </row>
    <row r="12">
      <c r="A12" s="15" t="inlineStr">
        <is>
          <t>OF-2603-02</t>
        </is>
      </c>
      <c r="B12" s="28" t="inlineStr">
        <is>
          <t>P002</t>
        </is>
      </c>
      <c r="C12" s="15" t="inlineStr">
        <is>
          <t>M002</t>
        </is>
      </c>
      <c r="D12" s="31">
        <f>IFERROR(INDEX('17_PRODUCTION_OF'!$L$7:$L$47,MATCH(A12,'17_PRODUCTION_OF'!$A$7:$A$47,0)),0)</f>
        <v/>
      </c>
      <c r="E12" s="21" t="n">
        <v>655</v>
      </c>
      <c r="F12" s="31">
        <f>E12/1000*D12</f>
        <v/>
      </c>
      <c r="G12" s="21" t="n">
        <v>66</v>
      </c>
      <c r="H12" s="31">
        <f>F12*G12</f>
        <v/>
      </c>
      <c r="I12" s="15">
        <f>B12&amp;"|"&amp;C12</f>
        <v/>
      </c>
    </row>
    <row r="13">
      <c r="A13" s="15" t="inlineStr">
        <is>
          <t>OF-2603-02</t>
        </is>
      </c>
      <c r="B13" s="28" t="inlineStr">
        <is>
          <t>P002</t>
        </is>
      </c>
      <c r="C13" s="15" t="inlineStr">
        <is>
          <t>M003</t>
        </is>
      </c>
      <c r="D13" s="31">
        <f>IFERROR(INDEX('17_PRODUCTION_OF'!$L$7:$L$47,MATCH(A13,'17_PRODUCTION_OF'!$A$7:$A$47,0)),0)</f>
        <v/>
      </c>
      <c r="E13" s="21" t="n">
        <v>45</v>
      </c>
      <c r="F13" s="31">
        <f>E13/1000*D13</f>
        <v/>
      </c>
      <c r="G13" s="21" t="n">
        <v>485</v>
      </c>
      <c r="H13" s="31">
        <f>F13*G13</f>
        <v/>
      </c>
      <c r="I13" s="15">
        <f>B13&amp;"|"&amp;C13</f>
        <v/>
      </c>
    </row>
    <row r="14">
      <c r="A14" s="15" t="inlineStr">
        <is>
          <t>OF-2603-02</t>
        </is>
      </c>
      <c r="B14" s="28" t="inlineStr">
        <is>
          <t>P002</t>
        </is>
      </c>
      <c r="C14" s="15" t="inlineStr">
        <is>
          <t>M004</t>
        </is>
      </c>
      <c r="D14" s="31">
        <f>IFERROR(INDEX('17_PRODUCTION_OF'!$L$7:$L$47,MATCH(A14,'17_PRODUCTION_OF'!$A$7:$A$47,0)),0)</f>
        <v/>
      </c>
      <c r="E14" s="21" t="n">
        <v>5</v>
      </c>
      <c r="F14" s="31">
        <f>E14/1000*D14</f>
        <v/>
      </c>
      <c r="G14" s="21" t="n">
        <v>17000</v>
      </c>
      <c r="H14" s="31">
        <f>F14*G14</f>
        <v/>
      </c>
      <c r="I14" s="15">
        <f>B14&amp;"|"&amp;C14</f>
        <v/>
      </c>
    </row>
    <row r="15">
      <c r="A15" s="15" t="inlineStr">
        <is>
          <t>OF-2603-03</t>
        </is>
      </c>
      <c r="B15" s="28" t="inlineStr">
        <is>
          <t>P003</t>
        </is>
      </c>
      <c r="C15" s="15" t="inlineStr">
        <is>
          <t>M001</t>
        </is>
      </c>
      <c r="D15" s="31">
        <f>IFERROR(INDEX('17_PRODUCTION_OF'!$L$7:$L$47,MATCH(A15,'17_PRODUCTION_OF'!$A$7:$A$47,0)),0)</f>
        <v/>
      </c>
      <c r="E15" s="21" t="n">
        <v>350</v>
      </c>
      <c r="F15" s="31">
        <f>E15/1000*D15</f>
        <v/>
      </c>
      <c r="G15" s="21" t="n">
        <v>660</v>
      </c>
      <c r="H15" s="31">
        <f>F15*G15</f>
        <v/>
      </c>
      <c r="I15" s="15">
        <f>B15&amp;"|"&amp;C15</f>
        <v/>
      </c>
    </row>
    <row r="16">
      <c r="A16" s="15" t="inlineStr">
        <is>
          <t>OF-2603-03</t>
        </is>
      </c>
      <c r="B16" s="28" t="inlineStr">
        <is>
          <t>P003</t>
        </is>
      </c>
      <c r="C16" s="15" t="inlineStr">
        <is>
          <t>M002</t>
        </is>
      </c>
      <c r="D16" s="31">
        <f>IFERROR(INDEX('17_PRODUCTION_OF'!$L$7:$L$47,MATCH(A16,'17_PRODUCTION_OF'!$A$7:$A$47,0)),0)</f>
        <v/>
      </c>
      <c r="E16" s="21" t="n">
        <v>600</v>
      </c>
      <c r="F16" s="31">
        <f>E16/1000*D16</f>
        <v/>
      </c>
      <c r="G16" s="21" t="n">
        <v>66</v>
      </c>
      <c r="H16" s="31">
        <f>F16*G16</f>
        <v/>
      </c>
      <c r="I16" s="15">
        <f>B16&amp;"|"&amp;C16</f>
        <v/>
      </c>
    </row>
    <row r="17">
      <c r="A17" s="15" t="inlineStr">
        <is>
          <t>OF-2603-03</t>
        </is>
      </c>
      <c r="B17" s="28" t="inlineStr">
        <is>
          <t>P003</t>
        </is>
      </c>
      <c r="C17" s="15" t="inlineStr">
        <is>
          <t>M004</t>
        </is>
      </c>
      <c r="D17" s="31">
        <f>IFERROR(INDEX('17_PRODUCTION_OF'!$L$7:$L$47,MATCH(A17,'17_PRODUCTION_OF'!$A$7:$A$47,0)),0)</f>
        <v/>
      </c>
      <c r="E17" s="21" t="n">
        <v>8</v>
      </c>
      <c r="F17" s="31">
        <f>E17/1000*D17</f>
        <v/>
      </c>
      <c r="G17" s="21" t="n">
        <v>17000</v>
      </c>
      <c r="H17" s="31">
        <f>F17*G17</f>
        <v/>
      </c>
      <c r="I17" s="15">
        <f>B17&amp;"|"&amp;C17</f>
        <v/>
      </c>
    </row>
    <row r="18">
      <c r="A18" s="15" t="inlineStr">
        <is>
          <t>OF-2603-03</t>
        </is>
      </c>
      <c r="B18" s="28" t="inlineStr">
        <is>
          <t>P003</t>
        </is>
      </c>
      <c r="C18" s="15" t="inlineStr">
        <is>
          <t>M005</t>
        </is>
      </c>
      <c r="D18" s="31">
        <f>IFERROR(INDEX('17_PRODUCTION_OF'!$L$7:$L$47,MATCH(A18,'17_PRODUCTION_OF'!$A$7:$A$47,0)),0)</f>
        <v/>
      </c>
      <c r="E18" s="21" t="n">
        <v>42</v>
      </c>
      <c r="F18" s="31">
        <f>E18/1000*D18</f>
        <v/>
      </c>
      <c r="G18" s="21" t="n">
        <v>8610</v>
      </c>
      <c r="H18" s="31">
        <f>F18*G18</f>
        <v/>
      </c>
      <c r="I18" s="15">
        <f>B18&amp;"|"&amp;C18</f>
        <v/>
      </c>
    </row>
    <row r="19">
      <c r="A19" s="24" t="n"/>
      <c r="B19" s="18" t="n"/>
      <c r="C19" s="24" t="n"/>
      <c r="D19" s="33">
        <f>IF(A19="","",IFERROR(INDEX('17_PRODUCTION_OF'!$L$7:$L$47,MATCH(A19,'17_PRODUCTION_OF'!$A$7:$A$47,0)),0))</f>
        <v/>
      </c>
      <c r="E19" s="30" t="n"/>
      <c r="F19" s="33">
        <f>IF(E19="","",E19/1000*D19)</f>
        <v/>
      </c>
      <c r="G19" s="30" t="n"/>
      <c r="H19" s="33">
        <f>IF(F19="","",F19*G19)</f>
        <v/>
      </c>
      <c r="I19" s="24">
        <f>IF(B19="","",B19&amp;"|"&amp;C19)</f>
        <v/>
      </c>
    </row>
    <row r="20">
      <c r="A20" s="24" t="n"/>
      <c r="B20" s="18" t="n"/>
      <c r="C20" s="24" t="n"/>
      <c r="D20" s="33">
        <f>IF(A20="","",IFERROR(INDEX('17_PRODUCTION_OF'!$L$7:$L$47,MATCH(A20,'17_PRODUCTION_OF'!$A$7:$A$47,0)),0))</f>
        <v/>
      </c>
      <c r="E20" s="30" t="n"/>
      <c r="F20" s="33">
        <f>IF(E20="","",E20/1000*D20)</f>
        <v/>
      </c>
      <c r="G20" s="30" t="n"/>
      <c r="H20" s="33">
        <f>IF(F20="","",F20*G20)</f>
        <v/>
      </c>
      <c r="I20" s="24">
        <f>IF(B20="","",B20&amp;"|"&amp;C20)</f>
        <v/>
      </c>
    </row>
    <row r="21">
      <c r="A21" s="24" t="n"/>
      <c r="B21" s="18" t="n"/>
      <c r="C21" s="24" t="n"/>
      <c r="D21" s="33">
        <f>IF(A21="","",IFERROR(INDEX('17_PRODUCTION_OF'!$L$7:$L$47,MATCH(A21,'17_PRODUCTION_OF'!$A$7:$A$47,0)),0))</f>
        <v/>
      </c>
      <c r="E21" s="30" t="n"/>
      <c r="F21" s="33">
        <f>IF(E21="","",E21/1000*D21)</f>
        <v/>
      </c>
      <c r="G21" s="30" t="n"/>
      <c r="H21" s="33">
        <f>IF(F21="","",F21*G21)</f>
        <v/>
      </c>
      <c r="I21" s="24">
        <f>IF(B21="","",B21&amp;"|"&amp;C21)</f>
        <v/>
      </c>
    </row>
    <row r="22">
      <c r="A22" s="24" t="n"/>
      <c r="B22" s="18" t="n"/>
      <c r="C22" s="24" t="n"/>
      <c r="D22" s="33">
        <f>IF(A22="","",IFERROR(INDEX('17_PRODUCTION_OF'!$L$7:$L$47,MATCH(A22,'17_PRODUCTION_OF'!$A$7:$A$47,0)),0))</f>
        <v/>
      </c>
      <c r="E22" s="30" t="n"/>
      <c r="F22" s="33">
        <f>IF(E22="","",E22/1000*D22)</f>
        <v/>
      </c>
      <c r="G22" s="30" t="n"/>
      <c r="H22" s="33">
        <f>IF(F22="","",F22*G22)</f>
        <v/>
      </c>
      <c r="I22" s="24">
        <f>IF(B22="","",B22&amp;"|"&amp;C22)</f>
        <v/>
      </c>
    </row>
    <row r="23">
      <c r="A23" s="24" t="n"/>
      <c r="B23" s="18" t="n"/>
      <c r="C23" s="24" t="n"/>
      <c r="D23" s="33">
        <f>IF(A23="","",IFERROR(INDEX('17_PRODUCTION_OF'!$L$7:$L$47,MATCH(A23,'17_PRODUCTION_OF'!$A$7:$A$47,0)),0))</f>
        <v/>
      </c>
      <c r="E23" s="30" t="n"/>
      <c r="F23" s="33">
        <f>IF(E23="","",E23/1000*D23)</f>
        <v/>
      </c>
      <c r="G23" s="30" t="n"/>
      <c r="H23" s="33">
        <f>IF(F23="","",F23*G23)</f>
        <v/>
      </c>
      <c r="I23" s="24">
        <f>IF(B23="","",B23&amp;"|"&amp;C23)</f>
        <v/>
      </c>
    </row>
    <row r="24">
      <c r="A24" s="24" t="n"/>
      <c r="B24" s="18" t="n"/>
      <c r="C24" s="24" t="n"/>
      <c r="D24" s="33">
        <f>IF(A24="","",IFERROR(INDEX('17_PRODUCTION_OF'!$L$7:$L$47,MATCH(A24,'17_PRODUCTION_OF'!$A$7:$A$47,0)),0))</f>
        <v/>
      </c>
      <c r="E24" s="30" t="n"/>
      <c r="F24" s="33">
        <f>IF(E24="","",E24/1000*D24)</f>
        <v/>
      </c>
      <c r="G24" s="30" t="n"/>
      <c r="H24" s="33">
        <f>IF(F24="","",F24*G24)</f>
        <v/>
      </c>
      <c r="I24" s="24">
        <f>IF(B24="","",B24&amp;"|"&amp;C24)</f>
        <v/>
      </c>
    </row>
    <row r="25">
      <c r="A25" s="24" t="n"/>
      <c r="B25" s="18" t="n"/>
      <c r="C25" s="24" t="n"/>
      <c r="D25" s="33">
        <f>IF(A25="","",IFERROR(INDEX('17_PRODUCTION_OF'!$L$7:$L$47,MATCH(A25,'17_PRODUCTION_OF'!$A$7:$A$47,0)),0))</f>
        <v/>
      </c>
      <c r="E25" s="30" t="n"/>
      <c r="F25" s="33">
        <f>IF(E25="","",E25/1000*D25)</f>
        <v/>
      </c>
      <c r="G25" s="30" t="n"/>
      <c r="H25" s="33">
        <f>IF(F25="","",F25*G25)</f>
        <v/>
      </c>
      <c r="I25" s="24">
        <f>IF(B25="","",B25&amp;"|"&amp;C25)</f>
        <v/>
      </c>
    </row>
    <row r="26">
      <c r="A26" s="24" t="n"/>
      <c r="B26" s="18" t="n"/>
      <c r="C26" s="24" t="n"/>
      <c r="D26" s="33">
        <f>IF(A26="","",IFERROR(INDEX('17_PRODUCTION_OF'!$L$7:$L$47,MATCH(A26,'17_PRODUCTION_OF'!$A$7:$A$47,0)),0))</f>
        <v/>
      </c>
      <c r="E26" s="30" t="n"/>
      <c r="F26" s="33">
        <f>IF(E26="","",E26/1000*D26)</f>
        <v/>
      </c>
      <c r="G26" s="30" t="n"/>
      <c r="H26" s="33">
        <f>IF(F26="","",F26*G26)</f>
        <v/>
      </c>
      <c r="I26" s="24">
        <f>IF(B26="","",B26&amp;"|"&amp;C26)</f>
        <v/>
      </c>
    </row>
    <row r="27">
      <c r="A27" s="24" t="n"/>
      <c r="B27" s="18" t="n"/>
      <c r="C27" s="24" t="n"/>
      <c r="D27" s="33">
        <f>IF(A27="","",IFERROR(INDEX('17_PRODUCTION_OF'!$L$7:$L$47,MATCH(A27,'17_PRODUCTION_OF'!$A$7:$A$47,0)),0))</f>
        <v/>
      </c>
      <c r="E27" s="30" t="n"/>
      <c r="F27" s="33">
        <f>IF(E27="","",E27/1000*D27)</f>
        <v/>
      </c>
      <c r="G27" s="30" t="n"/>
      <c r="H27" s="33">
        <f>IF(F27="","",F27*G27)</f>
        <v/>
      </c>
      <c r="I27" s="24">
        <f>IF(B27="","",B27&amp;"|"&amp;C27)</f>
        <v/>
      </c>
    </row>
    <row r="28">
      <c r="A28" s="24" t="n"/>
      <c r="B28" s="18" t="n"/>
      <c r="C28" s="24" t="n"/>
      <c r="D28" s="33">
        <f>IF(A28="","",IFERROR(INDEX('17_PRODUCTION_OF'!$L$7:$L$47,MATCH(A28,'17_PRODUCTION_OF'!$A$7:$A$47,0)),0))</f>
        <v/>
      </c>
      <c r="E28" s="30" t="n"/>
      <c r="F28" s="33">
        <f>IF(E28="","",E28/1000*D28)</f>
        <v/>
      </c>
      <c r="G28" s="30" t="n"/>
      <c r="H28" s="33">
        <f>IF(F28="","",F28*G28)</f>
        <v/>
      </c>
      <c r="I28" s="24">
        <f>IF(B28="","",B28&amp;"|"&amp;C28)</f>
        <v/>
      </c>
    </row>
    <row r="29">
      <c r="A29" s="24" t="n"/>
      <c r="B29" s="18" t="n"/>
      <c r="C29" s="24" t="n"/>
      <c r="D29" s="33">
        <f>IF(A29="","",IFERROR(INDEX('17_PRODUCTION_OF'!$L$7:$L$47,MATCH(A29,'17_PRODUCTION_OF'!$A$7:$A$47,0)),0))</f>
        <v/>
      </c>
      <c r="E29" s="30" t="n"/>
      <c r="F29" s="33">
        <f>IF(E29="","",E29/1000*D29)</f>
        <v/>
      </c>
      <c r="G29" s="30" t="n"/>
      <c r="H29" s="33">
        <f>IF(F29="","",F29*G29)</f>
        <v/>
      </c>
      <c r="I29" s="24">
        <f>IF(B29="","",B29&amp;"|"&amp;C29)</f>
        <v/>
      </c>
    </row>
    <row r="30">
      <c r="A30" s="24" t="n"/>
      <c r="B30" s="18" t="n"/>
      <c r="C30" s="24" t="n"/>
      <c r="D30" s="33">
        <f>IF(A30="","",IFERROR(INDEX('17_PRODUCTION_OF'!$L$7:$L$47,MATCH(A30,'17_PRODUCTION_OF'!$A$7:$A$47,0)),0))</f>
        <v/>
      </c>
      <c r="E30" s="30" t="n"/>
      <c r="F30" s="33">
        <f>IF(E30="","",E30/1000*D30)</f>
        <v/>
      </c>
      <c r="G30" s="30" t="n"/>
      <c r="H30" s="33">
        <f>IF(F30="","",F30*G30)</f>
        <v/>
      </c>
      <c r="I30" s="24">
        <f>IF(B30="","",B30&amp;"|"&amp;C30)</f>
        <v/>
      </c>
    </row>
    <row r="31">
      <c r="A31" s="24" t="n"/>
      <c r="B31" s="18" t="n"/>
      <c r="C31" s="24" t="n"/>
      <c r="D31" s="33">
        <f>IF(A31="","",IFERROR(INDEX('17_PRODUCTION_OF'!$L$7:$L$47,MATCH(A31,'17_PRODUCTION_OF'!$A$7:$A$47,0)),0))</f>
        <v/>
      </c>
      <c r="E31" s="30" t="n"/>
      <c r="F31" s="33">
        <f>IF(E31="","",E31/1000*D31)</f>
        <v/>
      </c>
      <c r="G31" s="30" t="n"/>
      <c r="H31" s="33">
        <f>IF(F31="","",F31*G31)</f>
        <v/>
      </c>
      <c r="I31" s="24">
        <f>IF(B31="","",B31&amp;"|"&amp;C31)</f>
        <v/>
      </c>
    </row>
    <row r="32">
      <c r="A32" s="24" t="n"/>
      <c r="B32" s="18" t="n"/>
      <c r="C32" s="24" t="n"/>
      <c r="D32" s="33">
        <f>IF(A32="","",IFERROR(INDEX('17_PRODUCTION_OF'!$L$7:$L$47,MATCH(A32,'17_PRODUCTION_OF'!$A$7:$A$47,0)),0))</f>
        <v/>
      </c>
      <c r="E32" s="30" t="n"/>
      <c r="F32" s="33">
        <f>IF(E32="","",E32/1000*D32)</f>
        <v/>
      </c>
      <c r="G32" s="30" t="n"/>
      <c r="H32" s="33">
        <f>IF(F32="","",F32*G32)</f>
        <v/>
      </c>
      <c r="I32" s="24">
        <f>IF(B32="","",B32&amp;"|"&amp;C32)</f>
        <v/>
      </c>
    </row>
    <row r="33">
      <c r="A33" s="24" t="n"/>
      <c r="B33" s="18" t="n"/>
      <c r="C33" s="24" t="n"/>
      <c r="D33" s="33">
        <f>IF(A33="","",IFERROR(INDEX('17_PRODUCTION_OF'!$L$7:$L$47,MATCH(A33,'17_PRODUCTION_OF'!$A$7:$A$47,0)),0))</f>
        <v/>
      </c>
      <c r="E33" s="30" t="n"/>
      <c r="F33" s="33">
        <f>IF(E33="","",E33/1000*D33)</f>
        <v/>
      </c>
      <c r="G33" s="30" t="n"/>
      <c r="H33" s="33">
        <f>IF(F33="","",F33*G33)</f>
        <v/>
      </c>
      <c r="I33" s="24">
        <f>IF(B33="","",B33&amp;"|"&amp;C33)</f>
        <v/>
      </c>
    </row>
    <row r="34">
      <c r="A34" s="24" t="n"/>
      <c r="B34" s="18" t="n"/>
      <c r="C34" s="24" t="n"/>
      <c r="D34" s="33">
        <f>IF(A34="","",IFERROR(INDEX('17_PRODUCTION_OF'!$L$7:$L$47,MATCH(A34,'17_PRODUCTION_OF'!$A$7:$A$47,0)),0))</f>
        <v/>
      </c>
      <c r="E34" s="30" t="n"/>
      <c r="F34" s="33">
        <f>IF(E34="","",E34/1000*D34)</f>
        <v/>
      </c>
      <c r="G34" s="30" t="n"/>
      <c r="H34" s="33">
        <f>IF(F34="","",F34*G34)</f>
        <v/>
      </c>
      <c r="I34" s="24">
        <f>IF(B34="","",B34&amp;"|"&amp;C34)</f>
        <v/>
      </c>
    </row>
    <row r="35">
      <c r="A35" s="24" t="n"/>
      <c r="B35" s="18" t="n"/>
      <c r="C35" s="24" t="n"/>
      <c r="D35" s="33">
        <f>IF(A35="","",IFERROR(INDEX('17_PRODUCTION_OF'!$L$7:$L$47,MATCH(A35,'17_PRODUCTION_OF'!$A$7:$A$47,0)),0))</f>
        <v/>
      </c>
      <c r="E35" s="30" t="n"/>
      <c r="F35" s="33">
        <f>IF(E35="","",E35/1000*D35)</f>
        <v/>
      </c>
      <c r="G35" s="30" t="n"/>
      <c r="H35" s="33">
        <f>IF(F35="","",F35*G35)</f>
        <v/>
      </c>
      <c r="I35" s="24">
        <f>IF(B35="","",B35&amp;"|"&amp;C35)</f>
        <v/>
      </c>
    </row>
    <row r="36">
      <c r="A36" s="24" t="n"/>
      <c r="B36" s="18" t="n"/>
      <c r="C36" s="24" t="n"/>
      <c r="D36" s="33">
        <f>IF(A36="","",IFERROR(INDEX('17_PRODUCTION_OF'!$L$7:$L$47,MATCH(A36,'17_PRODUCTION_OF'!$A$7:$A$47,0)),0))</f>
        <v/>
      </c>
      <c r="E36" s="30" t="n"/>
      <c r="F36" s="33">
        <f>IF(E36="","",E36/1000*D36)</f>
        <v/>
      </c>
      <c r="G36" s="30" t="n"/>
      <c r="H36" s="33">
        <f>IF(F36="","",F36*G36)</f>
        <v/>
      </c>
      <c r="I36" s="24">
        <f>IF(B36="","",B36&amp;"|"&amp;C36)</f>
        <v/>
      </c>
    </row>
    <row r="37">
      <c r="A37" s="24" t="n"/>
      <c r="B37" s="18" t="n"/>
      <c r="C37" s="24" t="n"/>
      <c r="D37" s="33">
        <f>IF(A37="","",IFERROR(INDEX('17_PRODUCTION_OF'!$L$7:$L$47,MATCH(A37,'17_PRODUCTION_OF'!$A$7:$A$47,0)),0))</f>
        <v/>
      </c>
      <c r="E37" s="30" t="n"/>
      <c r="F37" s="33">
        <f>IF(E37="","",E37/1000*D37)</f>
        <v/>
      </c>
      <c r="G37" s="30" t="n"/>
      <c r="H37" s="33">
        <f>IF(F37="","",F37*G37)</f>
        <v/>
      </c>
      <c r="I37" s="24">
        <f>IF(B37="","",B37&amp;"|"&amp;C37)</f>
        <v/>
      </c>
    </row>
    <row r="38">
      <c r="A38" s="24" t="n"/>
      <c r="B38" s="18" t="n"/>
      <c r="C38" s="24" t="n"/>
      <c r="D38" s="33">
        <f>IF(A38="","",IFERROR(INDEX('17_PRODUCTION_OF'!$L$7:$L$47,MATCH(A38,'17_PRODUCTION_OF'!$A$7:$A$47,0)),0))</f>
        <v/>
      </c>
      <c r="E38" s="30" t="n"/>
      <c r="F38" s="33">
        <f>IF(E38="","",E38/1000*D38)</f>
        <v/>
      </c>
      <c r="G38" s="30" t="n"/>
      <c r="H38" s="33">
        <f>IF(F38="","",F38*G38)</f>
        <v/>
      </c>
      <c r="I38" s="24">
        <f>IF(B38="","",B38&amp;"|"&amp;C38)</f>
        <v/>
      </c>
    </row>
    <row r="39">
      <c r="A39" s="24" t="n"/>
      <c r="B39" s="18" t="n"/>
      <c r="C39" s="24" t="n"/>
      <c r="D39" s="33">
        <f>IF(A39="","",IFERROR(INDEX('17_PRODUCTION_OF'!$L$7:$L$47,MATCH(A39,'17_PRODUCTION_OF'!$A$7:$A$47,0)),0))</f>
        <v/>
      </c>
      <c r="E39" s="30" t="n"/>
      <c r="F39" s="33">
        <f>IF(E39="","",E39/1000*D39)</f>
        <v/>
      </c>
      <c r="G39" s="30" t="n"/>
      <c r="H39" s="33">
        <f>IF(F39="","",F39*G39)</f>
        <v/>
      </c>
      <c r="I39" s="24">
        <f>IF(B39="","",B39&amp;"|"&amp;C39)</f>
        <v/>
      </c>
    </row>
    <row r="40">
      <c r="A40" s="24" t="n"/>
      <c r="B40" s="18" t="n"/>
      <c r="C40" s="24" t="n"/>
      <c r="D40" s="33">
        <f>IF(A40="","",IFERROR(INDEX('17_PRODUCTION_OF'!$L$7:$L$47,MATCH(A40,'17_PRODUCTION_OF'!$A$7:$A$47,0)),0))</f>
        <v/>
      </c>
      <c r="E40" s="30" t="n"/>
      <c r="F40" s="33">
        <f>IF(E40="","",E40/1000*D40)</f>
        <v/>
      </c>
      <c r="G40" s="30" t="n"/>
      <c r="H40" s="33">
        <f>IF(F40="","",F40*G40)</f>
        <v/>
      </c>
      <c r="I40" s="24">
        <f>IF(B40="","",B40&amp;"|"&amp;C40)</f>
        <v/>
      </c>
    </row>
    <row r="41">
      <c r="A41" s="24" t="n"/>
      <c r="B41" s="18" t="n"/>
      <c r="C41" s="24" t="n"/>
      <c r="D41" s="33">
        <f>IF(A41="","",IFERROR(INDEX('17_PRODUCTION_OF'!$L$7:$L$47,MATCH(A41,'17_PRODUCTION_OF'!$A$7:$A$47,0)),0))</f>
        <v/>
      </c>
      <c r="E41" s="30" t="n"/>
      <c r="F41" s="33">
        <f>IF(E41="","",E41/1000*D41)</f>
        <v/>
      </c>
      <c r="G41" s="30" t="n"/>
      <c r="H41" s="33">
        <f>IF(F41="","",F41*G41)</f>
        <v/>
      </c>
      <c r="I41" s="24">
        <f>IF(B41="","",B41&amp;"|"&amp;C41)</f>
        <v/>
      </c>
    </row>
    <row r="42">
      <c r="A42" s="24" t="n"/>
      <c r="B42" s="18" t="n"/>
      <c r="C42" s="24" t="n"/>
      <c r="D42" s="33">
        <f>IF(A42="","",IFERROR(INDEX('17_PRODUCTION_OF'!$L$7:$L$47,MATCH(A42,'17_PRODUCTION_OF'!$A$7:$A$47,0)),0))</f>
        <v/>
      </c>
      <c r="E42" s="30" t="n"/>
      <c r="F42" s="33">
        <f>IF(E42="","",E42/1000*D42)</f>
        <v/>
      </c>
      <c r="G42" s="30" t="n"/>
      <c r="H42" s="33">
        <f>IF(F42="","",F42*G42)</f>
        <v/>
      </c>
      <c r="I42" s="24">
        <f>IF(B42="","",B42&amp;"|"&amp;C42)</f>
        <v/>
      </c>
    </row>
    <row r="43">
      <c r="A43" s="24" t="n"/>
      <c r="B43" s="18" t="n"/>
      <c r="C43" s="24" t="n"/>
      <c r="D43" s="33">
        <f>IF(A43="","",IFERROR(INDEX('17_PRODUCTION_OF'!$L$7:$L$47,MATCH(A43,'17_PRODUCTION_OF'!$A$7:$A$47,0)),0))</f>
        <v/>
      </c>
      <c r="E43" s="30" t="n"/>
      <c r="F43" s="33">
        <f>IF(E43="","",E43/1000*D43)</f>
        <v/>
      </c>
      <c r="G43" s="30" t="n"/>
      <c r="H43" s="33">
        <f>IF(F43="","",F43*G43)</f>
        <v/>
      </c>
      <c r="I43" s="24">
        <f>IF(B43="","",B43&amp;"|"&amp;C43)</f>
        <v/>
      </c>
    </row>
    <row r="44">
      <c r="A44" s="24" t="n"/>
      <c r="B44" s="18" t="n"/>
      <c r="C44" s="24" t="n"/>
      <c r="D44" s="33">
        <f>IF(A44="","",IFERROR(INDEX('17_PRODUCTION_OF'!$L$7:$L$47,MATCH(A44,'17_PRODUCTION_OF'!$A$7:$A$47,0)),0))</f>
        <v/>
      </c>
      <c r="E44" s="30" t="n"/>
      <c r="F44" s="33">
        <f>IF(E44="","",E44/1000*D44)</f>
        <v/>
      </c>
      <c r="G44" s="30" t="n"/>
      <c r="H44" s="33">
        <f>IF(F44="","",F44*G44)</f>
        <v/>
      </c>
      <c r="I44" s="24">
        <f>IF(B44="","",B44&amp;"|"&amp;C44)</f>
        <v/>
      </c>
    </row>
    <row r="45">
      <c r="A45" s="24" t="n"/>
      <c r="B45" s="18" t="n"/>
      <c r="C45" s="24" t="n"/>
      <c r="D45" s="33">
        <f>IF(A45="","",IFERROR(INDEX('17_PRODUCTION_OF'!$L$7:$L$47,MATCH(A45,'17_PRODUCTION_OF'!$A$7:$A$47,0)),0))</f>
        <v/>
      </c>
      <c r="E45" s="30" t="n"/>
      <c r="F45" s="33">
        <f>IF(E45="","",E45/1000*D45)</f>
        <v/>
      </c>
      <c r="G45" s="30" t="n"/>
      <c r="H45" s="33">
        <f>IF(F45="","",F45*G45)</f>
        <v/>
      </c>
      <c r="I45" s="24">
        <f>IF(B45="","",B45&amp;"|"&amp;C45)</f>
        <v/>
      </c>
    </row>
    <row r="46">
      <c r="A46" s="24" t="n"/>
      <c r="B46" s="18" t="n"/>
      <c r="C46" s="24" t="n"/>
      <c r="D46" s="33">
        <f>IF(A46="","",IFERROR(INDEX('17_PRODUCTION_OF'!$L$7:$L$47,MATCH(A46,'17_PRODUCTION_OF'!$A$7:$A$47,0)),0))</f>
        <v/>
      </c>
      <c r="E46" s="30" t="n"/>
      <c r="F46" s="33">
        <f>IF(E46="","",E46/1000*D46)</f>
        <v/>
      </c>
      <c r="G46" s="30" t="n"/>
      <c r="H46" s="33">
        <f>IF(F46="","",F46*G46)</f>
        <v/>
      </c>
      <c r="I46" s="24">
        <f>IF(B46="","",B46&amp;"|"&amp;C46)</f>
        <v/>
      </c>
    </row>
    <row r="47">
      <c r="A47" s="24" t="n"/>
      <c r="B47" s="18" t="n"/>
      <c r="C47" s="24" t="n"/>
      <c r="D47" s="33">
        <f>IF(A47="","",IFERROR(INDEX('17_PRODUCTION_OF'!$L$7:$L$47,MATCH(A47,'17_PRODUCTION_OF'!$A$7:$A$47,0)),0))</f>
        <v/>
      </c>
      <c r="E47" s="30" t="n"/>
      <c r="F47" s="33">
        <f>IF(E47="","",E47/1000*D47)</f>
        <v/>
      </c>
      <c r="G47" s="30" t="n"/>
      <c r="H47" s="33">
        <f>IF(F47="","",F47*G47)</f>
        <v/>
      </c>
      <c r="I47" s="24">
        <f>IF(B47="","",B47&amp;"|"&amp;C47)</f>
        <v/>
      </c>
    </row>
    <row r="48">
      <c r="A48" s="24" t="n"/>
      <c r="B48" s="18" t="n"/>
      <c r="C48" s="24" t="n"/>
      <c r="D48" s="33">
        <f>IF(A48="","",IFERROR(INDEX('17_PRODUCTION_OF'!$L$7:$L$47,MATCH(A48,'17_PRODUCTION_OF'!$A$7:$A$47,0)),0))</f>
        <v/>
      </c>
      <c r="E48" s="30" t="n"/>
      <c r="F48" s="33">
        <f>IF(E48="","",E48/1000*D48)</f>
        <v/>
      </c>
      <c r="G48" s="30" t="n"/>
      <c r="H48" s="33">
        <f>IF(F48="","",F48*G48)</f>
        <v/>
      </c>
      <c r="I48" s="24">
        <f>IF(B48="","",B48&amp;"|"&amp;C48)</f>
        <v/>
      </c>
    </row>
    <row r="49">
      <c r="A49" s="24" t="n"/>
      <c r="B49" s="18" t="n"/>
      <c r="C49" s="24" t="n"/>
      <c r="D49" s="33">
        <f>IF(A49="","",IFERROR(INDEX('17_PRODUCTION_OF'!$L$7:$L$47,MATCH(A49,'17_PRODUCTION_OF'!$A$7:$A$47,0)),0))</f>
        <v/>
      </c>
      <c r="E49" s="30" t="n"/>
      <c r="F49" s="33">
        <f>IF(E49="","",E49/1000*D49)</f>
        <v/>
      </c>
      <c r="G49" s="30" t="n"/>
      <c r="H49" s="33">
        <f>IF(F49="","",F49*G49)</f>
        <v/>
      </c>
      <c r="I49" s="24">
        <f>IF(B49="","",B49&amp;"|"&amp;C49)</f>
        <v/>
      </c>
    </row>
    <row r="50">
      <c r="A50" s="24" t="n"/>
      <c r="B50" s="18" t="n"/>
      <c r="C50" s="24" t="n"/>
      <c r="D50" s="33">
        <f>IF(A50="","",IFERROR(INDEX('17_PRODUCTION_OF'!$L$7:$L$47,MATCH(A50,'17_PRODUCTION_OF'!$A$7:$A$47,0)),0))</f>
        <v/>
      </c>
      <c r="E50" s="30" t="n"/>
      <c r="F50" s="33">
        <f>IF(E50="","",E50/1000*D50)</f>
        <v/>
      </c>
      <c r="G50" s="30" t="n"/>
      <c r="H50" s="33">
        <f>IF(F50="","",F50*G50)</f>
        <v/>
      </c>
      <c r="I50" s="24">
        <f>IF(B50="","",B50&amp;"|"&amp;C50)</f>
        <v/>
      </c>
    </row>
    <row r="51">
      <c r="A51" s="24" t="n"/>
      <c r="B51" s="18" t="n"/>
      <c r="C51" s="24" t="n"/>
      <c r="D51" s="33">
        <f>IF(A51="","",IFERROR(INDEX('17_PRODUCTION_OF'!$L$7:$L$47,MATCH(A51,'17_PRODUCTION_OF'!$A$7:$A$47,0)),0))</f>
        <v/>
      </c>
      <c r="E51" s="30" t="n"/>
      <c r="F51" s="33">
        <f>IF(E51="","",E51/1000*D51)</f>
        <v/>
      </c>
      <c r="G51" s="30" t="n"/>
      <c r="H51" s="33">
        <f>IF(F51="","",F51*G51)</f>
        <v/>
      </c>
      <c r="I51" s="24">
        <f>IF(B51="","",B51&amp;"|"&amp;C51)</f>
        <v/>
      </c>
    </row>
    <row r="52">
      <c r="A52" s="24" t="n"/>
      <c r="B52" s="18" t="n"/>
      <c r="C52" s="24" t="n"/>
      <c r="D52" s="33">
        <f>IF(A52="","",IFERROR(INDEX('17_PRODUCTION_OF'!$L$7:$L$47,MATCH(A52,'17_PRODUCTION_OF'!$A$7:$A$47,0)),0))</f>
        <v/>
      </c>
      <c r="E52" s="30" t="n"/>
      <c r="F52" s="33">
        <f>IF(E52="","",E52/1000*D52)</f>
        <v/>
      </c>
      <c r="G52" s="30" t="n"/>
      <c r="H52" s="33">
        <f>IF(F52="","",F52*G52)</f>
        <v/>
      </c>
      <c r="I52" s="24">
        <f>IF(B52="","",B52&amp;"|"&amp;C52)</f>
        <v/>
      </c>
    </row>
    <row r="53">
      <c r="A53" s="24" t="n"/>
      <c r="B53" s="18" t="n"/>
      <c r="C53" s="24" t="n"/>
      <c r="D53" s="33">
        <f>IF(A53="","",IFERROR(INDEX('17_PRODUCTION_OF'!$L$7:$L$47,MATCH(A53,'17_PRODUCTION_OF'!$A$7:$A$47,0)),0))</f>
        <v/>
      </c>
      <c r="E53" s="30" t="n"/>
      <c r="F53" s="33">
        <f>IF(E53="","",E53/1000*D53)</f>
        <v/>
      </c>
      <c r="G53" s="30" t="n"/>
      <c r="H53" s="33">
        <f>IF(F53="","",F53*G53)</f>
        <v/>
      </c>
      <c r="I53" s="24">
        <f>IF(B53="","",B53&amp;"|"&amp;C53)</f>
        <v/>
      </c>
    </row>
    <row r="54">
      <c r="A54" s="24" t="n"/>
      <c r="B54" s="18" t="n"/>
      <c r="C54" s="24" t="n"/>
      <c r="D54" s="33">
        <f>IF(A54="","",IFERROR(INDEX('17_PRODUCTION_OF'!$L$7:$L$47,MATCH(A54,'17_PRODUCTION_OF'!$A$7:$A$47,0)),0))</f>
        <v/>
      </c>
      <c r="E54" s="30" t="n"/>
      <c r="F54" s="33">
        <f>IF(E54="","",E54/1000*D54)</f>
        <v/>
      </c>
      <c r="G54" s="30" t="n"/>
      <c r="H54" s="33">
        <f>IF(F54="","",F54*G54)</f>
        <v/>
      </c>
      <c r="I54" s="24">
        <f>IF(B54="","",B54&amp;"|"&amp;C54)</f>
        <v/>
      </c>
    </row>
    <row r="55">
      <c r="A55" s="24" t="n"/>
      <c r="B55" s="18" t="n"/>
      <c r="C55" s="24" t="n"/>
      <c r="D55" s="33">
        <f>IF(A55="","",IFERROR(INDEX('17_PRODUCTION_OF'!$L$7:$L$47,MATCH(A55,'17_PRODUCTION_OF'!$A$7:$A$47,0)),0))</f>
        <v/>
      </c>
      <c r="E55" s="30" t="n"/>
      <c r="F55" s="33">
        <f>IF(E55="","",E55/1000*D55)</f>
        <v/>
      </c>
      <c r="G55" s="30" t="n"/>
      <c r="H55" s="33">
        <f>IF(F55="","",F55*G55)</f>
        <v/>
      </c>
      <c r="I55" s="24">
        <f>IF(B55="","",B55&amp;"|"&amp;C55)</f>
        <v/>
      </c>
    </row>
    <row r="56">
      <c r="A56" s="24" t="n"/>
      <c r="B56" s="18" t="n"/>
      <c r="C56" s="24" t="n"/>
      <c r="D56" s="33">
        <f>IF(A56="","",IFERROR(INDEX('17_PRODUCTION_OF'!$L$7:$L$47,MATCH(A56,'17_PRODUCTION_OF'!$A$7:$A$47,0)),0))</f>
        <v/>
      </c>
      <c r="E56" s="30" t="n"/>
      <c r="F56" s="33">
        <f>IF(E56="","",E56/1000*D56)</f>
        <v/>
      </c>
      <c r="G56" s="30" t="n"/>
      <c r="H56" s="33">
        <f>IF(F56="","",F56*G56)</f>
        <v/>
      </c>
      <c r="I56" s="24">
        <f>IF(B56="","",B56&amp;"|"&amp;C56)</f>
        <v/>
      </c>
    </row>
    <row r="57">
      <c r="A57" s="24" t="n"/>
      <c r="B57" s="18" t="n"/>
      <c r="C57" s="24" t="n"/>
      <c r="D57" s="33">
        <f>IF(A57="","",IFERROR(INDEX('17_PRODUCTION_OF'!$L$7:$L$47,MATCH(A57,'17_PRODUCTION_OF'!$A$7:$A$47,0)),0))</f>
        <v/>
      </c>
      <c r="E57" s="30" t="n"/>
      <c r="F57" s="33">
        <f>IF(E57="","",E57/1000*D57)</f>
        <v/>
      </c>
      <c r="G57" s="30" t="n"/>
      <c r="H57" s="33">
        <f>IF(F57="","",F57*G57)</f>
        <v/>
      </c>
      <c r="I57" s="24">
        <f>IF(B57="","",B57&amp;"|"&amp;C57)</f>
        <v/>
      </c>
    </row>
    <row r="58">
      <c r="A58" s="24" t="n"/>
      <c r="B58" s="18" t="n"/>
      <c r="C58" s="24" t="n"/>
      <c r="D58" s="33">
        <f>IF(A58="","",IFERROR(INDEX('17_PRODUCTION_OF'!$L$7:$L$47,MATCH(A58,'17_PRODUCTION_OF'!$A$7:$A$47,0)),0))</f>
        <v/>
      </c>
      <c r="E58" s="30" t="n"/>
      <c r="F58" s="33">
        <f>IF(E58="","",E58/1000*D58)</f>
        <v/>
      </c>
      <c r="G58" s="30" t="n"/>
      <c r="H58" s="33">
        <f>IF(F58="","",F58*G58)</f>
        <v/>
      </c>
      <c r="I58" s="24">
        <f>IF(B58="","",B58&amp;"|"&amp;C58)</f>
        <v/>
      </c>
    </row>
    <row r="59">
      <c r="A59" s="24" t="n"/>
      <c r="B59" s="18" t="n"/>
      <c r="C59" s="24" t="n"/>
      <c r="D59" s="33">
        <f>IF(A59="","",IFERROR(INDEX('17_PRODUCTION_OF'!$L$7:$L$47,MATCH(A59,'17_PRODUCTION_OF'!$A$7:$A$47,0)),0))</f>
        <v/>
      </c>
      <c r="E59" s="30" t="n"/>
      <c r="F59" s="33">
        <f>IF(E59="","",E59/1000*D59)</f>
        <v/>
      </c>
      <c r="G59" s="30" t="n"/>
      <c r="H59" s="33">
        <f>IF(F59="","",F59*G59)</f>
        <v/>
      </c>
      <c r="I59" s="24">
        <f>IF(B59="","",B59&amp;"|"&amp;C59)</f>
        <v/>
      </c>
    </row>
    <row r="60">
      <c r="A60" s="24" t="n"/>
      <c r="B60" s="18" t="n"/>
      <c r="C60" s="24" t="n"/>
      <c r="D60" s="33">
        <f>IF(A60="","",IFERROR(INDEX('17_PRODUCTION_OF'!$L$7:$L$47,MATCH(A60,'17_PRODUCTION_OF'!$A$7:$A$47,0)),0))</f>
        <v/>
      </c>
      <c r="E60" s="30" t="n"/>
      <c r="F60" s="33">
        <f>IF(E60="","",E60/1000*D60)</f>
        <v/>
      </c>
      <c r="G60" s="30" t="n"/>
      <c r="H60" s="33">
        <f>IF(F60="","",F60*G60)</f>
        <v/>
      </c>
      <c r="I60" s="24">
        <f>IF(B60="","",B60&amp;"|"&amp;C60)</f>
        <v/>
      </c>
    </row>
    <row r="61">
      <c r="A61" s="24" t="n"/>
      <c r="B61" s="18" t="n"/>
      <c r="C61" s="24" t="n"/>
      <c r="D61" s="33">
        <f>IF(A61="","",IFERROR(INDEX('17_PRODUCTION_OF'!$L$7:$L$47,MATCH(A61,'17_PRODUCTION_OF'!$A$7:$A$47,0)),0))</f>
        <v/>
      </c>
      <c r="E61" s="30" t="n"/>
      <c r="F61" s="33">
        <f>IF(E61="","",E61/1000*D61)</f>
        <v/>
      </c>
      <c r="G61" s="30" t="n"/>
      <c r="H61" s="33">
        <f>IF(F61="","",F61*G61)</f>
        <v/>
      </c>
      <c r="I61" s="24">
        <f>IF(B61="","",B61&amp;"|"&amp;C61)</f>
        <v/>
      </c>
    </row>
    <row r="62">
      <c r="A62" s="24" t="n"/>
      <c r="B62" s="18" t="n"/>
      <c r="C62" s="24" t="n"/>
      <c r="D62" s="33">
        <f>IF(A62="","",IFERROR(INDEX('17_PRODUCTION_OF'!$L$7:$L$47,MATCH(A62,'17_PRODUCTION_OF'!$A$7:$A$47,0)),0))</f>
        <v/>
      </c>
      <c r="E62" s="30" t="n"/>
      <c r="F62" s="33">
        <f>IF(E62="","",E62/1000*D62)</f>
        <v/>
      </c>
      <c r="G62" s="30" t="n"/>
      <c r="H62" s="33">
        <f>IF(F62="","",F62*G62)</f>
        <v/>
      </c>
      <c r="I62" s="24">
        <f>IF(B62="","",B62&amp;"|"&amp;C62)</f>
        <v/>
      </c>
    </row>
    <row r="63">
      <c r="A63" s="24" t="n"/>
      <c r="B63" s="18" t="n"/>
      <c r="C63" s="24" t="n"/>
      <c r="D63" s="33">
        <f>IF(A63="","",IFERROR(INDEX('17_PRODUCTION_OF'!$L$7:$L$47,MATCH(A63,'17_PRODUCTION_OF'!$A$7:$A$47,0)),0))</f>
        <v/>
      </c>
      <c r="E63" s="30" t="n"/>
      <c r="F63" s="33">
        <f>IF(E63="","",E63/1000*D63)</f>
        <v/>
      </c>
      <c r="G63" s="30" t="n"/>
      <c r="H63" s="33">
        <f>IF(F63="","",F63*G63)</f>
        <v/>
      </c>
      <c r="I63" s="24">
        <f>IF(B63="","",B63&amp;"|"&amp;C63)</f>
        <v/>
      </c>
    </row>
    <row r="64">
      <c r="A64" s="24" t="n"/>
      <c r="B64" s="18" t="n"/>
      <c r="C64" s="24" t="n"/>
      <c r="D64" s="33">
        <f>IF(A64="","",IFERROR(INDEX('17_PRODUCTION_OF'!$L$7:$L$47,MATCH(A64,'17_PRODUCTION_OF'!$A$7:$A$47,0)),0))</f>
        <v/>
      </c>
      <c r="E64" s="30" t="n"/>
      <c r="F64" s="33">
        <f>IF(E64="","",E64/1000*D64)</f>
        <v/>
      </c>
      <c r="G64" s="30" t="n"/>
      <c r="H64" s="33">
        <f>IF(F64="","",F64*G64)</f>
        <v/>
      </c>
      <c r="I64" s="24">
        <f>IF(B64="","",B64&amp;"|"&amp;C64)</f>
        <v/>
      </c>
    </row>
    <row r="65">
      <c r="A65" s="24" t="n"/>
      <c r="B65" s="18" t="n"/>
      <c r="C65" s="24" t="n"/>
      <c r="D65" s="33">
        <f>IF(A65="","",IFERROR(INDEX('17_PRODUCTION_OF'!$L$7:$L$47,MATCH(A65,'17_PRODUCTION_OF'!$A$7:$A$47,0)),0))</f>
        <v/>
      </c>
      <c r="E65" s="30" t="n"/>
      <c r="F65" s="33">
        <f>IF(E65="","",E65/1000*D65)</f>
        <v/>
      </c>
      <c r="G65" s="30" t="n"/>
      <c r="H65" s="33">
        <f>IF(F65="","",F65*G65)</f>
        <v/>
      </c>
      <c r="I65" s="24">
        <f>IF(B65="","",B65&amp;"|"&amp;C65)</f>
        <v/>
      </c>
    </row>
    <row r="66">
      <c r="A66" s="24" t="n"/>
      <c r="B66" s="18" t="n"/>
      <c r="C66" s="24" t="n"/>
      <c r="D66" s="33">
        <f>IF(A66="","",IFERROR(INDEX('17_PRODUCTION_OF'!$L$7:$L$47,MATCH(A66,'17_PRODUCTION_OF'!$A$7:$A$47,0)),0))</f>
        <v/>
      </c>
      <c r="E66" s="30" t="n"/>
      <c r="F66" s="33">
        <f>IF(E66="","",E66/1000*D66)</f>
        <v/>
      </c>
      <c r="G66" s="30" t="n"/>
      <c r="H66" s="33">
        <f>IF(F66="","",F66*G66)</f>
        <v/>
      </c>
      <c r="I66" s="24">
        <f>IF(B66="","",B66&amp;"|"&amp;C66)</f>
        <v/>
      </c>
    </row>
  </sheetData>
  <mergeCells count="8">
    <mergeCell ref="F4:G4"/>
    <mergeCell ref="J4:K4"/>
    <mergeCell ref="A2:I2"/>
    <mergeCell ref="L4:M4"/>
    <mergeCell ref="A1:I1"/>
    <mergeCell ref="D4:E4"/>
    <mergeCell ref="H4:I4"/>
    <mergeCell ref="B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030A0"/>
    <outlinePr summaryBelow="1" summaryRight="1"/>
    <pageSetUpPr/>
  </sheetPr>
  <dimension ref="A1:M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6" customHeight="1">
      <c r="A1" s="1" t="inlineStr">
        <is>
          <t>STANDARD COST</t>
        </is>
      </c>
    </row>
    <row r="2">
      <c r="A2" s="2" t="inlineStr">
        <is>
          <t>Material std = SUMIF do BOM (kg/t x landed R$/t). Conversao std vem do routing (input aqui). Unidade base: R$/tonelada boa produzida.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Descricao</t>
        </is>
      </c>
      <c r="C6" s="5" t="inlineStr">
        <is>
          <t>Good tons
(link OF)</t>
        </is>
      </c>
      <c r="D6" s="5" t="inlineStr">
        <is>
          <t>Material std
R$/t</t>
        </is>
      </c>
      <c r="E6" s="5" t="inlineStr">
        <is>
          <t>Conversao std
R$/t</t>
        </is>
      </c>
      <c r="F6" s="5" t="inlineStr">
        <is>
          <t>TOTAL STD
R$/t</t>
        </is>
      </c>
      <c r="G6" s="5" t="inlineStr">
        <is>
          <t>TOTAL STD
R$</t>
        </is>
      </c>
    </row>
    <row r="7">
      <c r="A7" s="15" t="inlineStr">
        <is>
          <t>P001</t>
        </is>
      </c>
      <c r="B7" s="43" t="inlineStr">
        <is>
          <t>Multiuso</t>
        </is>
      </c>
      <c r="C7" s="31">
        <f>SUMIF('17_PRODUCTION_OF'!$B$7:$B$47,A7,'17_PRODUCTION_OF'!$L$7:$L$47)</f>
        <v/>
      </c>
      <c r="D7" s="31">
        <f>SUMIF('06_BOM'!$A$7:$A$67,A7,'06_BOM'!$L$7:$L$67)</f>
        <v/>
      </c>
      <c r="E7" s="21" t="n">
        <v>38</v>
      </c>
      <c r="F7" s="41">
        <f>D7+E7</f>
        <v/>
      </c>
      <c r="G7" s="31">
        <f>F7*C7</f>
        <v/>
      </c>
    </row>
    <row r="8">
      <c r="A8" s="15" t="inlineStr">
        <is>
          <t>P002</t>
        </is>
      </c>
      <c r="B8" s="43" t="inlineStr">
        <is>
          <t>Argamassa AC-III</t>
        </is>
      </c>
      <c r="C8" s="31">
        <f>SUMIF('17_PRODUCTION_OF'!$B$7:$B$47,A8,'17_PRODUCTION_OF'!$L$7:$L$47)</f>
        <v/>
      </c>
      <c r="D8" s="31">
        <f>SUMIF('06_BOM'!$A$7:$A$67,A8,'06_BOM'!$L$7:$L$67)</f>
        <v/>
      </c>
      <c r="E8" s="21" t="n">
        <v>42</v>
      </c>
      <c r="F8" s="41">
        <f>D8+E8</f>
        <v/>
      </c>
      <c r="G8" s="31">
        <f>F8*C8</f>
        <v/>
      </c>
    </row>
    <row r="9">
      <c r="A9" s="15" t="inlineStr">
        <is>
          <t>P003</t>
        </is>
      </c>
      <c r="B9" s="43" t="inlineStr">
        <is>
          <t>Rejunte</t>
        </is>
      </c>
      <c r="C9" s="31">
        <f>SUMIF('17_PRODUCTION_OF'!$B$7:$B$47,A9,'17_PRODUCTION_OF'!$L$7:$L$47)</f>
        <v/>
      </c>
      <c r="D9" s="31">
        <f>SUMIF('06_BOM'!$A$7:$A$67,A9,'06_BOM'!$L$7:$L$67)</f>
        <v/>
      </c>
      <c r="E9" s="21" t="n">
        <v>55</v>
      </c>
      <c r="F9" s="41">
        <f>D9+E9</f>
        <v/>
      </c>
      <c r="G9" s="31">
        <f>F9*C9</f>
        <v/>
      </c>
    </row>
  </sheetData>
  <mergeCells count="8">
    <mergeCell ref="F4:G4"/>
    <mergeCell ref="J4:K4"/>
    <mergeCell ref="A1:G1"/>
    <mergeCell ref="L4:M4"/>
    <mergeCell ref="A2:G2"/>
    <mergeCell ref="D4:E4"/>
    <mergeCell ref="H4:I4"/>
    <mergeCell ref="B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M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2" customWidth="1" min="4" max="4"/>
    <col width="12" customWidth="1" min="5" max="5"/>
    <col width="13" customWidth="1" min="6" max="6"/>
    <col width="14" customWidth="1" min="7" max="7"/>
    <col width="12" customWidth="1" min="8" max="8"/>
  </cols>
  <sheetData>
    <row r="1" ht="26" customHeight="1">
      <c r="A1" s="1" t="inlineStr">
        <is>
          <t>ACTUAL COST</t>
        </is>
      </c>
    </row>
    <row r="2">
      <c r="A2" s="2" t="inlineStr">
        <is>
          <t>Material real = SUMIFS de 18_ACTUAL_CONSUMPTION. Conversao real (input; origem apontamento). TOTAL ACT R$/t e o KPI Material+Conversao por tonelada boa.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Good tons
(link)</t>
        </is>
      </c>
      <c r="C6" s="5" t="inlineStr">
        <is>
          <t>Material act
R$</t>
        </is>
      </c>
      <c r="D6" s="5" t="inlineStr">
        <is>
          <t>Material act
R$/t</t>
        </is>
      </c>
      <c r="E6" s="5" t="inlineStr">
        <is>
          <t>Conversao act
R$/t</t>
        </is>
      </c>
      <c r="F6" s="5" t="inlineStr">
        <is>
          <t>Conversao act
R$</t>
        </is>
      </c>
      <c r="G6" s="5" t="inlineStr">
        <is>
          <t>TOTAL ACT
R$</t>
        </is>
      </c>
      <c r="H6" s="5" t="inlineStr">
        <is>
          <t>TOTAL ACT
R$/t</t>
        </is>
      </c>
    </row>
    <row r="7">
      <c r="A7" s="15" t="inlineStr">
        <is>
          <t>P001</t>
        </is>
      </c>
      <c r="B7" s="31">
        <f>SUMIF('17_PRODUCTION_OF'!$B$7:$B$47,A7,'17_PRODUCTION_OF'!$L$7:$L$47)</f>
        <v/>
      </c>
      <c r="C7" s="31">
        <f>SUMIF('18_ACTUAL_CONSUMPTION'!$B$7:$B$67,A7,'18_ACTUAL_CONSUMPTION'!$H$7:$H$67)</f>
        <v/>
      </c>
      <c r="D7" s="31">
        <f>IFERROR(C7/B7,0)</f>
        <v/>
      </c>
      <c r="E7" s="21" t="n">
        <v>41</v>
      </c>
      <c r="F7" s="31">
        <f>E7*B7</f>
        <v/>
      </c>
      <c r="G7" s="31">
        <f>C7+F7</f>
        <v/>
      </c>
      <c r="H7" s="41">
        <f>IFERROR(G7/B7,0)</f>
        <v/>
      </c>
    </row>
    <row r="8">
      <c r="A8" s="15" t="inlineStr">
        <is>
          <t>P002</t>
        </is>
      </c>
      <c r="B8" s="31">
        <f>SUMIF('17_PRODUCTION_OF'!$B$7:$B$47,A8,'17_PRODUCTION_OF'!$L$7:$L$47)</f>
        <v/>
      </c>
      <c r="C8" s="31">
        <f>SUMIF('18_ACTUAL_CONSUMPTION'!$B$7:$B$67,A8,'18_ACTUAL_CONSUMPTION'!$H$7:$H$67)</f>
        <v/>
      </c>
      <c r="D8" s="31">
        <f>IFERROR(C8/B8,0)</f>
        <v/>
      </c>
      <c r="E8" s="21" t="n">
        <v>42</v>
      </c>
      <c r="F8" s="31">
        <f>E8*B8</f>
        <v/>
      </c>
      <c r="G8" s="31">
        <f>C8+F8</f>
        <v/>
      </c>
      <c r="H8" s="41">
        <f>IFERROR(G8/B8,0)</f>
        <v/>
      </c>
    </row>
    <row r="9">
      <c r="A9" s="15" t="inlineStr">
        <is>
          <t>P003</t>
        </is>
      </c>
      <c r="B9" s="31">
        <f>SUMIF('17_PRODUCTION_OF'!$B$7:$B$47,A9,'17_PRODUCTION_OF'!$L$7:$L$47)</f>
        <v/>
      </c>
      <c r="C9" s="31">
        <f>SUMIF('18_ACTUAL_CONSUMPTION'!$B$7:$B$67,A9,'18_ACTUAL_CONSUMPTION'!$H$7:$H$67)</f>
        <v/>
      </c>
      <c r="D9" s="31">
        <f>IFERROR(C9/B9,0)</f>
        <v/>
      </c>
      <c r="E9" s="21" t="n">
        <v>58</v>
      </c>
      <c r="F9" s="31">
        <f>E9*B9</f>
        <v/>
      </c>
      <c r="G9" s="31">
        <f>C9+F9</f>
        <v/>
      </c>
      <c r="H9" s="41">
        <f>IFERROR(G9/B9,0)</f>
        <v/>
      </c>
    </row>
  </sheetData>
  <mergeCells count="8">
    <mergeCell ref="F4:G4"/>
    <mergeCell ref="J4:K4"/>
    <mergeCell ref="L4:M4"/>
    <mergeCell ref="A2:H2"/>
    <mergeCell ref="D4:E4"/>
    <mergeCell ref="H4:I4"/>
    <mergeCell ref="A1:H1"/>
    <mergeCell ref="B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30A0"/>
    <outlinePr summaryBelow="1" summaryRight="1"/>
    <pageSetUpPr/>
  </sheetPr>
  <dimension ref="A1:N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  <col width="10" customWidth="1" min="12" max="12"/>
    <col width="10" customWidth="1" min="13" max="13"/>
    <col width="9" customWidth="1" min="14" max="14"/>
  </cols>
  <sheetData>
    <row r="1" ht="26" customHeight="1">
      <c r="A1" s="1" t="inlineStr">
        <is>
          <t>VARIANCES</t>
        </is>
      </c>
    </row>
    <row r="2">
      <c r="A2" s="2" t="inlineStr">
        <is>
          <t>PPV=(Act-Std preco)xAct qtd ; Usage=(Act-Std qtd)xStd preco. Std cost + PPV + Usage = Act cost (Residual-&gt;0). Mix/Yield e conversao no bloco resumo.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MATERIAL_ID</t>
        </is>
      </c>
      <c r="C6" s="5" t="inlineStr">
        <is>
          <t>Good tons</t>
        </is>
      </c>
      <c r="D6" s="5" t="inlineStr">
        <is>
          <t>Std kg/t</t>
        </is>
      </c>
      <c r="E6" s="5" t="inlineStr">
        <is>
          <t>Act kg/t</t>
        </is>
      </c>
      <c r="F6" s="5" t="inlineStr">
        <is>
          <t>Std R$/t</t>
        </is>
      </c>
      <c r="G6" s="5" t="inlineStr">
        <is>
          <t>Act R$/t</t>
        </is>
      </c>
      <c r="H6" s="5" t="inlineStr">
        <is>
          <t>Std qtd (t)</t>
        </is>
      </c>
      <c r="I6" s="5" t="inlineStr">
        <is>
          <t>Act qtd (t)</t>
        </is>
      </c>
      <c r="J6" s="5" t="inlineStr">
        <is>
          <t>Std cost R$</t>
        </is>
      </c>
      <c r="K6" s="5" t="inlineStr">
        <is>
          <t>Act cost R$</t>
        </is>
      </c>
      <c r="L6" s="5" t="inlineStr">
        <is>
          <t>PPV R$</t>
        </is>
      </c>
      <c r="M6" s="5" t="inlineStr">
        <is>
          <t>Usage R$</t>
        </is>
      </c>
      <c r="N6" s="5" t="inlineStr">
        <is>
          <t>Residual</t>
        </is>
      </c>
    </row>
    <row r="7">
      <c r="A7" s="15" t="inlineStr">
        <is>
          <t>P001</t>
        </is>
      </c>
      <c r="B7" s="15" t="inlineStr">
        <is>
          <t>M001</t>
        </is>
      </c>
      <c r="C7" s="31">
        <f>SUMIF('17_PRODUCTION_OF'!$B$7:$B$47,A7,'17_PRODUCTION_OF'!$L$7:$L$47)</f>
        <v/>
      </c>
      <c r="D7" s="31">
        <f>IFERROR(INDEX('06_BOM'!$E$7:$E$67,MATCH(A7&amp;"|"&amp;B7,'06_BOM'!$M$7:$M$67,0)),0)</f>
        <v/>
      </c>
      <c r="E7" s="31">
        <f>IFERROR(INDEX('18_ACTUAL_CONSUMPTION'!$E$7:$E$67,MATCH(A7&amp;"|"&amp;B7,'18_ACTUAL_CONSUMPTION'!$I$7:$I$67,0)),0)</f>
        <v/>
      </c>
      <c r="F7" s="31">
        <f>IFERROR(INDEX('09_LANDED_COST'!$P$7:$P$47,MATCH(B7,'09_LANDED_COST'!$A$7:$A$47,0)),0)</f>
        <v/>
      </c>
      <c r="G7" s="31">
        <f>IFERROR(INDEX('18_ACTUAL_CONSUMPTION'!$G$7:$G$67,MATCH(A7&amp;"|"&amp;B7,'18_ACTUAL_CONSUMPTION'!$I$7:$I$67,0)),0)</f>
        <v/>
      </c>
      <c r="H7" s="31">
        <f>D7/1000*C7</f>
        <v/>
      </c>
      <c r="I7" s="31">
        <f>E7/1000*C7</f>
        <v/>
      </c>
      <c r="J7" s="31">
        <f>H7*F7</f>
        <v/>
      </c>
      <c r="K7" s="31">
        <f>I7*G7</f>
        <v/>
      </c>
      <c r="L7" s="31">
        <f>(G7-F7)*I7</f>
        <v/>
      </c>
      <c r="M7" s="31">
        <f>(I7-H7)*F7</f>
        <v/>
      </c>
      <c r="N7" s="44">
        <f>K7-J7-L7-M7</f>
        <v/>
      </c>
    </row>
    <row r="8">
      <c r="A8" s="15" t="inlineStr">
        <is>
          <t>P001</t>
        </is>
      </c>
      <c r="B8" s="15" t="inlineStr">
        <is>
          <t>M002</t>
        </is>
      </c>
      <c r="C8" s="31">
        <f>SUMIF('17_PRODUCTION_OF'!$B$7:$B$47,A8,'17_PRODUCTION_OF'!$L$7:$L$47)</f>
        <v/>
      </c>
      <c r="D8" s="31">
        <f>IFERROR(INDEX('06_BOM'!$E$7:$E$67,MATCH(A8&amp;"|"&amp;B8,'06_BOM'!$M$7:$M$67,0)),0)</f>
        <v/>
      </c>
      <c r="E8" s="31">
        <f>IFERROR(INDEX('18_ACTUAL_CONSUMPTION'!$E$7:$E$67,MATCH(A8&amp;"|"&amp;B8,'18_ACTUAL_CONSUMPTION'!$I$7:$I$67,0)),0)</f>
        <v/>
      </c>
      <c r="F8" s="31">
        <f>IFERROR(INDEX('09_LANDED_COST'!$P$7:$P$47,MATCH(B8,'09_LANDED_COST'!$A$7:$A$47,0)),0)</f>
        <v/>
      </c>
      <c r="G8" s="31">
        <f>IFERROR(INDEX('18_ACTUAL_CONSUMPTION'!$G$7:$G$67,MATCH(A8&amp;"|"&amp;B8,'18_ACTUAL_CONSUMPTION'!$I$7:$I$67,0)),0)</f>
        <v/>
      </c>
      <c r="H8" s="31">
        <f>D8/1000*C8</f>
        <v/>
      </c>
      <c r="I8" s="31">
        <f>E8/1000*C8</f>
        <v/>
      </c>
      <c r="J8" s="31">
        <f>H8*F8</f>
        <v/>
      </c>
      <c r="K8" s="31">
        <f>I8*G8</f>
        <v/>
      </c>
      <c r="L8" s="31">
        <f>(G8-F8)*I8</f>
        <v/>
      </c>
      <c r="M8" s="31">
        <f>(I8-H8)*F8</f>
        <v/>
      </c>
      <c r="N8" s="44">
        <f>K8-J8-L8-M8</f>
        <v/>
      </c>
    </row>
    <row r="9">
      <c r="A9" s="15" t="inlineStr">
        <is>
          <t>P001</t>
        </is>
      </c>
      <c r="B9" s="15" t="inlineStr">
        <is>
          <t>M003</t>
        </is>
      </c>
      <c r="C9" s="31">
        <f>SUMIF('17_PRODUCTION_OF'!$B$7:$B$47,A9,'17_PRODUCTION_OF'!$L$7:$L$47)</f>
        <v/>
      </c>
      <c r="D9" s="31">
        <f>IFERROR(INDEX('06_BOM'!$E$7:$E$67,MATCH(A9&amp;"|"&amp;B9,'06_BOM'!$M$7:$M$67,0)),0)</f>
        <v/>
      </c>
      <c r="E9" s="31">
        <f>IFERROR(INDEX('18_ACTUAL_CONSUMPTION'!$E$7:$E$67,MATCH(A9&amp;"|"&amp;B9,'18_ACTUAL_CONSUMPTION'!$I$7:$I$67,0)),0)</f>
        <v/>
      </c>
      <c r="F9" s="31">
        <f>IFERROR(INDEX('09_LANDED_COST'!$P$7:$P$47,MATCH(B9,'09_LANDED_COST'!$A$7:$A$47,0)),0)</f>
        <v/>
      </c>
      <c r="G9" s="31">
        <f>IFERROR(INDEX('18_ACTUAL_CONSUMPTION'!$G$7:$G$67,MATCH(A9&amp;"|"&amp;B9,'18_ACTUAL_CONSUMPTION'!$I$7:$I$67,0)),0)</f>
        <v/>
      </c>
      <c r="H9" s="31">
        <f>D9/1000*C9</f>
        <v/>
      </c>
      <c r="I9" s="31">
        <f>E9/1000*C9</f>
        <v/>
      </c>
      <c r="J9" s="31">
        <f>H9*F9</f>
        <v/>
      </c>
      <c r="K9" s="31">
        <f>I9*G9</f>
        <v/>
      </c>
      <c r="L9" s="31">
        <f>(G9-F9)*I9</f>
        <v/>
      </c>
      <c r="M9" s="31">
        <f>(I9-H9)*F9</f>
        <v/>
      </c>
      <c r="N9" s="44">
        <f>K9-J9-L9-M9</f>
        <v/>
      </c>
    </row>
    <row r="10">
      <c r="A10" s="15" t="inlineStr">
        <is>
          <t>P001</t>
        </is>
      </c>
      <c r="B10" s="15" t="inlineStr">
        <is>
          <t>M004</t>
        </is>
      </c>
      <c r="C10" s="31">
        <f>SUMIF('17_PRODUCTION_OF'!$B$7:$B$47,A10,'17_PRODUCTION_OF'!$L$7:$L$47)</f>
        <v/>
      </c>
      <c r="D10" s="31">
        <f>IFERROR(INDEX('06_BOM'!$E$7:$E$67,MATCH(A10&amp;"|"&amp;B10,'06_BOM'!$M$7:$M$67,0)),0)</f>
        <v/>
      </c>
      <c r="E10" s="31">
        <f>IFERROR(INDEX('18_ACTUAL_CONSUMPTION'!$E$7:$E$67,MATCH(A10&amp;"|"&amp;B10,'18_ACTUAL_CONSUMPTION'!$I$7:$I$67,0)),0)</f>
        <v/>
      </c>
      <c r="F10" s="31">
        <f>IFERROR(INDEX('09_LANDED_COST'!$P$7:$P$47,MATCH(B10,'09_LANDED_COST'!$A$7:$A$47,0)),0)</f>
        <v/>
      </c>
      <c r="G10" s="31">
        <f>IFERROR(INDEX('18_ACTUAL_CONSUMPTION'!$G$7:$G$67,MATCH(A10&amp;"|"&amp;B10,'18_ACTUAL_CONSUMPTION'!$I$7:$I$67,0)),0)</f>
        <v/>
      </c>
      <c r="H10" s="31">
        <f>D10/1000*C10</f>
        <v/>
      </c>
      <c r="I10" s="31">
        <f>E10/1000*C10</f>
        <v/>
      </c>
      <c r="J10" s="31">
        <f>H10*F10</f>
        <v/>
      </c>
      <c r="K10" s="31">
        <f>I10*G10</f>
        <v/>
      </c>
      <c r="L10" s="31">
        <f>(G10-F10)*I10</f>
        <v/>
      </c>
      <c r="M10" s="31">
        <f>(I10-H10)*F10</f>
        <v/>
      </c>
      <c r="N10" s="44">
        <f>K10-J10-L10-M10</f>
        <v/>
      </c>
    </row>
    <row r="11">
      <c r="A11" s="15" t="inlineStr">
        <is>
          <t>P002</t>
        </is>
      </c>
      <c r="B11" s="15" t="inlineStr">
        <is>
          <t>M001</t>
        </is>
      </c>
      <c r="C11" s="31">
        <f>SUMIF('17_PRODUCTION_OF'!$B$7:$B$47,A11,'17_PRODUCTION_OF'!$L$7:$L$47)</f>
        <v/>
      </c>
      <c r="D11" s="31">
        <f>IFERROR(INDEX('06_BOM'!$E$7:$E$67,MATCH(A11&amp;"|"&amp;B11,'06_BOM'!$M$7:$M$67,0)),0)</f>
        <v/>
      </c>
      <c r="E11" s="31">
        <f>IFERROR(INDEX('18_ACTUAL_CONSUMPTION'!$E$7:$E$67,MATCH(A11&amp;"|"&amp;B11,'18_ACTUAL_CONSUMPTION'!$I$7:$I$67,0)),0)</f>
        <v/>
      </c>
      <c r="F11" s="31">
        <f>IFERROR(INDEX('09_LANDED_COST'!$P$7:$P$47,MATCH(B11,'09_LANDED_COST'!$A$7:$A$47,0)),0)</f>
        <v/>
      </c>
      <c r="G11" s="31">
        <f>IFERROR(INDEX('18_ACTUAL_CONSUMPTION'!$G$7:$G$67,MATCH(A11&amp;"|"&amp;B11,'18_ACTUAL_CONSUMPTION'!$I$7:$I$67,0)),0)</f>
        <v/>
      </c>
      <c r="H11" s="31">
        <f>D11/1000*C11</f>
        <v/>
      </c>
      <c r="I11" s="31">
        <f>E11/1000*C11</f>
        <v/>
      </c>
      <c r="J11" s="31">
        <f>H11*F11</f>
        <v/>
      </c>
      <c r="K11" s="31">
        <f>I11*G11</f>
        <v/>
      </c>
      <c r="L11" s="31">
        <f>(G11-F11)*I11</f>
        <v/>
      </c>
      <c r="M11" s="31">
        <f>(I11-H11)*F11</f>
        <v/>
      </c>
      <c r="N11" s="44">
        <f>K11-J11-L11-M11</f>
        <v/>
      </c>
    </row>
    <row r="12">
      <c r="A12" s="15" t="inlineStr">
        <is>
          <t>P002</t>
        </is>
      </c>
      <c r="B12" s="15" t="inlineStr">
        <is>
          <t>M002</t>
        </is>
      </c>
      <c r="C12" s="31">
        <f>SUMIF('17_PRODUCTION_OF'!$B$7:$B$47,A12,'17_PRODUCTION_OF'!$L$7:$L$47)</f>
        <v/>
      </c>
      <c r="D12" s="31">
        <f>IFERROR(INDEX('06_BOM'!$E$7:$E$67,MATCH(A12&amp;"|"&amp;B12,'06_BOM'!$M$7:$M$67,0)),0)</f>
        <v/>
      </c>
      <c r="E12" s="31">
        <f>IFERROR(INDEX('18_ACTUAL_CONSUMPTION'!$E$7:$E$67,MATCH(A12&amp;"|"&amp;B12,'18_ACTUAL_CONSUMPTION'!$I$7:$I$67,0)),0)</f>
        <v/>
      </c>
      <c r="F12" s="31">
        <f>IFERROR(INDEX('09_LANDED_COST'!$P$7:$P$47,MATCH(B12,'09_LANDED_COST'!$A$7:$A$47,0)),0)</f>
        <v/>
      </c>
      <c r="G12" s="31">
        <f>IFERROR(INDEX('18_ACTUAL_CONSUMPTION'!$G$7:$G$67,MATCH(A12&amp;"|"&amp;B12,'18_ACTUAL_CONSUMPTION'!$I$7:$I$67,0)),0)</f>
        <v/>
      </c>
      <c r="H12" s="31">
        <f>D12/1000*C12</f>
        <v/>
      </c>
      <c r="I12" s="31">
        <f>E12/1000*C12</f>
        <v/>
      </c>
      <c r="J12" s="31">
        <f>H12*F12</f>
        <v/>
      </c>
      <c r="K12" s="31">
        <f>I12*G12</f>
        <v/>
      </c>
      <c r="L12" s="31">
        <f>(G12-F12)*I12</f>
        <v/>
      </c>
      <c r="M12" s="31">
        <f>(I12-H12)*F12</f>
        <v/>
      </c>
      <c r="N12" s="44">
        <f>K12-J12-L12-M12</f>
        <v/>
      </c>
    </row>
    <row r="13">
      <c r="A13" s="15" t="inlineStr">
        <is>
          <t>P002</t>
        </is>
      </c>
      <c r="B13" s="15" t="inlineStr">
        <is>
          <t>M003</t>
        </is>
      </c>
      <c r="C13" s="31">
        <f>SUMIF('17_PRODUCTION_OF'!$B$7:$B$47,A13,'17_PRODUCTION_OF'!$L$7:$L$47)</f>
        <v/>
      </c>
      <c r="D13" s="31">
        <f>IFERROR(INDEX('06_BOM'!$E$7:$E$67,MATCH(A13&amp;"|"&amp;B13,'06_BOM'!$M$7:$M$67,0)),0)</f>
        <v/>
      </c>
      <c r="E13" s="31">
        <f>IFERROR(INDEX('18_ACTUAL_CONSUMPTION'!$E$7:$E$67,MATCH(A13&amp;"|"&amp;B13,'18_ACTUAL_CONSUMPTION'!$I$7:$I$67,0)),0)</f>
        <v/>
      </c>
      <c r="F13" s="31">
        <f>IFERROR(INDEX('09_LANDED_COST'!$P$7:$P$47,MATCH(B13,'09_LANDED_COST'!$A$7:$A$47,0)),0)</f>
        <v/>
      </c>
      <c r="G13" s="31">
        <f>IFERROR(INDEX('18_ACTUAL_CONSUMPTION'!$G$7:$G$67,MATCH(A13&amp;"|"&amp;B13,'18_ACTUAL_CONSUMPTION'!$I$7:$I$67,0)),0)</f>
        <v/>
      </c>
      <c r="H13" s="31">
        <f>D13/1000*C13</f>
        <v/>
      </c>
      <c r="I13" s="31">
        <f>E13/1000*C13</f>
        <v/>
      </c>
      <c r="J13" s="31">
        <f>H13*F13</f>
        <v/>
      </c>
      <c r="K13" s="31">
        <f>I13*G13</f>
        <v/>
      </c>
      <c r="L13" s="31">
        <f>(G13-F13)*I13</f>
        <v/>
      </c>
      <c r="M13" s="31">
        <f>(I13-H13)*F13</f>
        <v/>
      </c>
      <c r="N13" s="44">
        <f>K13-J13-L13-M13</f>
        <v/>
      </c>
    </row>
    <row r="14">
      <c r="A14" s="15" t="inlineStr">
        <is>
          <t>P002</t>
        </is>
      </c>
      <c r="B14" s="15" t="inlineStr">
        <is>
          <t>M004</t>
        </is>
      </c>
      <c r="C14" s="31">
        <f>SUMIF('17_PRODUCTION_OF'!$B$7:$B$47,A14,'17_PRODUCTION_OF'!$L$7:$L$47)</f>
        <v/>
      </c>
      <c r="D14" s="31">
        <f>IFERROR(INDEX('06_BOM'!$E$7:$E$67,MATCH(A14&amp;"|"&amp;B14,'06_BOM'!$M$7:$M$67,0)),0)</f>
        <v/>
      </c>
      <c r="E14" s="31">
        <f>IFERROR(INDEX('18_ACTUAL_CONSUMPTION'!$E$7:$E$67,MATCH(A14&amp;"|"&amp;B14,'18_ACTUAL_CONSUMPTION'!$I$7:$I$67,0)),0)</f>
        <v/>
      </c>
      <c r="F14" s="31">
        <f>IFERROR(INDEX('09_LANDED_COST'!$P$7:$P$47,MATCH(B14,'09_LANDED_COST'!$A$7:$A$47,0)),0)</f>
        <v/>
      </c>
      <c r="G14" s="31">
        <f>IFERROR(INDEX('18_ACTUAL_CONSUMPTION'!$G$7:$G$67,MATCH(A14&amp;"|"&amp;B14,'18_ACTUAL_CONSUMPTION'!$I$7:$I$67,0)),0)</f>
        <v/>
      </c>
      <c r="H14" s="31">
        <f>D14/1000*C14</f>
        <v/>
      </c>
      <c r="I14" s="31">
        <f>E14/1000*C14</f>
        <v/>
      </c>
      <c r="J14" s="31">
        <f>H14*F14</f>
        <v/>
      </c>
      <c r="K14" s="31">
        <f>I14*G14</f>
        <v/>
      </c>
      <c r="L14" s="31">
        <f>(G14-F14)*I14</f>
        <v/>
      </c>
      <c r="M14" s="31">
        <f>(I14-H14)*F14</f>
        <v/>
      </c>
      <c r="N14" s="44">
        <f>K14-J14-L14-M14</f>
        <v/>
      </c>
    </row>
    <row r="15">
      <c r="A15" s="15" t="inlineStr">
        <is>
          <t>P003</t>
        </is>
      </c>
      <c r="B15" s="15" t="inlineStr">
        <is>
          <t>M001</t>
        </is>
      </c>
      <c r="C15" s="31">
        <f>SUMIF('17_PRODUCTION_OF'!$B$7:$B$47,A15,'17_PRODUCTION_OF'!$L$7:$L$47)</f>
        <v/>
      </c>
      <c r="D15" s="31">
        <f>IFERROR(INDEX('06_BOM'!$E$7:$E$67,MATCH(A15&amp;"|"&amp;B15,'06_BOM'!$M$7:$M$67,0)),0)</f>
        <v/>
      </c>
      <c r="E15" s="31">
        <f>IFERROR(INDEX('18_ACTUAL_CONSUMPTION'!$E$7:$E$67,MATCH(A15&amp;"|"&amp;B15,'18_ACTUAL_CONSUMPTION'!$I$7:$I$67,0)),0)</f>
        <v/>
      </c>
      <c r="F15" s="31">
        <f>IFERROR(INDEX('09_LANDED_COST'!$P$7:$P$47,MATCH(B15,'09_LANDED_COST'!$A$7:$A$47,0)),0)</f>
        <v/>
      </c>
      <c r="G15" s="31">
        <f>IFERROR(INDEX('18_ACTUAL_CONSUMPTION'!$G$7:$G$67,MATCH(A15&amp;"|"&amp;B15,'18_ACTUAL_CONSUMPTION'!$I$7:$I$67,0)),0)</f>
        <v/>
      </c>
      <c r="H15" s="31">
        <f>D15/1000*C15</f>
        <v/>
      </c>
      <c r="I15" s="31">
        <f>E15/1000*C15</f>
        <v/>
      </c>
      <c r="J15" s="31">
        <f>H15*F15</f>
        <v/>
      </c>
      <c r="K15" s="31">
        <f>I15*G15</f>
        <v/>
      </c>
      <c r="L15" s="31">
        <f>(G15-F15)*I15</f>
        <v/>
      </c>
      <c r="M15" s="31">
        <f>(I15-H15)*F15</f>
        <v/>
      </c>
      <c r="N15" s="44">
        <f>K15-J15-L15-M15</f>
        <v/>
      </c>
    </row>
    <row r="16">
      <c r="A16" s="15" t="inlineStr">
        <is>
          <t>P003</t>
        </is>
      </c>
      <c r="B16" s="15" t="inlineStr">
        <is>
          <t>M002</t>
        </is>
      </c>
      <c r="C16" s="31">
        <f>SUMIF('17_PRODUCTION_OF'!$B$7:$B$47,A16,'17_PRODUCTION_OF'!$L$7:$L$47)</f>
        <v/>
      </c>
      <c r="D16" s="31">
        <f>IFERROR(INDEX('06_BOM'!$E$7:$E$67,MATCH(A16&amp;"|"&amp;B16,'06_BOM'!$M$7:$M$67,0)),0)</f>
        <v/>
      </c>
      <c r="E16" s="31">
        <f>IFERROR(INDEX('18_ACTUAL_CONSUMPTION'!$E$7:$E$67,MATCH(A16&amp;"|"&amp;B16,'18_ACTUAL_CONSUMPTION'!$I$7:$I$67,0)),0)</f>
        <v/>
      </c>
      <c r="F16" s="31">
        <f>IFERROR(INDEX('09_LANDED_COST'!$P$7:$P$47,MATCH(B16,'09_LANDED_COST'!$A$7:$A$47,0)),0)</f>
        <v/>
      </c>
      <c r="G16" s="31">
        <f>IFERROR(INDEX('18_ACTUAL_CONSUMPTION'!$G$7:$G$67,MATCH(A16&amp;"|"&amp;B16,'18_ACTUAL_CONSUMPTION'!$I$7:$I$67,0)),0)</f>
        <v/>
      </c>
      <c r="H16" s="31">
        <f>D16/1000*C16</f>
        <v/>
      </c>
      <c r="I16" s="31">
        <f>E16/1000*C16</f>
        <v/>
      </c>
      <c r="J16" s="31">
        <f>H16*F16</f>
        <v/>
      </c>
      <c r="K16" s="31">
        <f>I16*G16</f>
        <v/>
      </c>
      <c r="L16" s="31">
        <f>(G16-F16)*I16</f>
        <v/>
      </c>
      <c r="M16" s="31">
        <f>(I16-H16)*F16</f>
        <v/>
      </c>
      <c r="N16" s="44">
        <f>K16-J16-L16-M16</f>
        <v/>
      </c>
    </row>
    <row r="17">
      <c r="A17" s="15" t="inlineStr">
        <is>
          <t>P003</t>
        </is>
      </c>
      <c r="B17" s="15" t="inlineStr">
        <is>
          <t>M004</t>
        </is>
      </c>
      <c r="C17" s="31">
        <f>SUMIF('17_PRODUCTION_OF'!$B$7:$B$47,A17,'17_PRODUCTION_OF'!$L$7:$L$47)</f>
        <v/>
      </c>
      <c r="D17" s="31">
        <f>IFERROR(INDEX('06_BOM'!$E$7:$E$67,MATCH(A17&amp;"|"&amp;B17,'06_BOM'!$M$7:$M$67,0)),0)</f>
        <v/>
      </c>
      <c r="E17" s="31">
        <f>IFERROR(INDEX('18_ACTUAL_CONSUMPTION'!$E$7:$E$67,MATCH(A17&amp;"|"&amp;B17,'18_ACTUAL_CONSUMPTION'!$I$7:$I$67,0)),0)</f>
        <v/>
      </c>
      <c r="F17" s="31">
        <f>IFERROR(INDEX('09_LANDED_COST'!$P$7:$P$47,MATCH(B17,'09_LANDED_COST'!$A$7:$A$47,0)),0)</f>
        <v/>
      </c>
      <c r="G17" s="31">
        <f>IFERROR(INDEX('18_ACTUAL_CONSUMPTION'!$G$7:$G$67,MATCH(A17&amp;"|"&amp;B17,'18_ACTUAL_CONSUMPTION'!$I$7:$I$67,0)),0)</f>
        <v/>
      </c>
      <c r="H17" s="31">
        <f>D17/1000*C17</f>
        <v/>
      </c>
      <c r="I17" s="31">
        <f>E17/1000*C17</f>
        <v/>
      </c>
      <c r="J17" s="31">
        <f>H17*F17</f>
        <v/>
      </c>
      <c r="K17" s="31">
        <f>I17*G17</f>
        <v/>
      </c>
      <c r="L17" s="31">
        <f>(G17-F17)*I17</f>
        <v/>
      </c>
      <c r="M17" s="31">
        <f>(I17-H17)*F17</f>
        <v/>
      </c>
      <c r="N17" s="44">
        <f>K17-J17-L17-M17</f>
        <v/>
      </c>
    </row>
    <row r="18">
      <c r="A18" s="15" t="inlineStr">
        <is>
          <t>P003</t>
        </is>
      </c>
      <c r="B18" s="15" t="inlineStr">
        <is>
          <t>M005</t>
        </is>
      </c>
      <c r="C18" s="31">
        <f>SUMIF('17_PRODUCTION_OF'!$B$7:$B$47,A18,'17_PRODUCTION_OF'!$L$7:$L$47)</f>
        <v/>
      </c>
      <c r="D18" s="31">
        <f>IFERROR(INDEX('06_BOM'!$E$7:$E$67,MATCH(A18&amp;"|"&amp;B18,'06_BOM'!$M$7:$M$67,0)),0)</f>
        <v/>
      </c>
      <c r="E18" s="31">
        <f>IFERROR(INDEX('18_ACTUAL_CONSUMPTION'!$E$7:$E$67,MATCH(A18&amp;"|"&amp;B18,'18_ACTUAL_CONSUMPTION'!$I$7:$I$67,0)),0)</f>
        <v/>
      </c>
      <c r="F18" s="31">
        <f>IFERROR(INDEX('09_LANDED_COST'!$P$7:$P$47,MATCH(B18,'09_LANDED_COST'!$A$7:$A$47,0)),0)</f>
        <v/>
      </c>
      <c r="G18" s="31">
        <f>IFERROR(INDEX('18_ACTUAL_CONSUMPTION'!$G$7:$G$67,MATCH(A18&amp;"|"&amp;B18,'18_ACTUAL_CONSUMPTION'!$I$7:$I$67,0)),0)</f>
        <v/>
      </c>
      <c r="H18" s="31">
        <f>D18/1000*C18</f>
        <v/>
      </c>
      <c r="I18" s="31">
        <f>E18/1000*C18</f>
        <v/>
      </c>
      <c r="J18" s="31">
        <f>H18*F18</f>
        <v/>
      </c>
      <c r="K18" s="31">
        <f>I18*G18</f>
        <v/>
      </c>
      <c r="L18" s="31">
        <f>(G18-F18)*I18</f>
        <v/>
      </c>
      <c r="M18" s="31">
        <f>(I18-H18)*F18</f>
        <v/>
      </c>
      <c r="N18" s="44">
        <f>K18-J18-L18-M18</f>
        <v/>
      </c>
    </row>
    <row r="21">
      <c r="A21" s="3" t="inlineStr">
        <is>
          <t>RESUMO POR PRODUTO — MIX/YIELD, CONVERSAO E RECONCILIACAO</t>
        </is>
      </c>
    </row>
    <row r="22" ht="30" customHeight="1">
      <c r="A22" s="5" t="inlineStr">
        <is>
          <t>PRODUCT_ID</t>
        </is>
      </c>
      <c r="B22" s="5" t="inlineStr">
        <is>
          <t>Std mat R$</t>
        </is>
      </c>
      <c r="C22" s="5" t="inlineStr">
        <is>
          <t>Act mat R$</t>
        </is>
      </c>
      <c r="D22" s="5" t="inlineStr">
        <is>
          <t>PPV R$</t>
        </is>
      </c>
      <c r="E22" s="5" t="inlineStr">
        <is>
          <t>Usage R$</t>
        </is>
      </c>
      <c r="F22" s="5" t="inlineStr">
        <is>
          <t>Std qtd T</t>
        </is>
      </c>
      <c r="G22" s="5" t="inlineStr">
        <is>
          <t>Act qtd T</t>
        </is>
      </c>
      <c r="H22" s="5" t="inlineStr">
        <is>
          <t>wsp R$/t</t>
        </is>
      </c>
      <c r="I22" s="5" t="inlineStr">
        <is>
          <t>Yield R$</t>
        </is>
      </c>
      <c r="J22" s="5" t="inlineStr">
        <is>
          <t>Mix R$</t>
        </is>
      </c>
      <c r="K22" s="5" t="inlineStr">
        <is>
          <t>Conv var R$</t>
        </is>
      </c>
      <c r="L22" s="5" t="inlineStr">
        <is>
          <t>Total var R$</t>
        </is>
      </c>
      <c r="M22" s="5" t="inlineStr">
        <is>
          <t>Recon check</t>
        </is>
      </c>
    </row>
    <row r="23">
      <c r="A23" s="15" t="inlineStr">
        <is>
          <t>P001</t>
        </is>
      </c>
      <c r="B23" s="31">
        <f>SUMIF($A$7:$A$18,A23,$J$7:$J$18)</f>
        <v/>
      </c>
      <c r="C23" s="31">
        <f>SUMIF($A$7:$A$18,A23,$K$7:$K$18)</f>
        <v/>
      </c>
      <c r="D23" s="31">
        <f>SUMIF($A$7:$A$18,A23,$L$7:$L$18)</f>
        <v/>
      </c>
      <c r="E23" s="31">
        <f>SUMIF($A$7:$A$18,A23,$M$7:$M$18)</f>
        <v/>
      </c>
      <c r="F23" s="31">
        <f>SUMIF($A$7:$A$18,A23,$H$7:$H$18)</f>
        <v/>
      </c>
      <c r="G23" s="31">
        <f>SUMIF($A$7:$A$18,A23,$I$7:$I$18)</f>
        <v/>
      </c>
      <c r="H23" s="31">
        <f>IFERROR(B23/F23,0)</f>
        <v/>
      </c>
      <c r="I23" s="31">
        <f>(G23-F23)*H23</f>
        <v/>
      </c>
      <c r="J23" s="31">
        <f>E23-I23</f>
        <v/>
      </c>
      <c r="K23" s="31">
        <f>(INDEX('27_ACTUAL_COST'!$E$7:$E$9,MATCH(A23,'27_ACTUAL_COST'!$A$7:$A$9,0))-INDEX('26_STANDARD_COST'!$E$7:$E$9,MATCH(A23,'26_STANDARD_COST'!$A$7:$A$9,0)))*INDEX('26_STANDARD_COST'!$C$7:$C$9,MATCH(A23,'26_STANDARD_COST'!$A$7:$A$9,0))</f>
        <v/>
      </c>
      <c r="L23" s="31">
        <f>D23+E23+K23</f>
        <v/>
      </c>
      <c r="M23" s="44">
        <f>ROUND(INDEX('26_STANDARD_COST'!$G$7:$G$9,MATCH(A23,'26_STANDARD_COST'!$A$7:$A$9,0))+L23-INDEX('27_ACTUAL_COST'!$G$7:$G$9,MATCH(A23,'27_ACTUAL_COST'!$A$7:$A$9,0)),2)</f>
        <v/>
      </c>
    </row>
    <row r="24">
      <c r="A24" s="15" t="inlineStr">
        <is>
          <t>P002</t>
        </is>
      </c>
      <c r="B24" s="31">
        <f>SUMIF($A$7:$A$18,A24,$J$7:$J$18)</f>
        <v/>
      </c>
      <c r="C24" s="31">
        <f>SUMIF($A$7:$A$18,A24,$K$7:$K$18)</f>
        <v/>
      </c>
      <c r="D24" s="31">
        <f>SUMIF($A$7:$A$18,A24,$L$7:$L$18)</f>
        <v/>
      </c>
      <c r="E24" s="31">
        <f>SUMIF($A$7:$A$18,A24,$M$7:$M$18)</f>
        <v/>
      </c>
      <c r="F24" s="31">
        <f>SUMIF($A$7:$A$18,A24,$H$7:$H$18)</f>
        <v/>
      </c>
      <c r="G24" s="31">
        <f>SUMIF($A$7:$A$18,A24,$I$7:$I$18)</f>
        <v/>
      </c>
      <c r="H24" s="31">
        <f>IFERROR(B24/F24,0)</f>
        <v/>
      </c>
      <c r="I24" s="31">
        <f>(G24-F24)*H24</f>
        <v/>
      </c>
      <c r="J24" s="31">
        <f>E24-I24</f>
        <v/>
      </c>
      <c r="K24" s="31">
        <f>(INDEX('27_ACTUAL_COST'!$E$7:$E$9,MATCH(A24,'27_ACTUAL_COST'!$A$7:$A$9,0))-INDEX('26_STANDARD_COST'!$E$7:$E$9,MATCH(A24,'26_STANDARD_COST'!$A$7:$A$9,0)))*INDEX('26_STANDARD_COST'!$C$7:$C$9,MATCH(A24,'26_STANDARD_COST'!$A$7:$A$9,0))</f>
        <v/>
      </c>
      <c r="L24" s="31">
        <f>D24+E24+K24</f>
        <v/>
      </c>
      <c r="M24" s="44">
        <f>ROUND(INDEX('26_STANDARD_COST'!$G$7:$G$9,MATCH(A24,'26_STANDARD_COST'!$A$7:$A$9,0))+L24-INDEX('27_ACTUAL_COST'!$G$7:$G$9,MATCH(A24,'27_ACTUAL_COST'!$A$7:$A$9,0)),2)</f>
        <v/>
      </c>
    </row>
    <row r="25">
      <c r="A25" s="15" t="inlineStr">
        <is>
          <t>P003</t>
        </is>
      </c>
      <c r="B25" s="31">
        <f>SUMIF($A$7:$A$18,A25,$J$7:$J$18)</f>
        <v/>
      </c>
      <c r="C25" s="31">
        <f>SUMIF($A$7:$A$18,A25,$K$7:$K$18)</f>
        <v/>
      </c>
      <c r="D25" s="31">
        <f>SUMIF($A$7:$A$18,A25,$L$7:$L$18)</f>
        <v/>
      </c>
      <c r="E25" s="31">
        <f>SUMIF($A$7:$A$18,A25,$M$7:$M$18)</f>
        <v/>
      </c>
      <c r="F25" s="31">
        <f>SUMIF($A$7:$A$18,A25,$H$7:$H$18)</f>
        <v/>
      </c>
      <c r="G25" s="31">
        <f>SUMIF($A$7:$A$18,A25,$I$7:$I$18)</f>
        <v/>
      </c>
      <c r="H25" s="31">
        <f>IFERROR(B25/F25,0)</f>
        <v/>
      </c>
      <c r="I25" s="31">
        <f>(G25-F25)*H25</f>
        <v/>
      </c>
      <c r="J25" s="31">
        <f>E25-I25</f>
        <v/>
      </c>
      <c r="K25" s="31">
        <f>(INDEX('27_ACTUAL_COST'!$E$7:$E$9,MATCH(A25,'27_ACTUAL_COST'!$A$7:$A$9,0))-INDEX('26_STANDARD_COST'!$E$7:$E$9,MATCH(A25,'26_STANDARD_COST'!$A$7:$A$9,0)))*INDEX('26_STANDARD_COST'!$C$7:$C$9,MATCH(A25,'26_STANDARD_COST'!$A$7:$A$9,0))</f>
        <v/>
      </c>
      <c r="L25" s="31">
        <f>D25+E25+K25</f>
        <v/>
      </c>
      <c r="M25" s="44">
        <f>ROUND(INDEX('26_STANDARD_COST'!$G$7:$G$9,MATCH(A25,'26_STANDARD_COST'!$A$7:$A$9,0))+L25-INDEX('27_ACTUAL_COST'!$G$7:$G$9,MATCH(A25,'27_ACTUAL_COST'!$A$7:$A$9,0)),2)</f>
        <v/>
      </c>
    </row>
    <row r="27">
      <c r="A27" s="2" t="inlineStr">
        <is>
          <t>Recon check = (Std total + Total var) - Act total  -&gt;  deve ser 0,00 por construcao.</t>
        </is>
      </c>
    </row>
  </sheetData>
  <mergeCells count="8">
    <mergeCell ref="F4:G4"/>
    <mergeCell ref="J4:K4"/>
    <mergeCell ref="L4:M4"/>
    <mergeCell ref="A2:N2"/>
    <mergeCell ref="D4:E4"/>
    <mergeCell ref="H4:I4"/>
    <mergeCell ref="B4:C4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03864"/>
    <outlinePr summaryBelow="1" summaryRight="1"/>
    <pageSetUpPr/>
  </sheetPr>
  <dimension ref="A1:M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6" customWidth="1" min="6" max="6"/>
  </cols>
  <sheetData>
    <row r="1" ht="26" customHeight="1">
      <c r="A1" s="1" t="inlineStr">
        <is>
          <t>CAPACITY</t>
        </is>
      </c>
    </row>
    <row r="2">
      <c r="A2" s="2" t="inlineStr">
        <is>
          <t>Horas ociosas = praticas - usadas. Unused Capacity Cost = ociosas x R$/hora. Este custo fica VISIVEL, nao e rateado ao produto.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RESOURCE_ID</t>
        </is>
      </c>
      <c r="B6" s="5" t="inlineStr">
        <is>
          <t>Horas praticas
(link)</t>
        </is>
      </c>
      <c r="C6" s="5" t="inlineStr">
        <is>
          <t>Horas usadas
(link OF)</t>
        </is>
      </c>
      <c r="D6" s="5" t="inlineStr">
        <is>
          <t>Horas ociosas</t>
        </is>
      </c>
      <c r="E6" s="5" t="inlineStr">
        <is>
          <t>R$/hora
(link)</t>
        </is>
      </c>
      <c r="F6" s="5" t="inlineStr">
        <is>
          <t>UNUSED CAPACITY
COST R$</t>
        </is>
      </c>
    </row>
    <row r="7">
      <c r="A7" s="15" t="inlineStr">
        <is>
          <t>RES-MIST1</t>
        </is>
      </c>
      <c r="B7" s="31">
        <f>SUMIF('12_RESOURCES'!$A$7:$A$67,A7,'12_RESOURCES'!$F$7:$F$67)</f>
        <v/>
      </c>
      <c r="C7" s="31">
        <f>SUMIF('17_PRODUCTION_OF'!$E$7:$E$47,A7,'17_PRODUCTION_OF'!$Q$7:$Q$47)</f>
        <v/>
      </c>
      <c r="D7" s="31">
        <f>B7-C7</f>
        <v/>
      </c>
      <c r="E7" s="31">
        <f>IFERROR(INDEX('15_RESOURCE_RATES'!$D$7:$D$9,MATCH(A7,'15_RESOURCE_RATES'!$A$7:$A$9,0)),0)</f>
        <v/>
      </c>
      <c r="F7" s="45">
        <f>D7*E7</f>
        <v/>
      </c>
    </row>
    <row r="8">
      <c r="A8" s="15" t="inlineStr">
        <is>
          <t>RES-MIST2</t>
        </is>
      </c>
      <c r="B8" s="31">
        <f>SUMIF('12_RESOURCES'!$A$7:$A$67,A8,'12_RESOURCES'!$F$7:$F$67)</f>
        <v/>
      </c>
      <c r="C8" s="31">
        <f>SUMIF('17_PRODUCTION_OF'!$E$7:$E$47,A8,'17_PRODUCTION_OF'!$Q$7:$Q$47)</f>
        <v/>
      </c>
      <c r="D8" s="31">
        <f>B8-C8</f>
        <v/>
      </c>
      <c r="E8" s="31">
        <f>IFERROR(INDEX('15_RESOURCE_RATES'!$D$7:$D$9,MATCH(A8,'15_RESOURCE_RATES'!$A$7:$A$9,0)),0)</f>
        <v/>
      </c>
      <c r="F8" s="45">
        <f>D8*E8</f>
        <v/>
      </c>
    </row>
    <row r="10">
      <c r="A10" s="2" t="inlineStr">
        <is>
          <t>Total unused capacity cost:</t>
        </is>
      </c>
      <c r="F10" s="46">
        <f>SUM(F7:F8)</f>
        <v/>
      </c>
    </row>
  </sheetData>
  <mergeCells count="8">
    <mergeCell ref="A2:F2"/>
    <mergeCell ref="F4:G4"/>
    <mergeCell ref="J4:K4"/>
    <mergeCell ref="L4:M4"/>
    <mergeCell ref="A1:F1"/>
    <mergeCell ref="D4:E4"/>
    <mergeCell ref="H4:I4"/>
    <mergeCell ref="B4:C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55A11"/>
    <outlinePr summaryBelow="1" summaryRight="1"/>
    <pageSetUpPr/>
  </sheetPr>
  <dimension ref="A1:R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6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16" customWidth="1" min="13" max="13"/>
    <col width="16" customWidth="1" min="14" max="14"/>
    <col width="12" customWidth="1" min="15" max="15"/>
    <col width="12" customWidth="1" min="16" max="16"/>
    <col width="12" customWidth="1" min="17" max="17"/>
    <col width="26" customWidth="1" min="18" max="18"/>
  </cols>
  <sheetData>
    <row r="1" ht="26" customHeight="1">
      <c r="A1" s="1" t="inlineStr">
        <is>
          <t>PURCHASES</t>
        </is>
      </c>
    </row>
    <row r="2">
      <c r="A2" s="2" t="inlineStr">
        <is>
          <t>Base bruta de compras. Alimenta 09_LANDED_COST e PPV (preco real vs padrao).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PURCHASE_ID</t>
        </is>
      </c>
      <c r="B6" s="5" t="inlineStr">
        <is>
          <t>MATERIAL_ID</t>
        </is>
      </c>
      <c r="C6" s="5" t="inlineStr">
        <is>
          <t>SUPPLIER_ID</t>
        </is>
      </c>
      <c r="D6" s="5" t="inlineStr">
        <is>
          <t>Data</t>
        </is>
      </c>
      <c r="E6" s="5" t="inlineStr">
        <is>
          <t>NF</t>
        </is>
      </c>
      <c r="F6" s="5" t="inlineStr">
        <is>
          <t>Qtd</t>
        </is>
      </c>
      <c r="G6" s="5" t="inlineStr">
        <is>
          <t>Unid</t>
        </is>
      </c>
      <c r="H6" s="5" t="inlineStr">
        <is>
          <t>Preco bruto R$/un</t>
        </is>
      </c>
      <c r="I6" s="5" t="inlineStr">
        <is>
          <t>Desconto R$</t>
        </is>
      </c>
      <c r="J6" s="5" t="inlineStr">
        <is>
          <t>Frete R$</t>
        </is>
      </c>
      <c r="K6" s="5" t="inlineStr">
        <is>
          <t>ICMS destac. R$</t>
        </is>
      </c>
      <c r="L6" s="5" t="inlineStr">
        <is>
          <t>PIS/COFINS R$</t>
        </is>
      </c>
      <c r="M6" s="5" t="inlineStr">
        <is>
          <t>Fonte</t>
        </is>
      </c>
      <c r="N6" s="5" t="inlineStr">
        <is>
          <t>Responsavel</t>
        </is>
      </c>
      <c r="O6" s="5" t="inlineStr">
        <is>
          <t>Vigencia ini</t>
        </is>
      </c>
      <c r="P6" s="5" t="inlineStr">
        <is>
          <t>Vigencia fim</t>
        </is>
      </c>
      <c r="Q6" s="5" t="inlineStr">
        <is>
          <t>Atualizado em</t>
        </is>
      </c>
      <c r="R6" s="5" t="inlineStr">
        <is>
          <t>Comentario</t>
        </is>
      </c>
    </row>
    <row r="7" ht="15" customHeight="1">
      <c r="A7" s="24" t="inlineStr">
        <is>
          <t>PC-001</t>
        </is>
      </c>
      <c r="B7" s="18" t="inlineStr">
        <is>
          <t>M001</t>
        </is>
      </c>
      <c r="C7" s="18" t="inlineStr">
        <is>
          <t>S001</t>
        </is>
      </c>
      <c r="D7" s="26" t="inlineStr">
        <is>
          <t>2026-03-02</t>
        </is>
      </c>
      <c r="E7" s="18" t="inlineStr">
        <is>
          <t>12345</t>
        </is>
      </c>
      <c r="F7" s="30" t="n">
        <v>30</v>
      </c>
      <c r="G7" s="18" t="inlineStr">
        <is>
          <t>t</t>
        </is>
      </c>
      <c r="H7" s="37" t="n">
        <v>700</v>
      </c>
      <c r="I7" s="30" t="n">
        <v>600</v>
      </c>
      <c r="J7" s="30" t="n">
        <v>1350</v>
      </c>
      <c r="K7" s="30" t="n">
        <v>3780</v>
      </c>
      <c r="L7" s="30" t="n">
        <v>0</v>
      </c>
      <c r="M7" s="18" t="n"/>
      <c r="N7" s="18" t="n"/>
      <c r="O7" s="26" t="n"/>
      <c r="P7" s="26" t="n"/>
      <c r="Q7" s="26" t="n"/>
      <c r="R7" s="18" t="n"/>
    </row>
    <row r="8" ht="15" customHeight="1">
      <c r="A8" s="24" t="inlineStr">
        <is>
          <t>PC-002</t>
        </is>
      </c>
      <c r="B8" s="18" t="inlineStr">
        <is>
          <t>M002</t>
        </is>
      </c>
      <c r="C8" s="18" t="inlineStr">
        <is>
          <t>S002</t>
        </is>
      </c>
      <c r="D8" s="26" t="inlineStr">
        <is>
          <t>2026-03-03</t>
        </is>
      </c>
      <c r="E8" s="18" t="inlineStr">
        <is>
          <t>12346</t>
        </is>
      </c>
      <c r="F8" s="30" t="n">
        <v>60</v>
      </c>
      <c r="G8" s="18" t="inlineStr">
        <is>
          <t>t</t>
        </is>
      </c>
      <c r="H8" s="37" t="n">
        <v>55</v>
      </c>
      <c r="I8" s="30" t="n">
        <v>0</v>
      </c>
      <c r="J8" s="30" t="n">
        <v>1320</v>
      </c>
      <c r="K8" s="30" t="n">
        <v>594</v>
      </c>
      <c r="L8" s="30" t="n">
        <v>0</v>
      </c>
      <c r="M8" s="18" t="n"/>
      <c r="N8" s="18" t="n"/>
      <c r="O8" s="26" t="n"/>
      <c r="P8" s="26" t="n"/>
      <c r="Q8" s="26" t="n"/>
      <c r="R8" s="18" t="n"/>
    </row>
    <row r="9" ht="15" customHeight="1">
      <c r="A9" s="24" t="n"/>
      <c r="B9" s="18" t="n"/>
      <c r="C9" s="18" t="n"/>
      <c r="D9" s="26" t="n"/>
      <c r="E9" s="18" t="n"/>
      <c r="F9" s="30" t="n"/>
      <c r="G9" s="18" t="n"/>
      <c r="H9" s="37" t="n"/>
      <c r="I9" s="30" t="n"/>
      <c r="J9" s="30" t="n"/>
      <c r="K9" s="30" t="n"/>
      <c r="L9" s="30" t="n"/>
      <c r="M9" s="18" t="n"/>
      <c r="N9" s="18" t="n"/>
      <c r="O9" s="26" t="n"/>
      <c r="P9" s="26" t="n"/>
      <c r="Q9" s="26" t="n"/>
      <c r="R9" s="18" t="n"/>
    </row>
    <row r="10" ht="15" customHeight="1">
      <c r="A10" s="27" t="inlineStr">
        <is>
          <t>^ Linhas acima = dados DEMO (marcados). Abaixo: campos de entrada em branco para dados reais.</t>
        </is>
      </c>
      <c r="B10" s="18" t="n"/>
      <c r="C10" s="18" t="n"/>
      <c r="D10" s="26" t="n"/>
      <c r="E10" s="18" t="n"/>
      <c r="F10" s="30" t="n"/>
      <c r="G10" s="18" t="n"/>
      <c r="H10" s="37" t="n"/>
      <c r="I10" s="30" t="n"/>
      <c r="J10" s="30" t="n"/>
      <c r="K10" s="30" t="n"/>
      <c r="L10" s="30" t="n"/>
      <c r="M10" s="18" t="n"/>
      <c r="N10" s="18" t="n"/>
      <c r="O10" s="26" t="n"/>
      <c r="P10" s="26" t="n"/>
      <c r="Q10" s="26" t="n"/>
      <c r="R10" s="18" t="n"/>
    </row>
    <row r="11" ht="15" customHeight="1">
      <c r="A11" s="24" t="n"/>
      <c r="B11" s="18" t="n"/>
      <c r="C11" s="18" t="n"/>
      <c r="D11" s="26" t="n"/>
      <c r="E11" s="18" t="n"/>
      <c r="F11" s="30" t="n"/>
      <c r="G11" s="18" t="n"/>
      <c r="H11" s="37" t="n"/>
      <c r="I11" s="30" t="n"/>
      <c r="J11" s="30" t="n"/>
      <c r="K11" s="30" t="n"/>
      <c r="L11" s="30" t="n"/>
      <c r="M11" s="18" t="n"/>
      <c r="N11" s="18" t="n"/>
      <c r="O11" s="26" t="n"/>
      <c r="P11" s="26" t="n"/>
      <c r="Q11" s="26" t="n"/>
      <c r="R11" s="18" t="n"/>
    </row>
    <row r="12" ht="15" customHeight="1">
      <c r="A12" s="24" t="n"/>
      <c r="B12" s="18" t="n"/>
      <c r="C12" s="18" t="n"/>
      <c r="D12" s="26" t="n"/>
      <c r="E12" s="18" t="n"/>
      <c r="F12" s="30" t="n"/>
      <c r="G12" s="18" t="n"/>
      <c r="H12" s="37" t="n"/>
      <c r="I12" s="30" t="n"/>
      <c r="J12" s="30" t="n"/>
      <c r="K12" s="30" t="n"/>
      <c r="L12" s="30" t="n"/>
      <c r="M12" s="18" t="n"/>
      <c r="N12" s="18" t="n"/>
      <c r="O12" s="26" t="n"/>
      <c r="P12" s="26" t="n"/>
      <c r="Q12" s="26" t="n"/>
      <c r="R12" s="18" t="n"/>
    </row>
    <row r="13" ht="15" customHeight="1">
      <c r="A13" s="24" t="n"/>
      <c r="B13" s="18" t="n"/>
      <c r="C13" s="18" t="n"/>
      <c r="D13" s="26" t="n"/>
      <c r="E13" s="18" t="n"/>
      <c r="F13" s="30" t="n"/>
      <c r="G13" s="18" t="n"/>
      <c r="H13" s="37" t="n"/>
      <c r="I13" s="30" t="n"/>
      <c r="J13" s="30" t="n"/>
      <c r="K13" s="30" t="n"/>
      <c r="L13" s="30" t="n"/>
      <c r="M13" s="18" t="n"/>
      <c r="N13" s="18" t="n"/>
      <c r="O13" s="26" t="n"/>
      <c r="P13" s="26" t="n"/>
      <c r="Q13" s="26" t="n"/>
      <c r="R13" s="18" t="n"/>
    </row>
    <row r="14" ht="15" customHeight="1">
      <c r="A14" s="24" t="n"/>
      <c r="B14" s="18" t="n"/>
      <c r="C14" s="18" t="n"/>
      <c r="D14" s="26" t="n"/>
      <c r="E14" s="18" t="n"/>
      <c r="F14" s="30" t="n"/>
      <c r="G14" s="18" t="n"/>
      <c r="H14" s="37" t="n"/>
      <c r="I14" s="30" t="n"/>
      <c r="J14" s="30" t="n"/>
      <c r="K14" s="30" t="n"/>
      <c r="L14" s="30" t="n"/>
      <c r="M14" s="18" t="n"/>
      <c r="N14" s="18" t="n"/>
      <c r="O14" s="26" t="n"/>
      <c r="P14" s="26" t="n"/>
      <c r="Q14" s="26" t="n"/>
      <c r="R14" s="18" t="n"/>
    </row>
    <row r="15" ht="15" customHeight="1">
      <c r="A15" s="24" t="n"/>
      <c r="B15" s="18" t="n"/>
      <c r="C15" s="18" t="n"/>
      <c r="D15" s="26" t="n"/>
      <c r="E15" s="18" t="n"/>
      <c r="F15" s="30" t="n"/>
      <c r="G15" s="18" t="n"/>
      <c r="H15" s="37" t="n"/>
      <c r="I15" s="30" t="n"/>
      <c r="J15" s="30" t="n"/>
      <c r="K15" s="30" t="n"/>
      <c r="L15" s="30" t="n"/>
      <c r="M15" s="18" t="n"/>
      <c r="N15" s="18" t="n"/>
      <c r="O15" s="26" t="n"/>
      <c r="P15" s="26" t="n"/>
      <c r="Q15" s="26" t="n"/>
      <c r="R15" s="18" t="n"/>
    </row>
    <row r="16" ht="15" customHeight="1">
      <c r="A16" s="24" t="n"/>
      <c r="B16" s="18" t="n"/>
      <c r="C16" s="18" t="n"/>
      <c r="D16" s="26" t="n"/>
      <c r="E16" s="18" t="n"/>
      <c r="F16" s="30" t="n"/>
      <c r="G16" s="18" t="n"/>
      <c r="H16" s="37" t="n"/>
      <c r="I16" s="30" t="n"/>
      <c r="J16" s="30" t="n"/>
      <c r="K16" s="30" t="n"/>
      <c r="L16" s="30" t="n"/>
      <c r="M16" s="18" t="n"/>
      <c r="N16" s="18" t="n"/>
      <c r="O16" s="26" t="n"/>
      <c r="P16" s="26" t="n"/>
      <c r="Q16" s="26" t="n"/>
      <c r="R16" s="18" t="n"/>
    </row>
    <row r="17" ht="15" customHeight="1">
      <c r="A17" s="24" t="n"/>
      <c r="B17" s="18" t="n"/>
      <c r="C17" s="18" t="n"/>
      <c r="D17" s="26" t="n"/>
      <c r="E17" s="18" t="n"/>
      <c r="F17" s="30" t="n"/>
      <c r="G17" s="18" t="n"/>
      <c r="H17" s="37" t="n"/>
      <c r="I17" s="30" t="n"/>
      <c r="J17" s="30" t="n"/>
      <c r="K17" s="30" t="n"/>
      <c r="L17" s="30" t="n"/>
      <c r="M17" s="18" t="n"/>
      <c r="N17" s="18" t="n"/>
      <c r="O17" s="26" t="n"/>
      <c r="P17" s="26" t="n"/>
      <c r="Q17" s="26" t="n"/>
      <c r="R17" s="18" t="n"/>
    </row>
    <row r="18" ht="15" customHeight="1">
      <c r="A18" s="24" t="n"/>
      <c r="B18" s="18" t="n"/>
      <c r="C18" s="18" t="n"/>
      <c r="D18" s="26" t="n"/>
      <c r="E18" s="18" t="n"/>
      <c r="F18" s="30" t="n"/>
      <c r="G18" s="18" t="n"/>
      <c r="H18" s="37" t="n"/>
      <c r="I18" s="30" t="n"/>
      <c r="J18" s="30" t="n"/>
      <c r="K18" s="30" t="n"/>
      <c r="L18" s="30" t="n"/>
      <c r="M18" s="18" t="n"/>
      <c r="N18" s="18" t="n"/>
      <c r="O18" s="26" t="n"/>
      <c r="P18" s="26" t="n"/>
      <c r="Q18" s="26" t="n"/>
      <c r="R18" s="18" t="n"/>
    </row>
    <row r="19" ht="15" customHeight="1">
      <c r="A19" s="24" t="n"/>
      <c r="B19" s="18" t="n"/>
      <c r="C19" s="18" t="n"/>
      <c r="D19" s="26" t="n"/>
      <c r="E19" s="18" t="n"/>
      <c r="F19" s="30" t="n"/>
      <c r="G19" s="18" t="n"/>
      <c r="H19" s="37" t="n"/>
      <c r="I19" s="30" t="n"/>
      <c r="J19" s="30" t="n"/>
      <c r="K19" s="30" t="n"/>
      <c r="L19" s="30" t="n"/>
      <c r="M19" s="18" t="n"/>
      <c r="N19" s="18" t="n"/>
      <c r="O19" s="26" t="n"/>
      <c r="P19" s="26" t="n"/>
      <c r="Q19" s="26" t="n"/>
      <c r="R19" s="18" t="n"/>
    </row>
    <row r="20" ht="15" customHeight="1">
      <c r="A20" s="24" t="n"/>
      <c r="B20" s="18" t="n"/>
      <c r="C20" s="18" t="n"/>
      <c r="D20" s="26" t="n"/>
      <c r="E20" s="18" t="n"/>
      <c r="F20" s="30" t="n"/>
      <c r="G20" s="18" t="n"/>
      <c r="H20" s="37" t="n"/>
      <c r="I20" s="30" t="n"/>
      <c r="J20" s="30" t="n"/>
      <c r="K20" s="30" t="n"/>
      <c r="L20" s="30" t="n"/>
      <c r="M20" s="18" t="n"/>
      <c r="N20" s="18" t="n"/>
      <c r="O20" s="26" t="n"/>
      <c r="P20" s="26" t="n"/>
      <c r="Q20" s="26" t="n"/>
      <c r="R20" s="18" t="n"/>
    </row>
    <row r="21" ht="15" customHeight="1">
      <c r="A21" s="24" t="n"/>
      <c r="B21" s="18" t="n"/>
      <c r="C21" s="18" t="n"/>
      <c r="D21" s="26" t="n"/>
      <c r="E21" s="18" t="n"/>
      <c r="F21" s="30" t="n"/>
      <c r="G21" s="18" t="n"/>
      <c r="H21" s="37" t="n"/>
      <c r="I21" s="30" t="n"/>
      <c r="J21" s="30" t="n"/>
      <c r="K21" s="30" t="n"/>
      <c r="L21" s="30" t="n"/>
      <c r="M21" s="18" t="n"/>
      <c r="N21" s="18" t="n"/>
      <c r="O21" s="26" t="n"/>
      <c r="P21" s="26" t="n"/>
      <c r="Q21" s="26" t="n"/>
      <c r="R21" s="18" t="n"/>
    </row>
    <row r="22" ht="15" customHeight="1">
      <c r="A22" s="24" t="n"/>
      <c r="B22" s="18" t="n"/>
      <c r="C22" s="18" t="n"/>
      <c r="D22" s="26" t="n"/>
      <c r="E22" s="18" t="n"/>
      <c r="F22" s="30" t="n"/>
      <c r="G22" s="18" t="n"/>
      <c r="H22" s="37" t="n"/>
      <c r="I22" s="30" t="n"/>
      <c r="J22" s="30" t="n"/>
      <c r="K22" s="30" t="n"/>
      <c r="L22" s="30" t="n"/>
      <c r="M22" s="18" t="n"/>
      <c r="N22" s="18" t="n"/>
      <c r="O22" s="26" t="n"/>
      <c r="P22" s="26" t="n"/>
      <c r="Q22" s="26" t="n"/>
      <c r="R22" s="18" t="n"/>
    </row>
    <row r="23" ht="15" customHeight="1">
      <c r="A23" s="24" t="n"/>
      <c r="B23" s="18" t="n"/>
      <c r="C23" s="18" t="n"/>
      <c r="D23" s="26" t="n"/>
      <c r="E23" s="18" t="n"/>
      <c r="F23" s="30" t="n"/>
      <c r="G23" s="18" t="n"/>
      <c r="H23" s="37" t="n"/>
      <c r="I23" s="30" t="n"/>
      <c r="J23" s="30" t="n"/>
      <c r="K23" s="30" t="n"/>
      <c r="L23" s="30" t="n"/>
      <c r="M23" s="18" t="n"/>
      <c r="N23" s="18" t="n"/>
      <c r="O23" s="26" t="n"/>
      <c r="P23" s="26" t="n"/>
      <c r="Q23" s="26" t="n"/>
      <c r="R23" s="18" t="n"/>
    </row>
    <row r="24" ht="15" customHeight="1">
      <c r="A24" s="24" t="n"/>
      <c r="B24" s="18" t="n"/>
      <c r="C24" s="18" t="n"/>
      <c r="D24" s="26" t="n"/>
      <c r="E24" s="18" t="n"/>
      <c r="F24" s="30" t="n"/>
      <c r="G24" s="18" t="n"/>
      <c r="H24" s="37" t="n"/>
      <c r="I24" s="30" t="n"/>
      <c r="J24" s="30" t="n"/>
      <c r="K24" s="30" t="n"/>
      <c r="L24" s="30" t="n"/>
      <c r="M24" s="18" t="n"/>
      <c r="N24" s="18" t="n"/>
      <c r="O24" s="26" t="n"/>
      <c r="P24" s="26" t="n"/>
      <c r="Q24" s="26" t="n"/>
      <c r="R24" s="18" t="n"/>
    </row>
    <row r="25" ht="15" customHeight="1">
      <c r="A25" s="24" t="n"/>
      <c r="B25" s="18" t="n"/>
      <c r="C25" s="18" t="n"/>
      <c r="D25" s="26" t="n"/>
      <c r="E25" s="18" t="n"/>
      <c r="F25" s="30" t="n"/>
      <c r="G25" s="18" t="n"/>
      <c r="H25" s="37" t="n"/>
      <c r="I25" s="30" t="n"/>
      <c r="J25" s="30" t="n"/>
      <c r="K25" s="30" t="n"/>
      <c r="L25" s="30" t="n"/>
      <c r="M25" s="18" t="n"/>
      <c r="N25" s="18" t="n"/>
      <c r="O25" s="26" t="n"/>
      <c r="P25" s="26" t="n"/>
      <c r="Q25" s="26" t="n"/>
      <c r="R25" s="18" t="n"/>
    </row>
    <row r="26" ht="15" customHeight="1">
      <c r="A26" s="24" t="n"/>
      <c r="B26" s="18" t="n"/>
      <c r="C26" s="18" t="n"/>
      <c r="D26" s="26" t="n"/>
      <c r="E26" s="18" t="n"/>
      <c r="F26" s="30" t="n"/>
      <c r="G26" s="18" t="n"/>
      <c r="H26" s="37" t="n"/>
      <c r="I26" s="30" t="n"/>
      <c r="J26" s="30" t="n"/>
      <c r="K26" s="30" t="n"/>
      <c r="L26" s="30" t="n"/>
      <c r="M26" s="18" t="n"/>
      <c r="N26" s="18" t="n"/>
      <c r="O26" s="26" t="n"/>
      <c r="P26" s="26" t="n"/>
      <c r="Q26" s="26" t="n"/>
      <c r="R26" s="18" t="n"/>
    </row>
    <row r="27" ht="15" customHeight="1">
      <c r="A27" s="24" t="n"/>
      <c r="B27" s="18" t="n"/>
      <c r="C27" s="18" t="n"/>
      <c r="D27" s="26" t="n"/>
      <c r="E27" s="18" t="n"/>
      <c r="F27" s="30" t="n"/>
      <c r="G27" s="18" t="n"/>
      <c r="H27" s="37" t="n"/>
      <c r="I27" s="30" t="n"/>
      <c r="J27" s="30" t="n"/>
      <c r="K27" s="30" t="n"/>
      <c r="L27" s="30" t="n"/>
      <c r="M27" s="18" t="n"/>
      <c r="N27" s="18" t="n"/>
      <c r="O27" s="26" t="n"/>
      <c r="P27" s="26" t="n"/>
      <c r="Q27" s="26" t="n"/>
      <c r="R27" s="18" t="n"/>
    </row>
    <row r="28" ht="15" customHeight="1">
      <c r="A28" s="24" t="n"/>
      <c r="B28" s="18" t="n"/>
      <c r="C28" s="18" t="n"/>
      <c r="D28" s="26" t="n"/>
      <c r="E28" s="18" t="n"/>
      <c r="F28" s="30" t="n"/>
      <c r="G28" s="18" t="n"/>
      <c r="H28" s="37" t="n"/>
      <c r="I28" s="30" t="n"/>
      <c r="J28" s="30" t="n"/>
      <c r="K28" s="30" t="n"/>
      <c r="L28" s="30" t="n"/>
      <c r="M28" s="18" t="n"/>
      <c r="N28" s="18" t="n"/>
      <c r="O28" s="26" t="n"/>
      <c r="P28" s="26" t="n"/>
      <c r="Q28" s="26" t="n"/>
      <c r="R28" s="18" t="n"/>
    </row>
    <row r="29" ht="15" customHeight="1">
      <c r="A29" s="24" t="n"/>
      <c r="B29" s="18" t="n"/>
      <c r="C29" s="18" t="n"/>
      <c r="D29" s="26" t="n"/>
      <c r="E29" s="18" t="n"/>
      <c r="F29" s="30" t="n"/>
      <c r="G29" s="18" t="n"/>
      <c r="H29" s="37" t="n"/>
      <c r="I29" s="30" t="n"/>
      <c r="J29" s="30" t="n"/>
      <c r="K29" s="30" t="n"/>
      <c r="L29" s="30" t="n"/>
      <c r="M29" s="18" t="n"/>
      <c r="N29" s="18" t="n"/>
      <c r="O29" s="26" t="n"/>
      <c r="P29" s="26" t="n"/>
      <c r="Q29" s="26" t="n"/>
      <c r="R29" s="18" t="n"/>
    </row>
    <row r="30" ht="15" customHeight="1">
      <c r="A30" s="24" t="n"/>
      <c r="B30" s="18" t="n"/>
      <c r="C30" s="18" t="n"/>
      <c r="D30" s="26" t="n"/>
      <c r="E30" s="18" t="n"/>
      <c r="F30" s="30" t="n"/>
      <c r="G30" s="18" t="n"/>
      <c r="H30" s="37" t="n"/>
      <c r="I30" s="30" t="n"/>
      <c r="J30" s="30" t="n"/>
      <c r="K30" s="30" t="n"/>
      <c r="L30" s="30" t="n"/>
      <c r="M30" s="18" t="n"/>
      <c r="N30" s="18" t="n"/>
      <c r="O30" s="26" t="n"/>
      <c r="P30" s="26" t="n"/>
      <c r="Q30" s="26" t="n"/>
      <c r="R30" s="18" t="n"/>
    </row>
    <row r="31" ht="15" customHeight="1">
      <c r="A31" s="24" t="n"/>
      <c r="B31" s="18" t="n"/>
      <c r="C31" s="18" t="n"/>
      <c r="D31" s="26" t="n"/>
      <c r="E31" s="18" t="n"/>
      <c r="F31" s="30" t="n"/>
      <c r="G31" s="18" t="n"/>
      <c r="H31" s="37" t="n"/>
      <c r="I31" s="30" t="n"/>
      <c r="J31" s="30" t="n"/>
      <c r="K31" s="30" t="n"/>
      <c r="L31" s="30" t="n"/>
      <c r="M31" s="18" t="n"/>
      <c r="N31" s="18" t="n"/>
      <c r="O31" s="26" t="n"/>
      <c r="P31" s="26" t="n"/>
      <c r="Q31" s="26" t="n"/>
      <c r="R31" s="18" t="n"/>
    </row>
    <row r="32" ht="15" customHeight="1">
      <c r="A32" s="24" t="n"/>
      <c r="B32" s="18" t="n"/>
      <c r="C32" s="18" t="n"/>
      <c r="D32" s="26" t="n"/>
      <c r="E32" s="18" t="n"/>
      <c r="F32" s="30" t="n"/>
      <c r="G32" s="18" t="n"/>
      <c r="H32" s="37" t="n"/>
      <c r="I32" s="30" t="n"/>
      <c r="J32" s="30" t="n"/>
      <c r="K32" s="30" t="n"/>
      <c r="L32" s="30" t="n"/>
      <c r="M32" s="18" t="n"/>
      <c r="N32" s="18" t="n"/>
      <c r="O32" s="26" t="n"/>
      <c r="P32" s="26" t="n"/>
      <c r="Q32" s="26" t="n"/>
      <c r="R32" s="18" t="n"/>
    </row>
    <row r="33" ht="15" customHeight="1">
      <c r="A33" s="24" t="n"/>
      <c r="B33" s="18" t="n"/>
      <c r="C33" s="18" t="n"/>
      <c r="D33" s="26" t="n"/>
      <c r="E33" s="18" t="n"/>
      <c r="F33" s="30" t="n"/>
      <c r="G33" s="18" t="n"/>
      <c r="H33" s="37" t="n"/>
      <c r="I33" s="30" t="n"/>
      <c r="J33" s="30" t="n"/>
      <c r="K33" s="30" t="n"/>
      <c r="L33" s="30" t="n"/>
      <c r="M33" s="18" t="n"/>
      <c r="N33" s="18" t="n"/>
      <c r="O33" s="26" t="n"/>
      <c r="P33" s="26" t="n"/>
      <c r="Q33" s="26" t="n"/>
      <c r="R33" s="18" t="n"/>
    </row>
    <row r="34" ht="15" customHeight="1">
      <c r="A34" s="24" t="n"/>
      <c r="B34" s="18" t="n"/>
      <c r="C34" s="18" t="n"/>
      <c r="D34" s="26" t="n"/>
      <c r="E34" s="18" t="n"/>
      <c r="F34" s="30" t="n"/>
      <c r="G34" s="18" t="n"/>
      <c r="H34" s="37" t="n"/>
      <c r="I34" s="30" t="n"/>
      <c r="J34" s="30" t="n"/>
      <c r="K34" s="30" t="n"/>
      <c r="L34" s="30" t="n"/>
      <c r="M34" s="18" t="n"/>
      <c r="N34" s="18" t="n"/>
      <c r="O34" s="26" t="n"/>
      <c r="P34" s="26" t="n"/>
      <c r="Q34" s="26" t="n"/>
      <c r="R34" s="18" t="n"/>
    </row>
    <row r="35" ht="15" customHeight="1">
      <c r="A35" s="24" t="n"/>
      <c r="B35" s="18" t="n"/>
      <c r="C35" s="18" t="n"/>
      <c r="D35" s="26" t="n"/>
      <c r="E35" s="18" t="n"/>
      <c r="F35" s="30" t="n"/>
      <c r="G35" s="18" t="n"/>
      <c r="H35" s="37" t="n"/>
      <c r="I35" s="30" t="n"/>
      <c r="J35" s="30" t="n"/>
      <c r="K35" s="30" t="n"/>
      <c r="L35" s="30" t="n"/>
      <c r="M35" s="18" t="n"/>
      <c r="N35" s="18" t="n"/>
      <c r="O35" s="26" t="n"/>
      <c r="P35" s="26" t="n"/>
      <c r="Q35" s="26" t="n"/>
      <c r="R35" s="18" t="n"/>
    </row>
    <row r="36" ht="15" customHeight="1">
      <c r="A36" s="24" t="n"/>
      <c r="B36" s="18" t="n"/>
      <c r="C36" s="18" t="n"/>
      <c r="D36" s="26" t="n"/>
      <c r="E36" s="18" t="n"/>
      <c r="F36" s="30" t="n"/>
      <c r="G36" s="18" t="n"/>
      <c r="H36" s="37" t="n"/>
      <c r="I36" s="30" t="n"/>
      <c r="J36" s="30" t="n"/>
      <c r="K36" s="30" t="n"/>
      <c r="L36" s="30" t="n"/>
      <c r="M36" s="18" t="n"/>
      <c r="N36" s="18" t="n"/>
      <c r="O36" s="26" t="n"/>
      <c r="P36" s="26" t="n"/>
      <c r="Q36" s="26" t="n"/>
      <c r="R36" s="18" t="n"/>
    </row>
    <row r="37" ht="15" customHeight="1">
      <c r="A37" s="24" t="n"/>
      <c r="B37" s="18" t="n"/>
      <c r="C37" s="18" t="n"/>
      <c r="D37" s="26" t="n"/>
      <c r="E37" s="18" t="n"/>
      <c r="F37" s="30" t="n"/>
      <c r="G37" s="18" t="n"/>
      <c r="H37" s="37" t="n"/>
      <c r="I37" s="30" t="n"/>
      <c r="J37" s="30" t="n"/>
      <c r="K37" s="30" t="n"/>
      <c r="L37" s="30" t="n"/>
      <c r="M37" s="18" t="n"/>
      <c r="N37" s="18" t="n"/>
      <c r="O37" s="26" t="n"/>
      <c r="P37" s="26" t="n"/>
      <c r="Q37" s="26" t="n"/>
      <c r="R37" s="18" t="n"/>
    </row>
    <row r="38" ht="15" customHeight="1">
      <c r="A38" s="24" t="n"/>
      <c r="B38" s="18" t="n"/>
      <c r="C38" s="18" t="n"/>
      <c r="D38" s="26" t="n"/>
      <c r="E38" s="18" t="n"/>
      <c r="F38" s="30" t="n"/>
      <c r="G38" s="18" t="n"/>
      <c r="H38" s="37" t="n"/>
      <c r="I38" s="30" t="n"/>
      <c r="J38" s="30" t="n"/>
      <c r="K38" s="30" t="n"/>
      <c r="L38" s="30" t="n"/>
      <c r="M38" s="18" t="n"/>
      <c r="N38" s="18" t="n"/>
      <c r="O38" s="26" t="n"/>
      <c r="P38" s="26" t="n"/>
      <c r="Q38" s="26" t="n"/>
      <c r="R38" s="18" t="n"/>
    </row>
    <row r="39" ht="15" customHeight="1">
      <c r="A39" s="24" t="n"/>
      <c r="B39" s="18" t="n"/>
      <c r="C39" s="18" t="n"/>
      <c r="D39" s="26" t="n"/>
      <c r="E39" s="18" t="n"/>
      <c r="F39" s="30" t="n"/>
      <c r="G39" s="18" t="n"/>
      <c r="H39" s="37" t="n"/>
      <c r="I39" s="30" t="n"/>
      <c r="J39" s="30" t="n"/>
      <c r="K39" s="30" t="n"/>
      <c r="L39" s="30" t="n"/>
      <c r="M39" s="18" t="n"/>
      <c r="N39" s="18" t="n"/>
      <c r="O39" s="26" t="n"/>
      <c r="P39" s="26" t="n"/>
      <c r="Q39" s="26" t="n"/>
      <c r="R39" s="18" t="n"/>
    </row>
    <row r="40" ht="15" customHeight="1">
      <c r="A40" s="24" t="n"/>
      <c r="B40" s="18" t="n"/>
      <c r="C40" s="18" t="n"/>
      <c r="D40" s="26" t="n"/>
      <c r="E40" s="18" t="n"/>
      <c r="F40" s="30" t="n"/>
      <c r="G40" s="18" t="n"/>
      <c r="H40" s="37" t="n"/>
      <c r="I40" s="30" t="n"/>
      <c r="J40" s="30" t="n"/>
      <c r="K40" s="30" t="n"/>
      <c r="L40" s="30" t="n"/>
      <c r="M40" s="18" t="n"/>
      <c r="N40" s="18" t="n"/>
      <c r="O40" s="26" t="n"/>
      <c r="P40" s="26" t="n"/>
      <c r="Q40" s="26" t="n"/>
      <c r="R40" s="18" t="n"/>
    </row>
    <row r="41" ht="15" customHeight="1">
      <c r="A41" s="24" t="n"/>
      <c r="B41" s="18" t="n"/>
      <c r="C41" s="18" t="n"/>
      <c r="D41" s="26" t="n"/>
      <c r="E41" s="18" t="n"/>
      <c r="F41" s="30" t="n"/>
      <c r="G41" s="18" t="n"/>
      <c r="H41" s="37" t="n"/>
      <c r="I41" s="30" t="n"/>
      <c r="J41" s="30" t="n"/>
      <c r="K41" s="30" t="n"/>
      <c r="L41" s="30" t="n"/>
      <c r="M41" s="18" t="n"/>
      <c r="N41" s="18" t="n"/>
      <c r="O41" s="26" t="n"/>
      <c r="P41" s="26" t="n"/>
      <c r="Q41" s="26" t="n"/>
      <c r="R41" s="18" t="n"/>
    </row>
    <row r="42" ht="15" customHeight="1">
      <c r="A42" s="24" t="n"/>
      <c r="B42" s="18" t="n"/>
      <c r="C42" s="18" t="n"/>
      <c r="D42" s="26" t="n"/>
      <c r="E42" s="18" t="n"/>
      <c r="F42" s="30" t="n"/>
      <c r="G42" s="18" t="n"/>
      <c r="H42" s="37" t="n"/>
      <c r="I42" s="30" t="n"/>
      <c r="J42" s="30" t="n"/>
      <c r="K42" s="30" t="n"/>
      <c r="L42" s="30" t="n"/>
      <c r="M42" s="18" t="n"/>
      <c r="N42" s="18" t="n"/>
      <c r="O42" s="26" t="n"/>
      <c r="P42" s="26" t="n"/>
      <c r="Q42" s="26" t="n"/>
      <c r="R42" s="18" t="n"/>
    </row>
    <row r="43" ht="15" customHeight="1">
      <c r="A43" s="24" t="n"/>
      <c r="B43" s="18" t="n"/>
      <c r="C43" s="18" t="n"/>
      <c r="D43" s="26" t="n"/>
      <c r="E43" s="18" t="n"/>
      <c r="F43" s="30" t="n"/>
      <c r="G43" s="18" t="n"/>
      <c r="H43" s="37" t="n"/>
      <c r="I43" s="30" t="n"/>
      <c r="J43" s="30" t="n"/>
      <c r="K43" s="30" t="n"/>
      <c r="L43" s="30" t="n"/>
      <c r="M43" s="18" t="n"/>
      <c r="N43" s="18" t="n"/>
      <c r="O43" s="26" t="n"/>
      <c r="P43" s="26" t="n"/>
      <c r="Q43" s="26" t="n"/>
      <c r="R43" s="18" t="n"/>
    </row>
    <row r="44" ht="15" customHeight="1">
      <c r="A44" s="24" t="n"/>
      <c r="B44" s="18" t="n"/>
      <c r="C44" s="18" t="n"/>
      <c r="D44" s="26" t="n"/>
      <c r="E44" s="18" t="n"/>
      <c r="F44" s="30" t="n"/>
      <c r="G44" s="18" t="n"/>
      <c r="H44" s="37" t="n"/>
      <c r="I44" s="30" t="n"/>
      <c r="J44" s="30" t="n"/>
      <c r="K44" s="30" t="n"/>
      <c r="L44" s="30" t="n"/>
      <c r="M44" s="18" t="n"/>
      <c r="N44" s="18" t="n"/>
      <c r="O44" s="26" t="n"/>
      <c r="P44" s="26" t="n"/>
      <c r="Q44" s="26" t="n"/>
      <c r="R44" s="18" t="n"/>
    </row>
    <row r="45" ht="15" customHeight="1">
      <c r="A45" s="24" t="n"/>
      <c r="B45" s="18" t="n"/>
      <c r="C45" s="18" t="n"/>
      <c r="D45" s="26" t="n"/>
      <c r="E45" s="18" t="n"/>
      <c r="F45" s="30" t="n"/>
      <c r="G45" s="18" t="n"/>
      <c r="H45" s="37" t="n"/>
      <c r="I45" s="30" t="n"/>
      <c r="J45" s="30" t="n"/>
      <c r="K45" s="30" t="n"/>
      <c r="L45" s="30" t="n"/>
      <c r="M45" s="18" t="n"/>
      <c r="N45" s="18" t="n"/>
      <c r="O45" s="26" t="n"/>
      <c r="P45" s="26" t="n"/>
      <c r="Q45" s="26" t="n"/>
      <c r="R45" s="18" t="n"/>
    </row>
    <row r="46" ht="15" customHeight="1">
      <c r="A46" s="24" t="n"/>
      <c r="B46" s="18" t="n"/>
      <c r="C46" s="18" t="n"/>
      <c r="D46" s="26" t="n"/>
      <c r="E46" s="18" t="n"/>
      <c r="F46" s="30" t="n"/>
      <c r="G46" s="18" t="n"/>
      <c r="H46" s="37" t="n"/>
      <c r="I46" s="30" t="n"/>
      <c r="J46" s="30" t="n"/>
      <c r="K46" s="30" t="n"/>
      <c r="L46" s="30" t="n"/>
      <c r="M46" s="18" t="n"/>
      <c r="N46" s="18" t="n"/>
      <c r="O46" s="26" t="n"/>
      <c r="P46" s="26" t="n"/>
      <c r="Q46" s="26" t="n"/>
      <c r="R46" s="18" t="n"/>
    </row>
    <row r="47" ht="15" customHeight="1">
      <c r="A47" s="24" t="n"/>
      <c r="B47" s="18" t="n"/>
      <c r="C47" s="18" t="n"/>
      <c r="D47" s="26" t="n"/>
      <c r="E47" s="18" t="n"/>
      <c r="F47" s="30" t="n"/>
      <c r="G47" s="18" t="n"/>
      <c r="H47" s="37" t="n"/>
      <c r="I47" s="30" t="n"/>
      <c r="J47" s="30" t="n"/>
      <c r="K47" s="30" t="n"/>
      <c r="L47" s="30" t="n"/>
      <c r="M47" s="18" t="n"/>
      <c r="N47" s="18" t="n"/>
      <c r="O47" s="26" t="n"/>
      <c r="P47" s="26" t="n"/>
      <c r="Q47" s="26" t="n"/>
      <c r="R47" s="18" t="n"/>
    </row>
    <row r="48" ht="15" customHeight="1">
      <c r="A48" s="24" t="n"/>
      <c r="B48" s="18" t="n"/>
      <c r="C48" s="18" t="n"/>
      <c r="D48" s="26" t="n"/>
      <c r="E48" s="18" t="n"/>
      <c r="F48" s="30" t="n"/>
      <c r="G48" s="18" t="n"/>
      <c r="H48" s="37" t="n"/>
      <c r="I48" s="30" t="n"/>
      <c r="J48" s="30" t="n"/>
      <c r="K48" s="30" t="n"/>
      <c r="L48" s="30" t="n"/>
      <c r="M48" s="18" t="n"/>
      <c r="N48" s="18" t="n"/>
      <c r="O48" s="26" t="n"/>
      <c r="P48" s="26" t="n"/>
      <c r="Q48" s="26" t="n"/>
      <c r="R48" s="18" t="n"/>
    </row>
    <row r="49" ht="15" customHeight="1">
      <c r="A49" s="24" t="n"/>
      <c r="B49" s="18" t="n"/>
      <c r="C49" s="18" t="n"/>
      <c r="D49" s="26" t="n"/>
      <c r="E49" s="18" t="n"/>
      <c r="F49" s="30" t="n"/>
      <c r="G49" s="18" t="n"/>
      <c r="H49" s="37" t="n"/>
      <c r="I49" s="30" t="n"/>
      <c r="J49" s="30" t="n"/>
      <c r="K49" s="30" t="n"/>
      <c r="L49" s="30" t="n"/>
      <c r="M49" s="18" t="n"/>
      <c r="N49" s="18" t="n"/>
      <c r="O49" s="26" t="n"/>
      <c r="P49" s="26" t="n"/>
      <c r="Q49" s="26" t="n"/>
      <c r="R49" s="18" t="n"/>
    </row>
    <row r="50" ht="15" customHeight="1">
      <c r="A50" s="24" t="n"/>
      <c r="B50" s="18" t="n"/>
      <c r="C50" s="18" t="n"/>
      <c r="D50" s="26" t="n"/>
      <c r="E50" s="18" t="n"/>
      <c r="F50" s="30" t="n"/>
      <c r="G50" s="18" t="n"/>
      <c r="H50" s="37" t="n"/>
      <c r="I50" s="30" t="n"/>
      <c r="J50" s="30" t="n"/>
      <c r="K50" s="30" t="n"/>
      <c r="L50" s="30" t="n"/>
      <c r="M50" s="18" t="n"/>
      <c r="N50" s="18" t="n"/>
      <c r="O50" s="26" t="n"/>
      <c r="P50" s="26" t="n"/>
      <c r="Q50" s="26" t="n"/>
      <c r="R50" s="18" t="n"/>
    </row>
    <row r="51" ht="15" customHeight="1">
      <c r="A51" s="24" t="n"/>
      <c r="B51" s="18" t="n"/>
      <c r="C51" s="18" t="n"/>
      <c r="D51" s="26" t="n"/>
      <c r="E51" s="18" t="n"/>
      <c r="F51" s="30" t="n"/>
      <c r="G51" s="18" t="n"/>
      <c r="H51" s="37" t="n"/>
      <c r="I51" s="30" t="n"/>
      <c r="J51" s="30" t="n"/>
      <c r="K51" s="30" t="n"/>
      <c r="L51" s="30" t="n"/>
      <c r="M51" s="18" t="n"/>
      <c r="N51" s="18" t="n"/>
      <c r="O51" s="26" t="n"/>
      <c r="P51" s="26" t="n"/>
      <c r="Q51" s="26" t="n"/>
      <c r="R51" s="18" t="n"/>
    </row>
    <row r="52" ht="15" customHeight="1">
      <c r="A52" s="24" t="n"/>
      <c r="B52" s="18" t="n"/>
      <c r="C52" s="18" t="n"/>
      <c r="D52" s="26" t="n"/>
      <c r="E52" s="18" t="n"/>
      <c r="F52" s="30" t="n"/>
      <c r="G52" s="18" t="n"/>
      <c r="H52" s="37" t="n"/>
      <c r="I52" s="30" t="n"/>
      <c r="J52" s="30" t="n"/>
      <c r="K52" s="30" t="n"/>
      <c r="L52" s="30" t="n"/>
      <c r="M52" s="18" t="n"/>
      <c r="N52" s="18" t="n"/>
      <c r="O52" s="26" t="n"/>
      <c r="P52" s="26" t="n"/>
      <c r="Q52" s="26" t="n"/>
      <c r="R52" s="18" t="n"/>
    </row>
    <row r="53" ht="15" customHeight="1">
      <c r="A53" s="24" t="n"/>
      <c r="B53" s="18" t="n"/>
      <c r="C53" s="18" t="n"/>
      <c r="D53" s="26" t="n"/>
      <c r="E53" s="18" t="n"/>
      <c r="F53" s="30" t="n"/>
      <c r="G53" s="18" t="n"/>
      <c r="H53" s="37" t="n"/>
      <c r="I53" s="30" t="n"/>
      <c r="J53" s="30" t="n"/>
      <c r="K53" s="30" t="n"/>
      <c r="L53" s="30" t="n"/>
      <c r="M53" s="18" t="n"/>
      <c r="N53" s="18" t="n"/>
      <c r="O53" s="26" t="n"/>
      <c r="P53" s="26" t="n"/>
      <c r="Q53" s="26" t="n"/>
      <c r="R53" s="18" t="n"/>
    </row>
    <row r="54" ht="15" customHeight="1">
      <c r="A54" s="24" t="n"/>
      <c r="B54" s="18" t="n"/>
      <c r="C54" s="18" t="n"/>
      <c r="D54" s="26" t="n"/>
      <c r="E54" s="18" t="n"/>
      <c r="F54" s="30" t="n"/>
      <c r="G54" s="18" t="n"/>
      <c r="H54" s="37" t="n"/>
      <c r="I54" s="30" t="n"/>
      <c r="J54" s="30" t="n"/>
      <c r="K54" s="30" t="n"/>
      <c r="L54" s="30" t="n"/>
      <c r="M54" s="18" t="n"/>
      <c r="N54" s="18" t="n"/>
      <c r="O54" s="26" t="n"/>
      <c r="P54" s="26" t="n"/>
      <c r="Q54" s="26" t="n"/>
      <c r="R54" s="18" t="n"/>
    </row>
    <row r="55" ht="15" customHeight="1">
      <c r="A55" s="24" t="n"/>
      <c r="B55" s="18" t="n"/>
      <c r="C55" s="18" t="n"/>
      <c r="D55" s="26" t="n"/>
      <c r="E55" s="18" t="n"/>
      <c r="F55" s="30" t="n"/>
      <c r="G55" s="18" t="n"/>
      <c r="H55" s="37" t="n"/>
      <c r="I55" s="30" t="n"/>
      <c r="J55" s="30" t="n"/>
      <c r="K55" s="30" t="n"/>
      <c r="L55" s="30" t="n"/>
      <c r="M55" s="18" t="n"/>
      <c r="N55" s="18" t="n"/>
      <c r="O55" s="26" t="n"/>
      <c r="P55" s="26" t="n"/>
      <c r="Q55" s="26" t="n"/>
      <c r="R55" s="18" t="n"/>
    </row>
    <row r="56" ht="15" customHeight="1">
      <c r="A56" s="24" t="n"/>
      <c r="B56" s="18" t="n"/>
      <c r="C56" s="18" t="n"/>
      <c r="D56" s="26" t="n"/>
      <c r="E56" s="18" t="n"/>
      <c r="F56" s="30" t="n"/>
      <c r="G56" s="18" t="n"/>
      <c r="H56" s="37" t="n"/>
      <c r="I56" s="30" t="n"/>
      <c r="J56" s="30" t="n"/>
      <c r="K56" s="30" t="n"/>
      <c r="L56" s="30" t="n"/>
      <c r="M56" s="18" t="n"/>
      <c r="N56" s="18" t="n"/>
      <c r="O56" s="26" t="n"/>
      <c r="P56" s="26" t="n"/>
      <c r="Q56" s="26" t="n"/>
      <c r="R56" s="18" t="n"/>
    </row>
    <row r="57" ht="15" customHeight="1">
      <c r="A57" s="24" t="n"/>
      <c r="B57" s="18" t="n"/>
      <c r="C57" s="18" t="n"/>
      <c r="D57" s="26" t="n"/>
      <c r="E57" s="18" t="n"/>
      <c r="F57" s="30" t="n"/>
      <c r="G57" s="18" t="n"/>
      <c r="H57" s="37" t="n"/>
      <c r="I57" s="30" t="n"/>
      <c r="J57" s="30" t="n"/>
      <c r="K57" s="30" t="n"/>
      <c r="L57" s="30" t="n"/>
      <c r="M57" s="18" t="n"/>
      <c r="N57" s="18" t="n"/>
      <c r="O57" s="26" t="n"/>
      <c r="P57" s="26" t="n"/>
      <c r="Q57" s="26" t="n"/>
      <c r="R57" s="18" t="n"/>
    </row>
    <row r="58" ht="15" customHeight="1">
      <c r="A58" s="24" t="n"/>
      <c r="B58" s="18" t="n"/>
      <c r="C58" s="18" t="n"/>
      <c r="D58" s="26" t="n"/>
      <c r="E58" s="18" t="n"/>
      <c r="F58" s="30" t="n"/>
      <c r="G58" s="18" t="n"/>
      <c r="H58" s="37" t="n"/>
      <c r="I58" s="30" t="n"/>
      <c r="J58" s="30" t="n"/>
      <c r="K58" s="30" t="n"/>
      <c r="L58" s="30" t="n"/>
      <c r="M58" s="18" t="n"/>
      <c r="N58" s="18" t="n"/>
      <c r="O58" s="26" t="n"/>
      <c r="P58" s="26" t="n"/>
      <c r="Q58" s="26" t="n"/>
      <c r="R58" s="18" t="n"/>
    </row>
    <row r="59" ht="15" customHeight="1">
      <c r="A59" s="24" t="n"/>
      <c r="B59" s="18" t="n"/>
      <c r="C59" s="18" t="n"/>
      <c r="D59" s="26" t="n"/>
      <c r="E59" s="18" t="n"/>
      <c r="F59" s="30" t="n"/>
      <c r="G59" s="18" t="n"/>
      <c r="H59" s="37" t="n"/>
      <c r="I59" s="30" t="n"/>
      <c r="J59" s="30" t="n"/>
      <c r="K59" s="30" t="n"/>
      <c r="L59" s="30" t="n"/>
      <c r="M59" s="18" t="n"/>
      <c r="N59" s="18" t="n"/>
      <c r="O59" s="26" t="n"/>
      <c r="P59" s="26" t="n"/>
      <c r="Q59" s="26" t="n"/>
      <c r="R59" s="18" t="n"/>
    </row>
    <row r="60" ht="15" customHeight="1">
      <c r="A60" s="24" t="n"/>
      <c r="B60" s="18" t="n"/>
      <c r="C60" s="18" t="n"/>
      <c r="D60" s="26" t="n"/>
      <c r="E60" s="18" t="n"/>
      <c r="F60" s="30" t="n"/>
      <c r="G60" s="18" t="n"/>
      <c r="H60" s="37" t="n"/>
      <c r="I60" s="30" t="n"/>
      <c r="J60" s="30" t="n"/>
      <c r="K60" s="30" t="n"/>
      <c r="L60" s="30" t="n"/>
      <c r="M60" s="18" t="n"/>
      <c r="N60" s="18" t="n"/>
      <c r="O60" s="26" t="n"/>
      <c r="P60" s="26" t="n"/>
      <c r="Q60" s="26" t="n"/>
      <c r="R60" s="18" t="n"/>
    </row>
    <row r="61" ht="15" customHeight="1">
      <c r="A61" s="24" t="n"/>
      <c r="B61" s="18" t="n"/>
      <c r="C61" s="18" t="n"/>
      <c r="D61" s="26" t="n"/>
      <c r="E61" s="18" t="n"/>
      <c r="F61" s="30" t="n"/>
      <c r="G61" s="18" t="n"/>
      <c r="H61" s="37" t="n"/>
      <c r="I61" s="30" t="n"/>
      <c r="J61" s="30" t="n"/>
      <c r="K61" s="30" t="n"/>
      <c r="L61" s="30" t="n"/>
      <c r="M61" s="18" t="n"/>
      <c r="N61" s="18" t="n"/>
      <c r="O61" s="26" t="n"/>
      <c r="P61" s="26" t="n"/>
      <c r="Q61" s="26" t="n"/>
      <c r="R61" s="18" t="n"/>
    </row>
    <row r="62" ht="15" customHeight="1">
      <c r="A62" s="24" t="n"/>
      <c r="B62" s="18" t="n"/>
      <c r="C62" s="18" t="n"/>
      <c r="D62" s="26" t="n"/>
      <c r="E62" s="18" t="n"/>
      <c r="F62" s="30" t="n"/>
      <c r="G62" s="18" t="n"/>
      <c r="H62" s="37" t="n"/>
      <c r="I62" s="30" t="n"/>
      <c r="J62" s="30" t="n"/>
      <c r="K62" s="30" t="n"/>
      <c r="L62" s="30" t="n"/>
      <c r="M62" s="18" t="n"/>
      <c r="N62" s="18" t="n"/>
      <c r="O62" s="26" t="n"/>
      <c r="P62" s="26" t="n"/>
      <c r="Q62" s="26" t="n"/>
      <c r="R62" s="18" t="n"/>
    </row>
    <row r="63" ht="15" customHeight="1">
      <c r="A63" s="24" t="n"/>
      <c r="B63" s="18" t="n"/>
      <c r="C63" s="18" t="n"/>
      <c r="D63" s="26" t="n"/>
      <c r="E63" s="18" t="n"/>
      <c r="F63" s="30" t="n"/>
      <c r="G63" s="18" t="n"/>
      <c r="H63" s="37" t="n"/>
      <c r="I63" s="30" t="n"/>
      <c r="J63" s="30" t="n"/>
      <c r="K63" s="30" t="n"/>
      <c r="L63" s="30" t="n"/>
      <c r="M63" s="18" t="n"/>
      <c r="N63" s="18" t="n"/>
      <c r="O63" s="26" t="n"/>
      <c r="P63" s="26" t="n"/>
      <c r="Q63" s="26" t="n"/>
      <c r="R63" s="18" t="n"/>
    </row>
    <row r="64" ht="15" customHeight="1">
      <c r="A64" s="24" t="n"/>
      <c r="B64" s="18" t="n"/>
      <c r="C64" s="18" t="n"/>
      <c r="D64" s="26" t="n"/>
      <c r="E64" s="18" t="n"/>
      <c r="F64" s="30" t="n"/>
      <c r="G64" s="18" t="n"/>
      <c r="H64" s="37" t="n"/>
      <c r="I64" s="30" t="n"/>
      <c r="J64" s="30" t="n"/>
      <c r="K64" s="30" t="n"/>
      <c r="L64" s="30" t="n"/>
      <c r="M64" s="18" t="n"/>
      <c r="N64" s="18" t="n"/>
      <c r="O64" s="26" t="n"/>
      <c r="P64" s="26" t="n"/>
      <c r="Q64" s="26" t="n"/>
      <c r="R64" s="18" t="n"/>
    </row>
    <row r="65" ht="15" customHeight="1">
      <c r="A65" s="24" t="n"/>
      <c r="B65" s="18" t="n"/>
      <c r="C65" s="18" t="n"/>
      <c r="D65" s="26" t="n"/>
      <c r="E65" s="18" t="n"/>
      <c r="F65" s="30" t="n"/>
      <c r="G65" s="18" t="n"/>
      <c r="H65" s="37" t="n"/>
      <c r="I65" s="30" t="n"/>
      <c r="J65" s="30" t="n"/>
      <c r="K65" s="30" t="n"/>
      <c r="L65" s="30" t="n"/>
      <c r="M65" s="18" t="n"/>
      <c r="N65" s="18" t="n"/>
      <c r="O65" s="26" t="n"/>
      <c r="P65" s="26" t="n"/>
      <c r="Q65" s="26" t="n"/>
      <c r="R65" s="18" t="n"/>
    </row>
    <row r="66" ht="15" customHeight="1">
      <c r="A66" s="24" t="n"/>
      <c r="B66" s="18" t="n"/>
      <c r="C66" s="18" t="n"/>
      <c r="D66" s="26" t="n"/>
      <c r="E66" s="18" t="n"/>
      <c r="F66" s="30" t="n"/>
      <c r="G66" s="18" t="n"/>
      <c r="H66" s="37" t="n"/>
      <c r="I66" s="30" t="n"/>
      <c r="J66" s="30" t="n"/>
      <c r="K66" s="30" t="n"/>
      <c r="L66" s="30" t="n"/>
      <c r="M66" s="18" t="n"/>
      <c r="N66" s="18" t="n"/>
      <c r="O66" s="26" t="n"/>
      <c r="P66" s="26" t="n"/>
      <c r="Q66" s="26" t="n"/>
      <c r="R66" s="18" t="n"/>
    </row>
  </sheetData>
  <mergeCells count="8">
    <mergeCell ref="F4:G4"/>
    <mergeCell ref="J4:K4"/>
    <mergeCell ref="L4:M4"/>
    <mergeCell ref="A2:R2"/>
    <mergeCell ref="D4:E4"/>
    <mergeCell ref="A1:R1"/>
    <mergeCell ref="H4:I4"/>
    <mergeCell ref="B4:C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30A0"/>
    <outlinePr summaryBelow="1" summaryRight="1"/>
    <pageSetUpPr/>
  </sheetPr>
  <dimension ref="A1:O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26" customWidth="1" min="15" max="15"/>
  </cols>
  <sheetData>
    <row r="1" ht="26" customHeight="1">
      <c r="A1" s="1" t="inlineStr">
        <is>
          <t>RESOURCES</t>
        </is>
      </c>
    </row>
    <row r="2">
      <c r="A2" s="2" t="inlineStr">
        <is>
          <t>Base do Resource Cost Model e da capacidade pratica.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RESOURCE_ID</t>
        </is>
      </c>
      <c r="B6" s="5" t="inlineStr">
        <is>
          <t>Descricao</t>
        </is>
      </c>
      <c r="C6" s="5" t="inlineStr">
        <is>
          <t>COST_CENTER_ID</t>
        </is>
      </c>
      <c r="D6" s="5" t="inlineStr">
        <is>
          <t>Cap. nominal (t/h)</t>
        </is>
      </c>
      <c r="E6" s="5" t="inlineStr">
        <is>
          <t>Cap. pratica (t/h)</t>
        </is>
      </c>
      <c r="F6" s="5" t="inlineStr">
        <is>
          <t>Horas disp./mes</t>
        </is>
      </c>
      <c r="G6" s="5" t="inlineStr">
        <is>
          <t>Depreciacao R$/mes</t>
        </is>
      </c>
      <c r="H6" s="5" t="inlineStr">
        <is>
          <t>Manut. fixa R$/mes</t>
        </is>
      </c>
      <c r="I6" s="5" t="inlineStr">
        <is>
          <t>Outros fixos R$/mes</t>
        </is>
      </c>
      <c r="J6" s="5" t="inlineStr">
        <is>
          <t>Fonte</t>
        </is>
      </c>
      <c r="K6" s="5" t="inlineStr">
        <is>
          <t>Responsavel</t>
        </is>
      </c>
      <c r="L6" s="5" t="inlineStr">
        <is>
          <t>Vigencia ini</t>
        </is>
      </c>
      <c r="M6" s="5" t="inlineStr">
        <is>
          <t>Vigencia fim</t>
        </is>
      </c>
      <c r="N6" s="5" t="inlineStr">
        <is>
          <t>Atualizado em</t>
        </is>
      </c>
      <c r="O6" s="5" t="inlineStr">
        <is>
          <t>Comentario</t>
        </is>
      </c>
    </row>
    <row r="7" ht="15" customHeight="1">
      <c r="A7" s="24" t="inlineStr">
        <is>
          <t>RES-MIST1</t>
        </is>
      </c>
      <c r="B7" s="18" t="inlineStr">
        <is>
          <t>Misturador industrial 1</t>
        </is>
      </c>
      <c r="C7" s="18" t="inlineStr">
        <is>
          <t>CC-PROD</t>
        </is>
      </c>
      <c r="D7" s="30" t="n">
        <v>8</v>
      </c>
      <c r="E7" s="30" t="n">
        <v>6.5</v>
      </c>
      <c r="F7" s="30" t="n">
        <v>360</v>
      </c>
      <c r="G7" s="30" t="n">
        <v>8000</v>
      </c>
      <c r="H7" s="30" t="n">
        <v>3000</v>
      </c>
      <c r="I7" s="30" t="n">
        <v>2000</v>
      </c>
      <c r="J7" s="18" t="n"/>
      <c r="K7" s="18" t="n"/>
      <c r="L7" s="26" t="n"/>
      <c r="M7" s="26" t="n"/>
      <c r="N7" s="26" t="n"/>
      <c r="O7" s="18" t="n"/>
    </row>
    <row r="8" ht="15" customHeight="1">
      <c r="A8" s="24" t="inlineStr">
        <is>
          <t>RES-MIST2</t>
        </is>
      </c>
      <c r="B8" s="18" t="inlineStr">
        <is>
          <t>Misturador industrial 2</t>
        </is>
      </c>
      <c r="C8" s="18" t="inlineStr">
        <is>
          <t>CC-PROD</t>
        </is>
      </c>
      <c r="D8" s="30" t="n">
        <v>6</v>
      </c>
      <c r="E8" s="30" t="n">
        <v>5</v>
      </c>
      <c r="F8" s="30" t="n">
        <v>360</v>
      </c>
      <c r="G8" s="30" t="n">
        <v>6000</v>
      </c>
      <c r="H8" s="30" t="n">
        <v>2500</v>
      </c>
      <c r="I8" s="30" t="n">
        <v>1500</v>
      </c>
      <c r="J8" s="18" t="n"/>
      <c r="K8" s="18" t="n"/>
      <c r="L8" s="26" t="n"/>
      <c r="M8" s="26" t="n"/>
      <c r="N8" s="26" t="n"/>
      <c r="O8" s="18" t="n"/>
    </row>
    <row r="9" ht="15" customHeight="1">
      <c r="A9" s="24" t="n"/>
      <c r="B9" s="18" t="n"/>
      <c r="C9" s="18" t="n"/>
      <c r="D9" s="30" t="n"/>
      <c r="E9" s="30" t="n"/>
      <c r="F9" s="30" t="n"/>
      <c r="G9" s="30" t="n"/>
      <c r="H9" s="30" t="n"/>
      <c r="I9" s="30" t="n"/>
      <c r="J9" s="18" t="n"/>
      <c r="K9" s="18" t="n"/>
      <c r="L9" s="26" t="n"/>
      <c r="M9" s="26" t="n"/>
      <c r="N9" s="26" t="n"/>
      <c r="O9" s="18" t="n"/>
    </row>
    <row r="10" ht="15" customHeight="1">
      <c r="A10" s="27" t="inlineStr">
        <is>
          <t>^ Linhas acima = dados DEMO (marcados). Abaixo: campos de entrada em branco para dados reais.</t>
        </is>
      </c>
      <c r="B10" s="18" t="n"/>
      <c r="C10" s="18" t="n"/>
      <c r="D10" s="30" t="n"/>
      <c r="E10" s="30" t="n"/>
      <c r="F10" s="30" t="n"/>
      <c r="G10" s="30" t="n"/>
      <c r="H10" s="30" t="n"/>
      <c r="I10" s="30" t="n"/>
      <c r="J10" s="18" t="n"/>
      <c r="K10" s="18" t="n"/>
      <c r="L10" s="26" t="n"/>
      <c r="M10" s="26" t="n"/>
      <c r="N10" s="26" t="n"/>
      <c r="O10" s="18" t="n"/>
    </row>
    <row r="11" ht="15" customHeight="1">
      <c r="A11" s="24" t="n"/>
      <c r="B11" s="18" t="n"/>
      <c r="C11" s="18" t="n"/>
      <c r="D11" s="30" t="n"/>
      <c r="E11" s="30" t="n"/>
      <c r="F11" s="30" t="n"/>
      <c r="G11" s="30" t="n"/>
      <c r="H11" s="30" t="n"/>
      <c r="I11" s="30" t="n"/>
      <c r="J11" s="18" t="n"/>
      <c r="K11" s="18" t="n"/>
      <c r="L11" s="26" t="n"/>
      <c r="M11" s="26" t="n"/>
      <c r="N11" s="26" t="n"/>
      <c r="O11" s="18" t="n"/>
    </row>
    <row r="12" ht="15" customHeight="1">
      <c r="A12" s="24" t="n"/>
      <c r="B12" s="18" t="n"/>
      <c r="C12" s="18" t="n"/>
      <c r="D12" s="30" t="n"/>
      <c r="E12" s="30" t="n"/>
      <c r="F12" s="30" t="n"/>
      <c r="G12" s="30" t="n"/>
      <c r="H12" s="30" t="n"/>
      <c r="I12" s="30" t="n"/>
      <c r="J12" s="18" t="n"/>
      <c r="K12" s="18" t="n"/>
      <c r="L12" s="26" t="n"/>
      <c r="M12" s="26" t="n"/>
      <c r="N12" s="26" t="n"/>
      <c r="O12" s="18" t="n"/>
    </row>
    <row r="13" ht="15" customHeight="1">
      <c r="A13" s="24" t="n"/>
      <c r="B13" s="18" t="n"/>
      <c r="C13" s="18" t="n"/>
      <c r="D13" s="30" t="n"/>
      <c r="E13" s="30" t="n"/>
      <c r="F13" s="30" t="n"/>
      <c r="G13" s="30" t="n"/>
      <c r="H13" s="30" t="n"/>
      <c r="I13" s="30" t="n"/>
      <c r="J13" s="18" t="n"/>
      <c r="K13" s="18" t="n"/>
      <c r="L13" s="26" t="n"/>
      <c r="M13" s="26" t="n"/>
      <c r="N13" s="26" t="n"/>
      <c r="O13" s="18" t="n"/>
    </row>
    <row r="14" ht="15" customHeight="1">
      <c r="A14" s="24" t="n"/>
      <c r="B14" s="18" t="n"/>
      <c r="C14" s="18" t="n"/>
      <c r="D14" s="30" t="n"/>
      <c r="E14" s="30" t="n"/>
      <c r="F14" s="30" t="n"/>
      <c r="G14" s="30" t="n"/>
      <c r="H14" s="30" t="n"/>
      <c r="I14" s="30" t="n"/>
      <c r="J14" s="18" t="n"/>
      <c r="K14" s="18" t="n"/>
      <c r="L14" s="26" t="n"/>
      <c r="M14" s="26" t="n"/>
      <c r="N14" s="26" t="n"/>
      <c r="O14" s="18" t="n"/>
    </row>
    <row r="15" ht="15" customHeight="1">
      <c r="A15" s="24" t="n"/>
      <c r="B15" s="18" t="n"/>
      <c r="C15" s="18" t="n"/>
      <c r="D15" s="30" t="n"/>
      <c r="E15" s="30" t="n"/>
      <c r="F15" s="30" t="n"/>
      <c r="G15" s="30" t="n"/>
      <c r="H15" s="30" t="n"/>
      <c r="I15" s="30" t="n"/>
      <c r="J15" s="18" t="n"/>
      <c r="K15" s="18" t="n"/>
      <c r="L15" s="26" t="n"/>
      <c r="M15" s="26" t="n"/>
      <c r="N15" s="26" t="n"/>
      <c r="O15" s="18" t="n"/>
    </row>
    <row r="16" ht="15" customHeight="1">
      <c r="A16" s="24" t="n"/>
      <c r="B16" s="18" t="n"/>
      <c r="C16" s="18" t="n"/>
      <c r="D16" s="30" t="n"/>
      <c r="E16" s="30" t="n"/>
      <c r="F16" s="30" t="n"/>
      <c r="G16" s="30" t="n"/>
      <c r="H16" s="30" t="n"/>
      <c r="I16" s="30" t="n"/>
      <c r="J16" s="18" t="n"/>
      <c r="K16" s="18" t="n"/>
      <c r="L16" s="26" t="n"/>
      <c r="M16" s="26" t="n"/>
      <c r="N16" s="26" t="n"/>
      <c r="O16" s="18" t="n"/>
    </row>
    <row r="17" ht="15" customHeight="1">
      <c r="A17" s="24" t="n"/>
      <c r="B17" s="18" t="n"/>
      <c r="C17" s="18" t="n"/>
      <c r="D17" s="30" t="n"/>
      <c r="E17" s="30" t="n"/>
      <c r="F17" s="30" t="n"/>
      <c r="G17" s="30" t="n"/>
      <c r="H17" s="30" t="n"/>
      <c r="I17" s="30" t="n"/>
      <c r="J17" s="18" t="n"/>
      <c r="K17" s="18" t="n"/>
      <c r="L17" s="26" t="n"/>
      <c r="M17" s="26" t="n"/>
      <c r="N17" s="26" t="n"/>
      <c r="O17" s="18" t="n"/>
    </row>
    <row r="18" ht="15" customHeight="1">
      <c r="A18" s="24" t="n"/>
      <c r="B18" s="18" t="n"/>
      <c r="C18" s="18" t="n"/>
      <c r="D18" s="30" t="n"/>
      <c r="E18" s="30" t="n"/>
      <c r="F18" s="30" t="n"/>
      <c r="G18" s="30" t="n"/>
      <c r="H18" s="30" t="n"/>
      <c r="I18" s="30" t="n"/>
      <c r="J18" s="18" t="n"/>
      <c r="K18" s="18" t="n"/>
      <c r="L18" s="26" t="n"/>
      <c r="M18" s="26" t="n"/>
      <c r="N18" s="26" t="n"/>
      <c r="O18" s="18" t="n"/>
    </row>
    <row r="19" ht="15" customHeight="1">
      <c r="A19" s="24" t="n"/>
      <c r="B19" s="18" t="n"/>
      <c r="C19" s="18" t="n"/>
      <c r="D19" s="30" t="n"/>
      <c r="E19" s="30" t="n"/>
      <c r="F19" s="30" t="n"/>
      <c r="G19" s="30" t="n"/>
      <c r="H19" s="30" t="n"/>
      <c r="I19" s="30" t="n"/>
      <c r="J19" s="18" t="n"/>
      <c r="K19" s="18" t="n"/>
      <c r="L19" s="26" t="n"/>
      <c r="M19" s="26" t="n"/>
      <c r="N19" s="26" t="n"/>
      <c r="O19" s="18" t="n"/>
    </row>
    <row r="20" ht="15" customHeight="1">
      <c r="A20" s="24" t="n"/>
      <c r="B20" s="18" t="n"/>
      <c r="C20" s="18" t="n"/>
      <c r="D20" s="30" t="n"/>
      <c r="E20" s="30" t="n"/>
      <c r="F20" s="30" t="n"/>
      <c r="G20" s="30" t="n"/>
      <c r="H20" s="30" t="n"/>
      <c r="I20" s="30" t="n"/>
      <c r="J20" s="18" t="n"/>
      <c r="K20" s="18" t="n"/>
      <c r="L20" s="26" t="n"/>
      <c r="M20" s="26" t="n"/>
      <c r="N20" s="26" t="n"/>
      <c r="O20" s="18" t="n"/>
    </row>
    <row r="21" ht="15" customHeight="1">
      <c r="A21" s="24" t="n"/>
      <c r="B21" s="18" t="n"/>
      <c r="C21" s="18" t="n"/>
      <c r="D21" s="30" t="n"/>
      <c r="E21" s="30" t="n"/>
      <c r="F21" s="30" t="n"/>
      <c r="G21" s="30" t="n"/>
      <c r="H21" s="30" t="n"/>
      <c r="I21" s="30" t="n"/>
      <c r="J21" s="18" t="n"/>
      <c r="K21" s="18" t="n"/>
      <c r="L21" s="26" t="n"/>
      <c r="M21" s="26" t="n"/>
      <c r="N21" s="26" t="n"/>
      <c r="O21" s="18" t="n"/>
    </row>
    <row r="22" ht="15" customHeight="1">
      <c r="A22" s="24" t="n"/>
      <c r="B22" s="18" t="n"/>
      <c r="C22" s="18" t="n"/>
      <c r="D22" s="30" t="n"/>
      <c r="E22" s="30" t="n"/>
      <c r="F22" s="30" t="n"/>
      <c r="G22" s="30" t="n"/>
      <c r="H22" s="30" t="n"/>
      <c r="I22" s="30" t="n"/>
      <c r="J22" s="18" t="n"/>
      <c r="K22" s="18" t="n"/>
      <c r="L22" s="26" t="n"/>
      <c r="M22" s="26" t="n"/>
      <c r="N22" s="26" t="n"/>
      <c r="O22" s="18" t="n"/>
    </row>
    <row r="23" ht="15" customHeight="1">
      <c r="A23" s="24" t="n"/>
      <c r="B23" s="18" t="n"/>
      <c r="C23" s="18" t="n"/>
      <c r="D23" s="30" t="n"/>
      <c r="E23" s="30" t="n"/>
      <c r="F23" s="30" t="n"/>
      <c r="G23" s="30" t="n"/>
      <c r="H23" s="30" t="n"/>
      <c r="I23" s="30" t="n"/>
      <c r="J23" s="18" t="n"/>
      <c r="K23" s="18" t="n"/>
      <c r="L23" s="26" t="n"/>
      <c r="M23" s="26" t="n"/>
      <c r="N23" s="26" t="n"/>
      <c r="O23" s="18" t="n"/>
    </row>
    <row r="24" ht="15" customHeight="1">
      <c r="A24" s="24" t="n"/>
      <c r="B24" s="18" t="n"/>
      <c r="C24" s="18" t="n"/>
      <c r="D24" s="30" t="n"/>
      <c r="E24" s="30" t="n"/>
      <c r="F24" s="30" t="n"/>
      <c r="G24" s="30" t="n"/>
      <c r="H24" s="30" t="n"/>
      <c r="I24" s="30" t="n"/>
      <c r="J24" s="18" t="n"/>
      <c r="K24" s="18" t="n"/>
      <c r="L24" s="26" t="n"/>
      <c r="M24" s="26" t="n"/>
      <c r="N24" s="26" t="n"/>
      <c r="O24" s="18" t="n"/>
    </row>
    <row r="25" ht="15" customHeight="1">
      <c r="A25" s="24" t="n"/>
      <c r="B25" s="18" t="n"/>
      <c r="C25" s="18" t="n"/>
      <c r="D25" s="30" t="n"/>
      <c r="E25" s="30" t="n"/>
      <c r="F25" s="30" t="n"/>
      <c r="G25" s="30" t="n"/>
      <c r="H25" s="30" t="n"/>
      <c r="I25" s="30" t="n"/>
      <c r="J25" s="18" t="n"/>
      <c r="K25" s="18" t="n"/>
      <c r="L25" s="26" t="n"/>
      <c r="M25" s="26" t="n"/>
      <c r="N25" s="26" t="n"/>
      <c r="O25" s="18" t="n"/>
    </row>
    <row r="26" ht="15" customHeight="1">
      <c r="A26" s="24" t="n"/>
      <c r="B26" s="18" t="n"/>
      <c r="C26" s="18" t="n"/>
      <c r="D26" s="30" t="n"/>
      <c r="E26" s="30" t="n"/>
      <c r="F26" s="30" t="n"/>
      <c r="G26" s="30" t="n"/>
      <c r="H26" s="30" t="n"/>
      <c r="I26" s="30" t="n"/>
      <c r="J26" s="18" t="n"/>
      <c r="K26" s="18" t="n"/>
      <c r="L26" s="26" t="n"/>
      <c r="M26" s="26" t="n"/>
      <c r="N26" s="26" t="n"/>
      <c r="O26" s="18" t="n"/>
    </row>
    <row r="27" ht="15" customHeight="1">
      <c r="A27" s="24" t="n"/>
      <c r="B27" s="18" t="n"/>
      <c r="C27" s="18" t="n"/>
      <c r="D27" s="30" t="n"/>
      <c r="E27" s="30" t="n"/>
      <c r="F27" s="30" t="n"/>
      <c r="G27" s="30" t="n"/>
      <c r="H27" s="30" t="n"/>
      <c r="I27" s="30" t="n"/>
      <c r="J27" s="18" t="n"/>
      <c r="K27" s="18" t="n"/>
      <c r="L27" s="26" t="n"/>
      <c r="M27" s="26" t="n"/>
      <c r="N27" s="26" t="n"/>
      <c r="O27" s="18" t="n"/>
    </row>
    <row r="28" ht="15" customHeight="1">
      <c r="A28" s="24" t="n"/>
      <c r="B28" s="18" t="n"/>
      <c r="C28" s="18" t="n"/>
      <c r="D28" s="30" t="n"/>
      <c r="E28" s="30" t="n"/>
      <c r="F28" s="30" t="n"/>
      <c r="G28" s="30" t="n"/>
      <c r="H28" s="30" t="n"/>
      <c r="I28" s="30" t="n"/>
      <c r="J28" s="18" t="n"/>
      <c r="K28" s="18" t="n"/>
      <c r="L28" s="26" t="n"/>
      <c r="M28" s="26" t="n"/>
      <c r="N28" s="26" t="n"/>
      <c r="O28" s="18" t="n"/>
    </row>
    <row r="29" ht="15" customHeight="1">
      <c r="A29" s="24" t="n"/>
      <c r="B29" s="18" t="n"/>
      <c r="C29" s="18" t="n"/>
      <c r="D29" s="30" t="n"/>
      <c r="E29" s="30" t="n"/>
      <c r="F29" s="30" t="n"/>
      <c r="G29" s="30" t="n"/>
      <c r="H29" s="30" t="n"/>
      <c r="I29" s="30" t="n"/>
      <c r="J29" s="18" t="n"/>
      <c r="K29" s="18" t="n"/>
      <c r="L29" s="26" t="n"/>
      <c r="M29" s="26" t="n"/>
      <c r="N29" s="26" t="n"/>
      <c r="O29" s="18" t="n"/>
    </row>
    <row r="30" ht="15" customHeight="1">
      <c r="A30" s="24" t="n"/>
      <c r="B30" s="18" t="n"/>
      <c r="C30" s="18" t="n"/>
      <c r="D30" s="30" t="n"/>
      <c r="E30" s="30" t="n"/>
      <c r="F30" s="30" t="n"/>
      <c r="G30" s="30" t="n"/>
      <c r="H30" s="30" t="n"/>
      <c r="I30" s="30" t="n"/>
      <c r="J30" s="18" t="n"/>
      <c r="K30" s="18" t="n"/>
      <c r="L30" s="26" t="n"/>
      <c r="M30" s="26" t="n"/>
      <c r="N30" s="26" t="n"/>
      <c r="O30" s="18" t="n"/>
    </row>
    <row r="31" ht="15" customHeight="1">
      <c r="A31" s="24" t="n"/>
      <c r="B31" s="18" t="n"/>
      <c r="C31" s="18" t="n"/>
      <c r="D31" s="30" t="n"/>
      <c r="E31" s="30" t="n"/>
      <c r="F31" s="30" t="n"/>
      <c r="G31" s="30" t="n"/>
      <c r="H31" s="30" t="n"/>
      <c r="I31" s="30" t="n"/>
      <c r="J31" s="18" t="n"/>
      <c r="K31" s="18" t="n"/>
      <c r="L31" s="26" t="n"/>
      <c r="M31" s="26" t="n"/>
      <c r="N31" s="26" t="n"/>
      <c r="O31" s="18" t="n"/>
    </row>
    <row r="32" ht="15" customHeight="1">
      <c r="A32" s="24" t="n"/>
      <c r="B32" s="18" t="n"/>
      <c r="C32" s="18" t="n"/>
      <c r="D32" s="30" t="n"/>
      <c r="E32" s="30" t="n"/>
      <c r="F32" s="30" t="n"/>
      <c r="G32" s="30" t="n"/>
      <c r="H32" s="30" t="n"/>
      <c r="I32" s="30" t="n"/>
      <c r="J32" s="18" t="n"/>
      <c r="K32" s="18" t="n"/>
      <c r="L32" s="26" t="n"/>
      <c r="M32" s="26" t="n"/>
      <c r="N32" s="26" t="n"/>
      <c r="O32" s="18" t="n"/>
    </row>
    <row r="33" ht="15" customHeight="1">
      <c r="A33" s="24" t="n"/>
      <c r="B33" s="18" t="n"/>
      <c r="C33" s="18" t="n"/>
      <c r="D33" s="30" t="n"/>
      <c r="E33" s="30" t="n"/>
      <c r="F33" s="30" t="n"/>
      <c r="G33" s="30" t="n"/>
      <c r="H33" s="30" t="n"/>
      <c r="I33" s="30" t="n"/>
      <c r="J33" s="18" t="n"/>
      <c r="K33" s="18" t="n"/>
      <c r="L33" s="26" t="n"/>
      <c r="M33" s="26" t="n"/>
      <c r="N33" s="26" t="n"/>
      <c r="O33" s="18" t="n"/>
    </row>
    <row r="34" ht="15" customHeight="1">
      <c r="A34" s="24" t="n"/>
      <c r="B34" s="18" t="n"/>
      <c r="C34" s="18" t="n"/>
      <c r="D34" s="30" t="n"/>
      <c r="E34" s="30" t="n"/>
      <c r="F34" s="30" t="n"/>
      <c r="G34" s="30" t="n"/>
      <c r="H34" s="30" t="n"/>
      <c r="I34" s="30" t="n"/>
      <c r="J34" s="18" t="n"/>
      <c r="K34" s="18" t="n"/>
      <c r="L34" s="26" t="n"/>
      <c r="M34" s="26" t="n"/>
      <c r="N34" s="26" t="n"/>
      <c r="O34" s="18" t="n"/>
    </row>
    <row r="35" ht="15" customHeight="1">
      <c r="A35" s="24" t="n"/>
      <c r="B35" s="18" t="n"/>
      <c r="C35" s="18" t="n"/>
      <c r="D35" s="30" t="n"/>
      <c r="E35" s="30" t="n"/>
      <c r="F35" s="30" t="n"/>
      <c r="G35" s="30" t="n"/>
      <c r="H35" s="30" t="n"/>
      <c r="I35" s="30" t="n"/>
      <c r="J35" s="18" t="n"/>
      <c r="K35" s="18" t="n"/>
      <c r="L35" s="26" t="n"/>
      <c r="M35" s="26" t="n"/>
      <c r="N35" s="26" t="n"/>
      <c r="O35" s="18" t="n"/>
    </row>
    <row r="36" ht="15" customHeight="1">
      <c r="A36" s="24" t="n"/>
      <c r="B36" s="18" t="n"/>
      <c r="C36" s="18" t="n"/>
      <c r="D36" s="30" t="n"/>
      <c r="E36" s="30" t="n"/>
      <c r="F36" s="30" t="n"/>
      <c r="G36" s="30" t="n"/>
      <c r="H36" s="30" t="n"/>
      <c r="I36" s="30" t="n"/>
      <c r="J36" s="18" t="n"/>
      <c r="K36" s="18" t="n"/>
      <c r="L36" s="26" t="n"/>
      <c r="M36" s="26" t="n"/>
      <c r="N36" s="26" t="n"/>
      <c r="O36" s="18" t="n"/>
    </row>
    <row r="37" ht="15" customHeight="1">
      <c r="A37" s="24" t="n"/>
      <c r="B37" s="18" t="n"/>
      <c r="C37" s="18" t="n"/>
      <c r="D37" s="30" t="n"/>
      <c r="E37" s="30" t="n"/>
      <c r="F37" s="30" t="n"/>
      <c r="G37" s="30" t="n"/>
      <c r="H37" s="30" t="n"/>
      <c r="I37" s="30" t="n"/>
      <c r="J37" s="18" t="n"/>
      <c r="K37" s="18" t="n"/>
      <c r="L37" s="26" t="n"/>
      <c r="M37" s="26" t="n"/>
      <c r="N37" s="26" t="n"/>
      <c r="O37" s="18" t="n"/>
    </row>
    <row r="38" ht="15" customHeight="1">
      <c r="A38" s="24" t="n"/>
      <c r="B38" s="18" t="n"/>
      <c r="C38" s="18" t="n"/>
      <c r="D38" s="30" t="n"/>
      <c r="E38" s="30" t="n"/>
      <c r="F38" s="30" t="n"/>
      <c r="G38" s="30" t="n"/>
      <c r="H38" s="30" t="n"/>
      <c r="I38" s="30" t="n"/>
      <c r="J38" s="18" t="n"/>
      <c r="K38" s="18" t="n"/>
      <c r="L38" s="26" t="n"/>
      <c r="M38" s="26" t="n"/>
      <c r="N38" s="26" t="n"/>
      <c r="O38" s="18" t="n"/>
    </row>
    <row r="39" ht="15" customHeight="1">
      <c r="A39" s="24" t="n"/>
      <c r="B39" s="18" t="n"/>
      <c r="C39" s="18" t="n"/>
      <c r="D39" s="30" t="n"/>
      <c r="E39" s="30" t="n"/>
      <c r="F39" s="30" t="n"/>
      <c r="G39" s="30" t="n"/>
      <c r="H39" s="30" t="n"/>
      <c r="I39" s="30" t="n"/>
      <c r="J39" s="18" t="n"/>
      <c r="K39" s="18" t="n"/>
      <c r="L39" s="26" t="n"/>
      <c r="M39" s="26" t="n"/>
      <c r="N39" s="26" t="n"/>
      <c r="O39" s="18" t="n"/>
    </row>
    <row r="40" ht="15" customHeight="1">
      <c r="A40" s="24" t="n"/>
      <c r="B40" s="18" t="n"/>
      <c r="C40" s="18" t="n"/>
      <c r="D40" s="30" t="n"/>
      <c r="E40" s="30" t="n"/>
      <c r="F40" s="30" t="n"/>
      <c r="G40" s="30" t="n"/>
      <c r="H40" s="30" t="n"/>
      <c r="I40" s="30" t="n"/>
      <c r="J40" s="18" t="n"/>
      <c r="K40" s="18" t="n"/>
      <c r="L40" s="26" t="n"/>
      <c r="M40" s="26" t="n"/>
      <c r="N40" s="26" t="n"/>
      <c r="O40" s="18" t="n"/>
    </row>
    <row r="41" ht="15" customHeight="1">
      <c r="A41" s="24" t="n"/>
      <c r="B41" s="18" t="n"/>
      <c r="C41" s="18" t="n"/>
      <c r="D41" s="30" t="n"/>
      <c r="E41" s="30" t="n"/>
      <c r="F41" s="30" t="n"/>
      <c r="G41" s="30" t="n"/>
      <c r="H41" s="30" t="n"/>
      <c r="I41" s="30" t="n"/>
      <c r="J41" s="18" t="n"/>
      <c r="K41" s="18" t="n"/>
      <c r="L41" s="26" t="n"/>
      <c r="M41" s="26" t="n"/>
      <c r="N41" s="26" t="n"/>
      <c r="O41" s="18" t="n"/>
    </row>
    <row r="42" ht="15" customHeight="1">
      <c r="A42" s="24" t="n"/>
      <c r="B42" s="18" t="n"/>
      <c r="C42" s="18" t="n"/>
      <c r="D42" s="30" t="n"/>
      <c r="E42" s="30" t="n"/>
      <c r="F42" s="30" t="n"/>
      <c r="G42" s="30" t="n"/>
      <c r="H42" s="30" t="n"/>
      <c r="I42" s="30" t="n"/>
      <c r="J42" s="18" t="n"/>
      <c r="K42" s="18" t="n"/>
      <c r="L42" s="26" t="n"/>
      <c r="M42" s="26" t="n"/>
      <c r="N42" s="26" t="n"/>
      <c r="O42" s="18" t="n"/>
    </row>
    <row r="43" ht="15" customHeight="1">
      <c r="A43" s="24" t="n"/>
      <c r="B43" s="18" t="n"/>
      <c r="C43" s="18" t="n"/>
      <c r="D43" s="30" t="n"/>
      <c r="E43" s="30" t="n"/>
      <c r="F43" s="30" t="n"/>
      <c r="G43" s="30" t="n"/>
      <c r="H43" s="30" t="n"/>
      <c r="I43" s="30" t="n"/>
      <c r="J43" s="18" t="n"/>
      <c r="K43" s="18" t="n"/>
      <c r="L43" s="26" t="n"/>
      <c r="M43" s="26" t="n"/>
      <c r="N43" s="26" t="n"/>
      <c r="O43" s="18" t="n"/>
    </row>
    <row r="44" ht="15" customHeight="1">
      <c r="A44" s="24" t="n"/>
      <c r="B44" s="18" t="n"/>
      <c r="C44" s="18" t="n"/>
      <c r="D44" s="30" t="n"/>
      <c r="E44" s="30" t="n"/>
      <c r="F44" s="30" t="n"/>
      <c r="G44" s="30" t="n"/>
      <c r="H44" s="30" t="n"/>
      <c r="I44" s="30" t="n"/>
      <c r="J44" s="18" t="n"/>
      <c r="K44" s="18" t="n"/>
      <c r="L44" s="26" t="n"/>
      <c r="M44" s="26" t="n"/>
      <c r="N44" s="26" t="n"/>
      <c r="O44" s="18" t="n"/>
    </row>
    <row r="45" ht="15" customHeight="1">
      <c r="A45" s="24" t="n"/>
      <c r="B45" s="18" t="n"/>
      <c r="C45" s="18" t="n"/>
      <c r="D45" s="30" t="n"/>
      <c r="E45" s="30" t="n"/>
      <c r="F45" s="30" t="n"/>
      <c r="G45" s="30" t="n"/>
      <c r="H45" s="30" t="n"/>
      <c r="I45" s="30" t="n"/>
      <c r="J45" s="18" t="n"/>
      <c r="K45" s="18" t="n"/>
      <c r="L45" s="26" t="n"/>
      <c r="M45" s="26" t="n"/>
      <c r="N45" s="26" t="n"/>
      <c r="O45" s="18" t="n"/>
    </row>
    <row r="46" ht="15" customHeight="1">
      <c r="A46" s="24" t="n"/>
      <c r="B46" s="18" t="n"/>
      <c r="C46" s="18" t="n"/>
      <c r="D46" s="30" t="n"/>
      <c r="E46" s="30" t="n"/>
      <c r="F46" s="30" t="n"/>
      <c r="G46" s="30" t="n"/>
      <c r="H46" s="30" t="n"/>
      <c r="I46" s="30" t="n"/>
      <c r="J46" s="18" t="n"/>
      <c r="K46" s="18" t="n"/>
      <c r="L46" s="26" t="n"/>
      <c r="M46" s="26" t="n"/>
      <c r="N46" s="26" t="n"/>
      <c r="O46" s="18" t="n"/>
    </row>
    <row r="47" ht="15" customHeight="1">
      <c r="A47" s="24" t="n"/>
      <c r="B47" s="18" t="n"/>
      <c r="C47" s="18" t="n"/>
      <c r="D47" s="30" t="n"/>
      <c r="E47" s="30" t="n"/>
      <c r="F47" s="30" t="n"/>
      <c r="G47" s="30" t="n"/>
      <c r="H47" s="30" t="n"/>
      <c r="I47" s="30" t="n"/>
      <c r="J47" s="18" t="n"/>
      <c r="K47" s="18" t="n"/>
      <c r="L47" s="26" t="n"/>
      <c r="M47" s="26" t="n"/>
      <c r="N47" s="26" t="n"/>
      <c r="O47" s="18" t="n"/>
    </row>
    <row r="48" ht="15" customHeight="1">
      <c r="A48" s="24" t="n"/>
      <c r="B48" s="18" t="n"/>
      <c r="C48" s="18" t="n"/>
      <c r="D48" s="30" t="n"/>
      <c r="E48" s="30" t="n"/>
      <c r="F48" s="30" t="n"/>
      <c r="G48" s="30" t="n"/>
      <c r="H48" s="30" t="n"/>
      <c r="I48" s="30" t="n"/>
      <c r="J48" s="18" t="n"/>
      <c r="K48" s="18" t="n"/>
      <c r="L48" s="26" t="n"/>
      <c r="M48" s="26" t="n"/>
      <c r="N48" s="26" t="n"/>
      <c r="O48" s="18" t="n"/>
    </row>
    <row r="49" ht="15" customHeight="1">
      <c r="A49" s="24" t="n"/>
      <c r="B49" s="18" t="n"/>
      <c r="C49" s="18" t="n"/>
      <c r="D49" s="30" t="n"/>
      <c r="E49" s="30" t="n"/>
      <c r="F49" s="30" t="n"/>
      <c r="G49" s="30" t="n"/>
      <c r="H49" s="30" t="n"/>
      <c r="I49" s="30" t="n"/>
      <c r="J49" s="18" t="n"/>
      <c r="K49" s="18" t="n"/>
      <c r="L49" s="26" t="n"/>
      <c r="M49" s="26" t="n"/>
      <c r="N49" s="26" t="n"/>
      <c r="O49" s="18" t="n"/>
    </row>
    <row r="50" ht="15" customHeight="1">
      <c r="A50" s="24" t="n"/>
      <c r="B50" s="18" t="n"/>
      <c r="C50" s="18" t="n"/>
      <c r="D50" s="30" t="n"/>
      <c r="E50" s="30" t="n"/>
      <c r="F50" s="30" t="n"/>
      <c r="G50" s="30" t="n"/>
      <c r="H50" s="30" t="n"/>
      <c r="I50" s="30" t="n"/>
      <c r="J50" s="18" t="n"/>
      <c r="K50" s="18" t="n"/>
      <c r="L50" s="26" t="n"/>
      <c r="M50" s="26" t="n"/>
      <c r="N50" s="26" t="n"/>
      <c r="O50" s="18" t="n"/>
    </row>
    <row r="51" ht="15" customHeight="1">
      <c r="A51" s="24" t="n"/>
      <c r="B51" s="18" t="n"/>
      <c r="C51" s="18" t="n"/>
      <c r="D51" s="30" t="n"/>
      <c r="E51" s="30" t="n"/>
      <c r="F51" s="30" t="n"/>
      <c r="G51" s="30" t="n"/>
      <c r="H51" s="30" t="n"/>
      <c r="I51" s="30" t="n"/>
      <c r="J51" s="18" t="n"/>
      <c r="K51" s="18" t="n"/>
      <c r="L51" s="26" t="n"/>
      <c r="M51" s="26" t="n"/>
      <c r="N51" s="26" t="n"/>
      <c r="O51" s="18" t="n"/>
    </row>
    <row r="52" ht="15" customHeight="1">
      <c r="A52" s="24" t="n"/>
      <c r="B52" s="18" t="n"/>
      <c r="C52" s="18" t="n"/>
      <c r="D52" s="30" t="n"/>
      <c r="E52" s="30" t="n"/>
      <c r="F52" s="30" t="n"/>
      <c r="G52" s="30" t="n"/>
      <c r="H52" s="30" t="n"/>
      <c r="I52" s="30" t="n"/>
      <c r="J52" s="18" t="n"/>
      <c r="K52" s="18" t="n"/>
      <c r="L52" s="26" t="n"/>
      <c r="M52" s="26" t="n"/>
      <c r="N52" s="26" t="n"/>
      <c r="O52" s="18" t="n"/>
    </row>
    <row r="53" ht="15" customHeight="1">
      <c r="A53" s="24" t="n"/>
      <c r="B53" s="18" t="n"/>
      <c r="C53" s="18" t="n"/>
      <c r="D53" s="30" t="n"/>
      <c r="E53" s="30" t="n"/>
      <c r="F53" s="30" t="n"/>
      <c r="G53" s="30" t="n"/>
      <c r="H53" s="30" t="n"/>
      <c r="I53" s="30" t="n"/>
      <c r="J53" s="18" t="n"/>
      <c r="K53" s="18" t="n"/>
      <c r="L53" s="26" t="n"/>
      <c r="M53" s="26" t="n"/>
      <c r="N53" s="26" t="n"/>
      <c r="O53" s="18" t="n"/>
    </row>
    <row r="54" ht="15" customHeight="1">
      <c r="A54" s="24" t="n"/>
      <c r="B54" s="18" t="n"/>
      <c r="C54" s="18" t="n"/>
      <c r="D54" s="30" t="n"/>
      <c r="E54" s="30" t="n"/>
      <c r="F54" s="30" t="n"/>
      <c r="G54" s="30" t="n"/>
      <c r="H54" s="30" t="n"/>
      <c r="I54" s="30" t="n"/>
      <c r="J54" s="18" t="n"/>
      <c r="K54" s="18" t="n"/>
      <c r="L54" s="26" t="n"/>
      <c r="M54" s="26" t="n"/>
      <c r="N54" s="26" t="n"/>
      <c r="O54" s="18" t="n"/>
    </row>
    <row r="55" ht="15" customHeight="1">
      <c r="A55" s="24" t="n"/>
      <c r="B55" s="18" t="n"/>
      <c r="C55" s="18" t="n"/>
      <c r="D55" s="30" t="n"/>
      <c r="E55" s="30" t="n"/>
      <c r="F55" s="30" t="n"/>
      <c r="G55" s="30" t="n"/>
      <c r="H55" s="30" t="n"/>
      <c r="I55" s="30" t="n"/>
      <c r="J55" s="18" t="n"/>
      <c r="K55" s="18" t="n"/>
      <c r="L55" s="26" t="n"/>
      <c r="M55" s="26" t="n"/>
      <c r="N55" s="26" t="n"/>
      <c r="O55" s="18" t="n"/>
    </row>
    <row r="56" ht="15" customHeight="1">
      <c r="A56" s="24" t="n"/>
      <c r="B56" s="18" t="n"/>
      <c r="C56" s="18" t="n"/>
      <c r="D56" s="30" t="n"/>
      <c r="E56" s="30" t="n"/>
      <c r="F56" s="30" t="n"/>
      <c r="G56" s="30" t="n"/>
      <c r="H56" s="30" t="n"/>
      <c r="I56" s="30" t="n"/>
      <c r="J56" s="18" t="n"/>
      <c r="K56" s="18" t="n"/>
      <c r="L56" s="26" t="n"/>
      <c r="M56" s="26" t="n"/>
      <c r="N56" s="26" t="n"/>
      <c r="O56" s="18" t="n"/>
    </row>
    <row r="57" ht="15" customHeight="1">
      <c r="A57" s="24" t="n"/>
      <c r="B57" s="18" t="n"/>
      <c r="C57" s="18" t="n"/>
      <c r="D57" s="30" t="n"/>
      <c r="E57" s="30" t="n"/>
      <c r="F57" s="30" t="n"/>
      <c r="G57" s="30" t="n"/>
      <c r="H57" s="30" t="n"/>
      <c r="I57" s="30" t="n"/>
      <c r="J57" s="18" t="n"/>
      <c r="K57" s="18" t="n"/>
      <c r="L57" s="26" t="n"/>
      <c r="M57" s="26" t="n"/>
      <c r="N57" s="26" t="n"/>
      <c r="O57" s="18" t="n"/>
    </row>
    <row r="58" ht="15" customHeight="1">
      <c r="A58" s="24" t="n"/>
      <c r="B58" s="18" t="n"/>
      <c r="C58" s="18" t="n"/>
      <c r="D58" s="30" t="n"/>
      <c r="E58" s="30" t="n"/>
      <c r="F58" s="30" t="n"/>
      <c r="G58" s="30" t="n"/>
      <c r="H58" s="30" t="n"/>
      <c r="I58" s="30" t="n"/>
      <c r="J58" s="18" t="n"/>
      <c r="K58" s="18" t="n"/>
      <c r="L58" s="26" t="n"/>
      <c r="M58" s="26" t="n"/>
      <c r="N58" s="26" t="n"/>
      <c r="O58" s="18" t="n"/>
    </row>
    <row r="59" ht="15" customHeight="1">
      <c r="A59" s="24" t="n"/>
      <c r="B59" s="18" t="n"/>
      <c r="C59" s="18" t="n"/>
      <c r="D59" s="30" t="n"/>
      <c r="E59" s="30" t="n"/>
      <c r="F59" s="30" t="n"/>
      <c r="G59" s="30" t="n"/>
      <c r="H59" s="30" t="n"/>
      <c r="I59" s="30" t="n"/>
      <c r="J59" s="18" t="n"/>
      <c r="K59" s="18" t="n"/>
      <c r="L59" s="26" t="n"/>
      <c r="M59" s="26" t="n"/>
      <c r="N59" s="26" t="n"/>
      <c r="O59" s="18" t="n"/>
    </row>
    <row r="60" ht="15" customHeight="1">
      <c r="A60" s="24" t="n"/>
      <c r="B60" s="18" t="n"/>
      <c r="C60" s="18" t="n"/>
      <c r="D60" s="30" t="n"/>
      <c r="E60" s="30" t="n"/>
      <c r="F60" s="30" t="n"/>
      <c r="G60" s="30" t="n"/>
      <c r="H60" s="30" t="n"/>
      <c r="I60" s="30" t="n"/>
      <c r="J60" s="18" t="n"/>
      <c r="K60" s="18" t="n"/>
      <c r="L60" s="26" t="n"/>
      <c r="M60" s="26" t="n"/>
      <c r="N60" s="26" t="n"/>
      <c r="O60" s="18" t="n"/>
    </row>
    <row r="61" ht="15" customHeight="1">
      <c r="A61" s="24" t="n"/>
      <c r="B61" s="18" t="n"/>
      <c r="C61" s="18" t="n"/>
      <c r="D61" s="30" t="n"/>
      <c r="E61" s="30" t="n"/>
      <c r="F61" s="30" t="n"/>
      <c r="G61" s="30" t="n"/>
      <c r="H61" s="30" t="n"/>
      <c r="I61" s="30" t="n"/>
      <c r="J61" s="18" t="n"/>
      <c r="K61" s="18" t="n"/>
      <c r="L61" s="26" t="n"/>
      <c r="M61" s="26" t="n"/>
      <c r="N61" s="26" t="n"/>
      <c r="O61" s="18" t="n"/>
    </row>
    <row r="62" ht="15" customHeight="1">
      <c r="A62" s="24" t="n"/>
      <c r="B62" s="18" t="n"/>
      <c r="C62" s="18" t="n"/>
      <c r="D62" s="30" t="n"/>
      <c r="E62" s="30" t="n"/>
      <c r="F62" s="30" t="n"/>
      <c r="G62" s="30" t="n"/>
      <c r="H62" s="30" t="n"/>
      <c r="I62" s="30" t="n"/>
      <c r="J62" s="18" t="n"/>
      <c r="K62" s="18" t="n"/>
      <c r="L62" s="26" t="n"/>
      <c r="M62" s="26" t="n"/>
      <c r="N62" s="26" t="n"/>
      <c r="O62" s="18" t="n"/>
    </row>
    <row r="63" ht="15" customHeight="1">
      <c r="A63" s="24" t="n"/>
      <c r="B63" s="18" t="n"/>
      <c r="C63" s="18" t="n"/>
      <c r="D63" s="30" t="n"/>
      <c r="E63" s="30" t="n"/>
      <c r="F63" s="30" t="n"/>
      <c r="G63" s="30" t="n"/>
      <c r="H63" s="30" t="n"/>
      <c r="I63" s="30" t="n"/>
      <c r="J63" s="18" t="n"/>
      <c r="K63" s="18" t="n"/>
      <c r="L63" s="26" t="n"/>
      <c r="M63" s="26" t="n"/>
      <c r="N63" s="26" t="n"/>
      <c r="O63" s="18" t="n"/>
    </row>
    <row r="64" ht="15" customHeight="1">
      <c r="A64" s="24" t="n"/>
      <c r="B64" s="18" t="n"/>
      <c r="C64" s="18" t="n"/>
      <c r="D64" s="30" t="n"/>
      <c r="E64" s="30" t="n"/>
      <c r="F64" s="30" t="n"/>
      <c r="G64" s="30" t="n"/>
      <c r="H64" s="30" t="n"/>
      <c r="I64" s="30" t="n"/>
      <c r="J64" s="18" t="n"/>
      <c r="K64" s="18" t="n"/>
      <c r="L64" s="26" t="n"/>
      <c r="M64" s="26" t="n"/>
      <c r="N64" s="26" t="n"/>
      <c r="O64" s="18" t="n"/>
    </row>
    <row r="65" ht="15" customHeight="1">
      <c r="A65" s="24" t="n"/>
      <c r="B65" s="18" t="n"/>
      <c r="C65" s="18" t="n"/>
      <c r="D65" s="30" t="n"/>
      <c r="E65" s="30" t="n"/>
      <c r="F65" s="30" t="n"/>
      <c r="G65" s="30" t="n"/>
      <c r="H65" s="30" t="n"/>
      <c r="I65" s="30" t="n"/>
      <c r="J65" s="18" t="n"/>
      <c r="K65" s="18" t="n"/>
      <c r="L65" s="26" t="n"/>
      <c r="M65" s="26" t="n"/>
      <c r="N65" s="26" t="n"/>
      <c r="O65" s="18" t="n"/>
    </row>
    <row r="66" ht="15" customHeight="1">
      <c r="A66" s="24" t="n"/>
      <c r="B66" s="18" t="n"/>
      <c r="C66" s="18" t="n"/>
      <c r="D66" s="30" t="n"/>
      <c r="E66" s="30" t="n"/>
      <c r="F66" s="30" t="n"/>
      <c r="G66" s="30" t="n"/>
      <c r="H66" s="30" t="n"/>
      <c r="I66" s="30" t="n"/>
      <c r="J66" s="18" t="n"/>
      <c r="K66" s="18" t="n"/>
      <c r="L66" s="26" t="n"/>
      <c r="M66" s="26" t="n"/>
      <c r="N66" s="26" t="n"/>
      <c r="O66" s="18" t="n"/>
    </row>
  </sheetData>
  <mergeCells count="8">
    <mergeCell ref="F4:G4"/>
    <mergeCell ref="J4:K4"/>
    <mergeCell ref="A2:O2"/>
    <mergeCell ref="L4:M4"/>
    <mergeCell ref="A1:O1"/>
    <mergeCell ref="D4:E4"/>
    <mergeCell ref="H4:I4"/>
    <mergeCell ref="B4:C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030A0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6" customWidth="1" min="4" max="4"/>
    <col width="14" customWidth="1" min="5" max="5"/>
    <col width="16" customWidth="1" min="6" max="6"/>
    <col width="16" customWidth="1" min="7" max="7"/>
    <col width="12" customWidth="1" min="8" max="8"/>
    <col width="12" customWidth="1" min="9" max="9"/>
    <col width="12" customWidth="1" min="10" max="10"/>
    <col width="26" customWidth="1" min="11" max="11"/>
  </cols>
  <sheetData>
    <row r="1" ht="26" customHeight="1">
      <c r="A1" s="1" t="inlineStr">
        <is>
          <t>COST CENTERS</t>
        </is>
      </c>
    </row>
    <row r="2">
      <c r="A2" s="2" t="inlineStr">
        <is>
          <t>Estrutura de acumulacao. Reprocesso tem centro proprio (nao contamina equipe principal).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COST_CENTER_ID</t>
        </is>
      </c>
      <c r="B6" s="5" t="inlineStr">
        <is>
          <t>Descricao</t>
        </is>
      </c>
      <c r="C6" s="5" t="inlineStr">
        <is>
          <t>Tipo</t>
        </is>
      </c>
      <c r="D6" s="5" t="inlineStr">
        <is>
          <t>Responsavel</t>
        </is>
      </c>
      <c r="E6" s="5" t="inlineStr">
        <is>
          <t>Custo fixo mes R$</t>
        </is>
      </c>
      <c r="F6" s="5" t="inlineStr">
        <is>
          <t>Fonte</t>
        </is>
      </c>
      <c r="G6" s="5" t="inlineStr">
        <is>
          <t>Responsavel</t>
        </is>
      </c>
      <c r="H6" s="5" t="inlineStr">
        <is>
          <t>Vigencia ini</t>
        </is>
      </c>
      <c r="I6" s="5" t="inlineStr">
        <is>
          <t>Vigencia fim</t>
        </is>
      </c>
      <c r="J6" s="5" t="inlineStr">
        <is>
          <t>Atualizado em</t>
        </is>
      </c>
      <c r="K6" s="5" t="inlineStr">
        <is>
          <t>Comentario</t>
        </is>
      </c>
    </row>
    <row r="7" ht="15" customHeight="1">
      <c r="A7" s="24" t="inlineStr">
        <is>
          <t>CC-PROD</t>
        </is>
      </c>
      <c r="B7" s="18" t="inlineStr">
        <is>
          <t>Producao principal</t>
        </is>
      </c>
      <c r="C7" s="18" t="inlineStr">
        <is>
          <t>Produtivo</t>
        </is>
      </c>
      <c r="D7" s="18" t="inlineStr">
        <is>
          <t>Sup. Producao</t>
        </is>
      </c>
      <c r="E7" s="30" t="n">
        <v>30000</v>
      </c>
      <c r="F7" s="18" t="n"/>
      <c r="G7" s="18" t="n"/>
      <c r="H7" s="26" t="n"/>
      <c r="I7" s="26" t="n"/>
      <c r="J7" s="26" t="n"/>
      <c r="K7" s="18" t="n"/>
    </row>
    <row r="8" ht="15" customHeight="1">
      <c r="A8" s="24" t="inlineStr">
        <is>
          <t>CC-REPRO</t>
        </is>
      </c>
      <c r="B8" s="18" t="inlineStr">
        <is>
          <t>Reprocesso</t>
        </is>
      </c>
      <c r="C8" s="18" t="inlineStr">
        <is>
          <t>Produtivo (separado)</t>
        </is>
      </c>
      <c r="D8" s="18" t="inlineStr">
        <is>
          <t>Sup. Producao</t>
        </is>
      </c>
      <c r="E8" s="30" t="n">
        <v>4000</v>
      </c>
      <c r="F8" s="18" t="n"/>
      <c r="G8" s="18" t="n"/>
      <c r="H8" s="26" t="n"/>
      <c r="I8" s="26" t="n"/>
      <c r="J8" s="26" t="n"/>
      <c r="K8" s="18" t="n"/>
    </row>
    <row r="9" ht="15" customHeight="1">
      <c r="A9" s="24" t="inlineStr">
        <is>
          <t>CC-LAB</t>
        </is>
      </c>
      <c r="B9" s="18" t="inlineStr">
        <is>
          <t>Laboratorio/Qualidade</t>
        </is>
      </c>
      <c r="C9" s="18" t="inlineStr">
        <is>
          <t>Apoio</t>
        </is>
      </c>
      <c r="D9" s="18" t="inlineStr">
        <is>
          <t>Qualidade</t>
        </is>
      </c>
      <c r="E9" s="30" t="n">
        <v>6000</v>
      </c>
      <c r="F9" s="18" t="n"/>
      <c r="G9" s="18" t="n"/>
      <c r="H9" s="26" t="n"/>
      <c r="I9" s="26" t="n"/>
      <c r="J9" s="26" t="n"/>
      <c r="K9" s="18" t="n"/>
    </row>
    <row r="10" ht="15" customHeight="1">
      <c r="A10" s="24" t="inlineStr">
        <is>
          <t>CC-MANUT</t>
        </is>
      </c>
      <c r="B10" s="18" t="inlineStr">
        <is>
          <t>Manutencao</t>
        </is>
      </c>
      <c r="C10" s="18" t="inlineStr">
        <is>
          <t>Apoio</t>
        </is>
      </c>
      <c r="D10" s="18" t="inlineStr">
        <is>
          <t>Manutencao</t>
        </is>
      </c>
      <c r="E10" s="30" t="n">
        <v>8000</v>
      </c>
      <c r="F10" s="18" t="n"/>
      <c r="G10" s="18" t="n"/>
      <c r="H10" s="26" t="n"/>
      <c r="I10" s="26" t="n"/>
      <c r="J10" s="26" t="n"/>
      <c r="K10" s="18" t="n"/>
    </row>
    <row r="11" ht="15" customHeight="1">
      <c r="A11" s="24" t="n"/>
      <c r="B11" s="18" t="n"/>
      <c r="C11" s="18" t="n"/>
      <c r="D11" s="18" t="n"/>
      <c r="E11" s="30" t="n"/>
      <c r="F11" s="18" t="n"/>
      <c r="G11" s="18" t="n"/>
      <c r="H11" s="26" t="n"/>
      <c r="I11" s="26" t="n"/>
      <c r="J11" s="26" t="n"/>
      <c r="K11" s="18" t="n"/>
    </row>
    <row r="12" ht="15" customHeight="1">
      <c r="A12" s="27" t="inlineStr">
        <is>
          <t>^ Linhas acima = dados DEMO (marcados). Abaixo: campos de entrada em branco para dados reais.</t>
        </is>
      </c>
      <c r="B12" s="18" t="n"/>
      <c r="C12" s="18" t="n"/>
      <c r="D12" s="18" t="n"/>
      <c r="E12" s="30" t="n"/>
      <c r="F12" s="18" t="n"/>
      <c r="G12" s="18" t="n"/>
      <c r="H12" s="26" t="n"/>
      <c r="I12" s="26" t="n"/>
      <c r="J12" s="26" t="n"/>
      <c r="K12" s="18" t="n"/>
    </row>
    <row r="13" ht="15" customHeight="1">
      <c r="A13" s="24" t="n"/>
      <c r="B13" s="18" t="n"/>
      <c r="C13" s="18" t="n"/>
      <c r="D13" s="18" t="n"/>
      <c r="E13" s="30" t="n"/>
      <c r="F13" s="18" t="n"/>
      <c r="G13" s="18" t="n"/>
      <c r="H13" s="26" t="n"/>
      <c r="I13" s="26" t="n"/>
      <c r="J13" s="26" t="n"/>
      <c r="K13" s="18" t="n"/>
    </row>
    <row r="14" ht="15" customHeight="1">
      <c r="A14" s="24" t="n"/>
      <c r="B14" s="18" t="n"/>
      <c r="C14" s="18" t="n"/>
      <c r="D14" s="18" t="n"/>
      <c r="E14" s="30" t="n"/>
      <c r="F14" s="18" t="n"/>
      <c r="G14" s="18" t="n"/>
      <c r="H14" s="26" t="n"/>
      <c r="I14" s="26" t="n"/>
      <c r="J14" s="26" t="n"/>
      <c r="K14" s="18" t="n"/>
    </row>
    <row r="15" ht="15" customHeight="1">
      <c r="A15" s="24" t="n"/>
      <c r="B15" s="18" t="n"/>
      <c r="C15" s="18" t="n"/>
      <c r="D15" s="18" t="n"/>
      <c r="E15" s="30" t="n"/>
      <c r="F15" s="18" t="n"/>
      <c r="G15" s="18" t="n"/>
      <c r="H15" s="26" t="n"/>
      <c r="I15" s="26" t="n"/>
      <c r="J15" s="26" t="n"/>
      <c r="K15" s="18" t="n"/>
    </row>
    <row r="16" ht="15" customHeight="1">
      <c r="A16" s="24" t="n"/>
      <c r="B16" s="18" t="n"/>
      <c r="C16" s="18" t="n"/>
      <c r="D16" s="18" t="n"/>
      <c r="E16" s="30" t="n"/>
      <c r="F16" s="18" t="n"/>
      <c r="G16" s="18" t="n"/>
      <c r="H16" s="26" t="n"/>
      <c r="I16" s="26" t="n"/>
      <c r="J16" s="26" t="n"/>
      <c r="K16" s="18" t="n"/>
    </row>
    <row r="17" ht="15" customHeight="1">
      <c r="A17" s="24" t="n"/>
      <c r="B17" s="18" t="n"/>
      <c r="C17" s="18" t="n"/>
      <c r="D17" s="18" t="n"/>
      <c r="E17" s="30" t="n"/>
      <c r="F17" s="18" t="n"/>
      <c r="G17" s="18" t="n"/>
      <c r="H17" s="26" t="n"/>
      <c r="I17" s="26" t="n"/>
      <c r="J17" s="26" t="n"/>
      <c r="K17" s="18" t="n"/>
    </row>
    <row r="18" ht="15" customHeight="1">
      <c r="A18" s="24" t="n"/>
      <c r="B18" s="18" t="n"/>
      <c r="C18" s="18" t="n"/>
      <c r="D18" s="18" t="n"/>
      <c r="E18" s="30" t="n"/>
      <c r="F18" s="18" t="n"/>
      <c r="G18" s="18" t="n"/>
      <c r="H18" s="26" t="n"/>
      <c r="I18" s="26" t="n"/>
      <c r="J18" s="26" t="n"/>
      <c r="K18" s="18" t="n"/>
    </row>
    <row r="19" ht="15" customHeight="1">
      <c r="A19" s="24" t="n"/>
      <c r="B19" s="18" t="n"/>
      <c r="C19" s="18" t="n"/>
      <c r="D19" s="18" t="n"/>
      <c r="E19" s="30" t="n"/>
      <c r="F19" s="18" t="n"/>
      <c r="G19" s="18" t="n"/>
      <c r="H19" s="26" t="n"/>
      <c r="I19" s="26" t="n"/>
      <c r="J19" s="26" t="n"/>
      <c r="K19" s="18" t="n"/>
    </row>
    <row r="20" ht="15" customHeight="1">
      <c r="A20" s="24" t="n"/>
      <c r="B20" s="18" t="n"/>
      <c r="C20" s="18" t="n"/>
      <c r="D20" s="18" t="n"/>
      <c r="E20" s="30" t="n"/>
      <c r="F20" s="18" t="n"/>
      <c r="G20" s="18" t="n"/>
      <c r="H20" s="26" t="n"/>
      <c r="I20" s="26" t="n"/>
      <c r="J20" s="26" t="n"/>
      <c r="K20" s="18" t="n"/>
    </row>
    <row r="21" ht="15" customHeight="1">
      <c r="A21" s="24" t="n"/>
      <c r="B21" s="18" t="n"/>
      <c r="C21" s="18" t="n"/>
      <c r="D21" s="18" t="n"/>
      <c r="E21" s="30" t="n"/>
      <c r="F21" s="18" t="n"/>
      <c r="G21" s="18" t="n"/>
      <c r="H21" s="26" t="n"/>
      <c r="I21" s="26" t="n"/>
      <c r="J21" s="26" t="n"/>
      <c r="K21" s="18" t="n"/>
    </row>
    <row r="22" ht="15" customHeight="1">
      <c r="A22" s="24" t="n"/>
      <c r="B22" s="18" t="n"/>
      <c r="C22" s="18" t="n"/>
      <c r="D22" s="18" t="n"/>
      <c r="E22" s="30" t="n"/>
      <c r="F22" s="18" t="n"/>
      <c r="G22" s="18" t="n"/>
      <c r="H22" s="26" t="n"/>
      <c r="I22" s="26" t="n"/>
      <c r="J22" s="26" t="n"/>
      <c r="K22" s="18" t="n"/>
    </row>
    <row r="23" ht="15" customHeight="1">
      <c r="A23" s="24" t="n"/>
      <c r="B23" s="18" t="n"/>
      <c r="C23" s="18" t="n"/>
      <c r="D23" s="18" t="n"/>
      <c r="E23" s="30" t="n"/>
      <c r="F23" s="18" t="n"/>
      <c r="G23" s="18" t="n"/>
      <c r="H23" s="26" t="n"/>
      <c r="I23" s="26" t="n"/>
      <c r="J23" s="26" t="n"/>
      <c r="K23" s="18" t="n"/>
    </row>
    <row r="24" ht="15" customHeight="1">
      <c r="A24" s="24" t="n"/>
      <c r="B24" s="18" t="n"/>
      <c r="C24" s="18" t="n"/>
      <c r="D24" s="18" t="n"/>
      <c r="E24" s="30" t="n"/>
      <c r="F24" s="18" t="n"/>
      <c r="G24" s="18" t="n"/>
      <c r="H24" s="26" t="n"/>
      <c r="I24" s="26" t="n"/>
      <c r="J24" s="26" t="n"/>
      <c r="K24" s="18" t="n"/>
    </row>
    <row r="25" ht="15" customHeight="1">
      <c r="A25" s="24" t="n"/>
      <c r="B25" s="18" t="n"/>
      <c r="C25" s="18" t="n"/>
      <c r="D25" s="18" t="n"/>
      <c r="E25" s="30" t="n"/>
      <c r="F25" s="18" t="n"/>
      <c r="G25" s="18" t="n"/>
      <c r="H25" s="26" t="n"/>
      <c r="I25" s="26" t="n"/>
      <c r="J25" s="26" t="n"/>
      <c r="K25" s="18" t="n"/>
    </row>
    <row r="26" ht="15" customHeight="1">
      <c r="A26" s="24" t="n"/>
      <c r="B26" s="18" t="n"/>
      <c r="C26" s="18" t="n"/>
      <c r="D26" s="18" t="n"/>
      <c r="E26" s="30" t="n"/>
      <c r="F26" s="18" t="n"/>
      <c r="G26" s="18" t="n"/>
      <c r="H26" s="26" t="n"/>
      <c r="I26" s="26" t="n"/>
      <c r="J26" s="26" t="n"/>
      <c r="K26" s="18" t="n"/>
    </row>
    <row r="27" ht="15" customHeight="1">
      <c r="A27" s="24" t="n"/>
      <c r="B27" s="18" t="n"/>
      <c r="C27" s="18" t="n"/>
      <c r="D27" s="18" t="n"/>
      <c r="E27" s="30" t="n"/>
      <c r="F27" s="18" t="n"/>
      <c r="G27" s="18" t="n"/>
      <c r="H27" s="26" t="n"/>
      <c r="I27" s="26" t="n"/>
      <c r="J27" s="26" t="n"/>
      <c r="K27" s="18" t="n"/>
    </row>
    <row r="28" ht="15" customHeight="1">
      <c r="A28" s="24" t="n"/>
      <c r="B28" s="18" t="n"/>
      <c r="C28" s="18" t="n"/>
      <c r="D28" s="18" t="n"/>
      <c r="E28" s="30" t="n"/>
      <c r="F28" s="18" t="n"/>
      <c r="G28" s="18" t="n"/>
      <c r="H28" s="26" t="n"/>
      <c r="I28" s="26" t="n"/>
      <c r="J28" s="26" t="n"/>
      <c r="K28" s="18" t="n"/>
    </row>
    <row r="29" ht="15" customHeight="1">
      <c r="A29" s="24" t="n"/>
      <c r="B29" s="18" t="n"/>
      <c r="C29" s="18" t="n"/>
      <c r="D29" s="18" t="n"/>
      <c r="E29" s="30" t="n"/>
      <c r="F29" s="18" t="n"/>
      <c r="G29" s="18" t="n"/>
      <c r="H29" s="26" t="n"/>
      <c r="I29" s="26" t="n"/>
      <c r="J29" s="26" t="n"/>
      <c r="K29" s="18" t="n"/>
    </row>
    <row r="30" ht="15" customHeight="1">
      <c r="A30" s="24" t="n"/>
      <c r="B30" s="18" t="n"/>
      <c r="C30" s="18" t="n"/>
      <c r="D30" s="18" t="n"/>
      <c r="E30" s="30" t="n"/>
      <c r="F30" s="18" t="n"/>
      <c r="G30" s="18" t="n"/>
      <c r="H30" s="26" t="n"/>
      <c r="I30" s="26" t="n"/>
      <c r="J30" s="26" t="n"/>
      <c r="K30" s="18" t="n"/>
    </row>
    <row r="31" ht="15" customHeight="1">
      <c r="A31" s="24" t="n"/>
      <c r="B31" s="18" t="n"/>
      <c r="C31" s="18" t="n"/>
      <c r="D31" s="18" t="n"/>
      <c r="E31" s="30" t="n"/>
      <c r="F31" s="18" t="n"/>
      <c r="G31" s="18" t="n"/>
      <c r="H31" s="26" t="n"/>
      <c r="I31" s="26" t="n"/>
      <c r="J31" s="26" t="n"/>
      <c r="K31" s="18" t="n"/>
    </row>
    <row r="32" ht="15" customHeight="1">
      <c r="A32" s="24" t="n"/>
      <c r="B32" s="18" t="n"/>
      <c r="C32" s="18" t="n"/>
      <c r="D32" s="18" t="n"/>
      <c r="E32" s="30" t="n"/>
      <c r="F32" s="18" t="n"/>
      <c r="G32" s="18" t="n"/>
      <c r="H32" s="26" t="n"/>
      <c r="I32" s="26" t="n"/>
      <c r="J32" s="26" t="n"/>
      <c r="K32" s="18" t="n"/>
    </row>
    <row r="33" ht="15" customHeight="1">
      <c r="A33" s="24" t="n"/>
      <c r="B33" s="18" t="n"/>
      <c r="C33" s="18" t="n"/>
      <c r="D33" s="18" t="n"/>
      <c r="E33" s="30" t="n"/>
      <c r="F33" s="18" t="n"/>
      <c r="G33" s="18" t="n"/>
      <c r="H33" s="26" t="n"/>
      <c r="I33" s="26" t="n"/>
      <c r="J33" s="26" t="n"/>
      <c r="K33" s="18" t="n"/>
    </row>
    <row r="34" ht="15" customHeight="1">
      <c r="A34" s="24" t="n"/>
      <c r="B34" s="18" t="n"/>
      <c r="C34" s="18" t="n"/>
      <c r="D34" s="18" t="n"/>
      <c r="E34" s="30" t="n"/>
      <c r="F34" s="18" t="n"/>
      <c r="G34" s="18" t="n"/>
      <c r="H34" s="26" t="n"/>
      <c r="I34" s="26" t="n"/>
      <c r="J34" s="26" t="n"/>
      <c r="K34" s="18" t="n"/>
    </row>
    <row r="35" ht="15" customHeight="1">
      <c r="A35" s="24" t="n"/>
      <c r="B35" s="18" t="n"/>
      <c r="C35" s="18" t="n"/>
      <c r="D35" s="18" t="n"/>
      <c r="E35" s="30" t="n"/>
      <c r="F35" s="18" t="n"/>
      <c r="G35" s="18" t="n"/>
      <c r="H35" s="26" t="n"/>
      <c r="I35" s="26" t="n"/>
      <c r="J35" s="26" t="n"/>
      <c r="K35" s="18" t="n"/>
    </row>
    <row r="36" ht="15" customHeight="1">
      <c r="A36" s="24" t="n"/>
      <c r="B36" s="18" t="n"/>
      <c r="C36" s="18" t="n"/>
      <c r="D36" s="18" t="n"/>
      <c r="E36" s="30" t="n"/>
      <c r="F36" s="18" t="n"/>
      <c r="G36" s="18" t="n"/>
      <c r="H36" s="26" t="n"/>
      <c r="I36" s="26" t="n"/>
      <c r="J36" s="26" t="n"/>
      <c r="K36" s="18" t="n"/>
    </row>
    <row r="37" ht="15" customHeight="1">
      <c r="A37" s="24" t="n"/>
      <c r="B37" s="18" t="n"/>
      <c r="C37" s="18" t="n"/>
      <c r="D37" s="18" t="n"/>
      <c r="E37" s="30" t="n"/>
      <c r="F37" s="18" t="n"/>
      <c r="G37" s="18" t="n"/>
      <c r="H37" s="26" t="n"/>
      <c r="I37" s="26" t="n"/>
      <c r="J37" s="26" t="n"/>
      <c r="K37" s="18" t="n"/>
    </row>
    <row r="38" ht="15" customHeight="1">
      <c r="A38" s="24" t="n"/>
      <c r="B38" s="18" t="n"/>
      <c r="C38" s="18" t="n"/>
      <c r="D38" s="18" t="n"/>
      <c r="E38" s="30" t="n"/>
      <c r="F38" s="18" t="n"/>
      <c r="G38" s="18" t="n"/>
      <c r="H38" s="26" t="n"/>
      <c r="I38" s="26" t="n"/>
      <c r="J38" s="26" t="n"/>
      <c r="K38" s="18" t="n"/>
    </row>
    <row r="39" ht="15" customHeight="1">
      <c r="A39" s="24" t="n"/>
      <c r="B39" s="18" t="n"/>
      <c r="C39" s="18" t="n"/>
      <c r="D39" s="18" t="n"/>
      <c r="E39" s="30" t="n"/>
      <c r="F39" s="18" t="n"/>
      <c r="G39" s="18" t="n"/>
      <c r="H39" s="26" t="n"/>
      <c r="I39" s="26" t="n"/>
      <c r="J39" s="26" t="n"/>
      <c r="K39" s="18" t="n"/>
    </row>
    <row r="40" ht="15" customHeight="1">
      <c r="A40" s="24" t="n"/>
      <c r="B40" s="18" t="n"/>
      <c r="C40" s="18" t="n"/>
      <c r="D40" s="18" t="n"/>
      <c r="E40" s="30" t="n"/>
      <c r="F40" s="18" t="n"/>
      <c r="G40" s="18" t="n"/>
      <c r="H40" s="26" t="n"/>
      <c r="I40" s="26" t="n"/>
      <c r="J40" s="26" t="n"/>
      <c r="K40" s="18" t="n"/>
    </row>
    <row r="41" ht="15" customHeight="1">
      <c r="A41" s="24" t="n"/>
      <c r="B41" s="18" t="n"/>
      <c r="C41" s="18" t="n"/>
      <c r="D41" s="18" t="n"/>
      <c r="E41" s="30" t="n"/>
      <c r="F41" s="18" t="n"/>
      <c r="G41" s="18" t="n"/>
      <c r="H41" s="26" t="n"/>
      <c r="I41" s="26" t="n"/>
      <c r="J41" s="26" t="n"/>
      <c r="K41" s="18" t="n"/>
    </row>
    <row r="42" ht="15" customHeight="1">
      <c r="A42" s="24" t="n"/>
      <c r="B42" s="18" t="n"/>
      <c r="C42" s="18" t="n"/>
      <c r="D42" s="18" t="n"/>
      <c r="E42" s="30" t="n"/>
      <c r="F42" s="18" t="n"/>
      <c r="G42" s="18" t="n"/>
      <c r="H42" s="26" t="n"/>
      <c r="I42" s="26" t="n"/>
      <c r="J42" s="26" t="n"/>
      <c r="K42" s="18" t="n"/>
    </row>
    <row r="43" ht="15" customHeight="1">
      <c r="A43" s="24" t="n"/>
      <c r="B43" s="18" t="n"/>
      <c r="C43" s="18" t="n"/>
      <c r="D43" s="18" t="n"/>
      <c r="E43" s="30" t="n"/>
      <c r="F43" s="18" t="n"/>
      <c r="G43" s="18" t="n"/>
      <c r="H43" s="26" t="n"/>
      <c r="I43" s="26" t="n"/>
      <c r="J43" s="26" t="n"/>
      <c r="K43" s="18" t="n"/>
    </row>
    <row r="44" ht="15" customHeight="1">
      <c r="A44" s="24" t="n"/>
      <c r="B44" s="18" t="n"/>
      <c r="C44" s="18" t="n"/>
      <c r="D44" s="18" t="n"/>
      <c r="E44" s="30" t="n"/>
      <c r="F44" s="18" t="n"/>
      <c r="G44" s="18" t="n"/>
      <c r="H44" s="26" t="n"/>
      <c r="I44" s="26" t="n"/>
      <c r="J44" s="26" t="n"/>
      <c r="K44" s="18" t="n"/>
    </row>
    <row r="45" ht="15" customHeight="1">
      <c r="A45" s="24" t="n"/>
      <c r="B45" s="18" t="n"/>
      <c r="C45" s="18" t="n"/>
      <c r="D45" s="18" t="n"/>
      <c r="E45" s="30" t="n"/>
      <c r="F45" s="18" t="n"/>
      <c r="G45" s="18" t="n"/>
      <c r="H45" s="26" t="n"/>
      <c r="I45" s="26" t="n"/>
      <c r="J45" s="26" t="n"/>
      <c r="K45" s="18" t="n"/>
    </row>
    <row r="46" ht="15" customHeight="1">
      <c r="A46" s="24" t="n"/>
      <c r="B46" s="18" t="n"/>
      <c r="C46" s="18" t="n"/>
      <c r="D46" s="18" t="n"/>
      <c r="E46" s="30" t="n"/>
      <c r="F46" s="18" t="n"/>
      <c r="G46" s="18" t="n"/>
      <c r="H46" s="26" t="n"/>
      <c r="I46" s="26" t="n"/>
      <c r="J46" s="26" t="n"/>
      <c r="K46" s="18" t="n"/>
    </row>
    <row r="47" ht="15" customHeight="1">
      <c r="A47" s="24" t="n"/>
      <c r="B47" s="18" t="n"/>
      <c r="C47" s="18" t="n"/>
      <c r="D47" s="18" t="n"/>
      <c r="E47" s="30" t="n"/>
      <c r="F47" s="18" t="n"/>
      <c r="G47" s="18" t="n"/>
      <c r="H47" s="26" t="n"/>
      <c r="I47" s="26" t="n"/>
      <c r="J47" s="26" t="n"/>
      <c r="K47" s="18" t="n"/>
    </row>
    <row r="48" ht="15" customHeight="1">
      <c r="A48" s="24" t="n"/>
      <c r="B48" s="18" t="n"/>
      <c r="C48" s="18" t="n"/>
      <c r="D48" s="18" t="n"/>
      <c r="E48" s="30" t="n"/>
      <c r="F48" s="18" t="n"/>
      <c r="G48" s="18" t="n"/>
      <c r="H48" s="26" t="n"/>
      <c r="I48" s="26" t="n"/>
      <c r="J48" s="26" t="n"/>
      <c r="K48" s="18" t="n"/>
    </row>
    <row r="49" ht="15" customHeight="1">
      <c r="A49" s="24" t="n"/>
      <c r="B49" s="18" t="n"/>
      <c r="C49" s="18" t="n"/>
      <c r="D49" s="18" t="n"/>
      <c r="E49" s="30" t="n"/>
      <c r="F49" s="18" t="n"/>
      <c r="G49" s="18" t="n"/>
      <c r="H49" s="26" t="n"/>
      <c r="I49" s="26" t="n"/>
      <c r="J49" s="26" t="n"/>
      <c r="K49" s="18" t="n"/>
    </row>
    <row r="50" ht="15" customHeight="1">
      <c r="A50" s="24" t="n"/>
      <c r="B50" s="18" t="n"/>
      <c r="C50" s="18" t="n"/>
      <c r="D50" s="18" t="n"/>
      <c r="E50" s="30" t="n"/>
      <c r="F50" s="18" t="n"/>
      <c r="G50" s="18" t="n"/>
      <c r="H50" s="26" t="n"/>
      <c r="I50" s="26" t="n"/>
      <c r="J50" s="26" t="n"/>
      <c r="K50" s="18" t="n"/>
    </row>
    <row r="51" ht="15" customHeight="1">
      <c r="A51" s="24" t="n"/>
      <c r="B51" s="18" t="n"/>
      <c r="C51" s="18" t="n"/>
      <c r="D51" s="18" t="n"/>
      <c r="E51" s="30" t="n"/>
      <c r="F51" s="18" t="n"/>
      <c r="G51" s="18" t="n"/>
      <c r="H51" s="26" t="n"/>
      <c r="I51" s="26" t="n"/>
      <c r="J51" s="26" t="n"/>
      <c r="K51" s="18" t="n"/>
    </row>
    <row r="52" ht="15" customHeight="1">
      <c r="A52" s="24" t="n"/>
      <c r="B52" s="18" t="n"/>
      <c r="C52" s="18" t="n"/>
      <c r="D52" s="18" t="n"/>
      <c r="E52" s="30" t="n"/>
      <c r="F52" s="18" t="n"/>
      <c r="G52" s="18" t="n"/>
      <c r="H52" s="26" t="n"/>
      <c r="I52" s="26" t="n"/>
      <c r="J52" s="26" t="n"/>
      <c r="K52" s="18" t="n"/>
    </row>
    <row r="53" ht="15" customHeight="1">
      <c r="A53" s="24" t="n"/>
      <c r="B53" s="18" t="n"/>
      <c r="C53" s="18" t="n"/>
      <c r="D53" s="18" t="n"/>
      <c r="E53" s="30" t="n"/>
      <c r="F53" s="18" t="n"/>
      <c r="G53" s="18" t="n"/>
      <c r="H53" s="26" t="n"/>
      <c r="I53" s="26" t="n"/>
      <c r="J53" s="26" t="n"/>
      <c r="K53" s="18" t="n"/>
    </row>
    <row r="54" ht="15" customHeight="1">
      <c r="A54" s="24" t="n"/>
      <c r="B54" s="18" t="n"/>
      <c r="C54" s="18" t="n"/>
      <c r="D54" s="18" t="n"/>
      <c r="E54" s="30" t="n"/>
      <c r="F54" s="18" t="n"/>
      <c r="G54" s="18" t="n"/>
      <c r="H54" s="26" t="n"/>
      <c r="I54" s="26" t="n"/>
      <c r="J54" s="26" t="n"/>
      <c r="K54" s="18" t="n"/>
    </row>
    <row r="55" ht="15" customHeight="1">
      <c r="A55" s="24" t="n"/>
      <c r="B55" s="18" t="n"/>
      <c r="C55" s="18" t="n"/>
      <c r="D55" s="18" t="n"/>
      <c r="E55" s="30" t="n"/>
      <c r="F55" s="18" t="n"/>
      <c r="G55" s="18" t="n"/>
      <c r="H55" s="26" t="n"/>
      <c r="I55" s="26" t="n"/>
      <c r="J55" s="26" t="n"/>
      <c r="K55" s="18" t="n"/>
    </row>
    <row r="56" ht="15" customHeight="1">
      <c r="A56" s="24" t="n"/>
      <c r="B56" s="18" t="n"/>
      <c r="C56" s="18" t="n"/>
      <c r="D56" s="18" t="n"/>
      <c r="E56" s="30" t="n"/>
      <c r="F56" s="18" t="n"/>
      <c r="G56" s="18" t="n"/>
      <c r="H56" s="26" t="n"/>
      <c r="I56" s="26" t="n"/>
      <c r="J56" s="26" t="n"/>
      <c r="K56" s="18" t="n"/>
    </row>
    <row r="57" ht="15" customHeight="1">
      <c r="A57" s="24" t="n"/>
      <c r="B57" s="18" t="n"/>
      <c r="C57" s="18" t="n"/>
      <c r="D57" s="18" t="n"/>
      <c r="E57" s="30" t="n"/>
      <c r="F57" s="18" t="n"/>
      <c r="G57" s="18" t="n"/>
      <c r="H57" s="26" t="n"/>
      <c r="I57" s="26" t="n"/>
      <c r="J57" s="26" t="n"/>
      <c r="K57" s="18" t="n"/>
    </row>
    <row r="58" ht="15" customHeight="1">
      <c r="A58" s="24" t="n"/>
      <c r="B58" s="18" t="n"/>
      <c r="C58" s="18" t="n"/>
      <c r="D58" s="18" t="n"/>
      <c r="E58" s="30" t="n"/>
      <c r="F58" s="18" t="n"/>
      <c r="G58" s="18" t="n"/>
      <c r="H58" s="26" t="n"/>
      <c r="I58" s="26" t="n"/>
      <c r="J58" s="26" t="n"/>
      <c r="K58" s="18" t="n"/>
    </row>
    <row r="59" ht="15" customHeight="1">
      <c r="A59" s="24" t="n"/>
      <c r="B59" s="18" t="n"/>
      <c r="C59" s="18" t="n"/>
      <c r="D59" s="18" t="n"/>
      <c r="E59" s="30" t="n"/>
      <c r="F59" s="18" t="n"/>
      <c r="G59" s="18" t="n"/>
      <c r="H59" s="26" t="n"/>
      <c r="I59" s="26" t="n"/>
      <c r="J59" s="26" t="n"/>
      <c r="K59" s="18" t="n"/>
    </row>
    <row r="60" ht="15" customHeight="1">
      <c r="A60" s="24" t="n"/>
      <c r="B60" s="18" t="n"/>
      <c r="C60" s="18" t="n"/>
      <c r="D60" s="18" t="n"/>
      <c r="E60" s="30" t="n"/>
      <c r="F60" s="18" t="n"/>
      <c r="G60" s="18" t="n"/>
      <c r="H60" s="26" t="n"/>
      <c r="I60" s="26" t="n"/>
      <c r="J60" s="26" t="n"/>
      <c r="K60" s="18" t="n"/>
    </row>
    <row r="61" ht="15" customHeight="1">
      <c r="A61" s="24" t="n"/>
      <c r="B61" s="18" t="n"/>
      <c r="C61" s="18" t="n"/>
      <c r="D61" s="18" t="n"/>
      <c r="E61" s="30" t="n"/>
      <c r="F61" s="18" t="n"/>
      <c r="G61" s="18" t="n"/>
      <c r="H61" s="26" t="n"/>
      <c r="I61" s="26" t="n"/>
      <c r="J61" s="26" t="n"/>
      <c r="K61" s="18" t="n"/>
    </row>
    <row r="62" ht="15" customHeight="1">
      <c r="A62" s="24" t="n"/>
      <c r="B62" s="18" t="n"/>
      <c r="C62" s="18" t="n"/>
      <c r="D62" s="18" t="n"/>
      <c r="E62" s="30" t="n"/>
      <c r="F62" s="18" t="n"/>
      <c r="G62" s="18" t="n"/>
      <c r="H62" s="26" t="n"/>
      <c r="I62" s="26" t="n"/>
      <c r="J62" s="26" t="n"/>
      <c r="K62" s="18" t="n"/>
    </row>
    <row r="63" ht="15" customHeight="1">
      <c r="A63" s="24" t="n"/>
      <c r="B63" s="18" t="n"/>
      <c r="C63" s="18" t="n"/>
      <c r="D63" s="18" t="n"/>
      <c r="E63" s="30" t="n"/>
      <c r="F63" s="18" t="n"/>
      <c r="G63" s="18" t="n"/>
      <c r="H63" s="26" t="n"/>
      <c r="I63" s="26" t="n"/>
      <c r="J63" s="26" t="n"/>
      <c r="K63" s="18" t="n"/>
    </row>
    <row r="64" ht="15" customHeight="1">
      <c r="A64" s="24" t="n"/>
      <c r="B64" s="18" t="n"/>
      <c r="C64" s="18" t="n"/>
      <c r="D64" s="18" t="n"/>
      <c r="E64" s="30" t="n"/>
      <c r="F64" s="18" t="n"/>
      <c r="G64" s="18" t="n"/>
      <c r="H64" s="26" t="n"/>
      <c r="I64" s="26" t="n"/>
      <c r="J64" s="26" t="n"/>
      <c r="K64" s="18" t="n"/>
    </row>
    <row r="65" ht="15" customHeight="1">
      <c r="A65" s="24" t="n"/>
      <c r="B65" s="18" t="n"/>
      <c r="C65" s="18" t="n"/>
      <c r="D65" s="18" t="n"/>
      <c r="E65" s="30" t="n"/>
      <c r="F65" s="18" t="n"/>
      <c r="G65" s="18" t="n"/>
      <c r="H65" s="26" t="n"/>
      <c r="I65" s="26" t="n"/>
      <c r="J65" s="26" t="n"/>
      <c r="K65" s="18" t="n"/>
    </row>
    <row r="66" ht="15" customHeight="1">
      <c r="A66" s="24" t="n"/>
      <c r="B66" s="18" t="n"/>
      <c r="C66" s="18" t="n"/>
      <c r="D66" s="18" t="n"/>
      <c r="E66" s="30" t="n"/>
      <c r="F66" s="18" t="n"/>
      <c r="G66" s="18" t="n"/>
      <c r="H66" s="26" t="n"/>
      <c r="I66" s="26" t="n"/>
      <c r="J66" s="26" t="n"/>
      <c r="K66" s="18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16" customWidth="1" min="4" max="4"/>
    <col width="12" customWidth="1" min="5" max="5"/>
    <col width="12" customWidth="1" min="6" max="6"/>
    <col width="10" customWidth="1" min="7" max="7"/>
  </cols>
  <sheetData>
    <row r="1" ht="26" customHeight="1">
      <c r="A1" s="1" t="inlineStr">
        <is>
          <t>ROUTINGS</t>
        </is>
      </c>
    </row>
    <row r="2">
      <c r="A2" s="2" t="inlineStr">
        <is>
          <t>Etapas: dosagem, mistura, transferencia, ensacamento, paletizacao, lab, movim., armazenag. Alimenta Time-Driven ABC (taxa x tempo consumido).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ROUTING_ID</t>
        </is>
      </c>
      <c r="B6" s="5" t="inlineStr">
        <is>
          <t>PRODUCT_ID</t>
        </is>
      </c>
      <c r="C6" s="5" t="inlineStr">
        <is>
          <t>Seq</t>
        </is>
      </c>
      <c r="D6" s="5" t="inlineStr">
        <is>
          <t>Etapa</t>
        </is>
      </c>
      <c r="E6" s="5" t="inlineStr">
        <is>
          <t>RESOURCE_ID</t>
        </is>
      </c>
      <c r="F6" s="5" t="inlineStr">
        <is>
          <t>Tempo padrao (h/t)</t>
        </is>
      </c>
      <c r="G6" s="5" t="inlineStr">
        <is>
          <t>Cap (t/h)</t>
        </is>
      </c>
    </row>
    <row r="7" ht="15" customHeight="1">
      <c r="A7" s="24" t="inlineStr">
        <is>
          <t>RT-EXT</t>
        </is>
      </c>
      <c r="B7" s="18" t="inlineStr">
        <is>
          <t>P001</t>
        </is>
      </c>
      <c r="C7" s="25" t="n">
        <v>1</v>
      </c>
      <c r="D7" s="18" t="inlineStr">
        <is>
          <t>Dosagem</t>
        </is>
      </c>
      <c r="E7" s="18" t="inlineStr">
        <is>
          <t>RES-MIST1</t>
        </is>
      </c>
      <c r="F7" s="37" t="n">
        <v>0.06</v>
      </c>
      <c r="G7" s="30" t="n">
        <v>8</v>
      </c>
    </row>
    <row r="8" ht="15" customHeight="1">
      <c r="A8" s="24" t="inlineStr">
        <is>
          <t>RT-EXT</t>
        </is>
      </c>
      <c r="B8" s="18" t="inlineStr">
        <is>
          <t>P001</t>
        </is>
      </c>
      <c r="C8" s="25" t="n">
        <v>2</v>
      </c>
      <c r="D8" s="18" t="inlineStr">
        <is>
          <t>Mistura</t>
        </is>
      </c>
      <c r="E8" s="18" t="inlineStr">
        <is>
          <t>RES-MIST1</t>
        </is>
      </c>
      <c r="F8" s="37" t="n">
        <v>0.1</v>
      </c>
      <c r="G8" s="30" t="n">
        <v>6.5</v>
      </c>
    </row>
    <row r="9" ht="15" customHeight="1">
      <c r="A9" s="24" t="inlineStr">
        <is>
          <t>RT-EXT</t>
        </is>
      </c>
      <c r="B9" s="18" t="inlineStr">
        <is>
          <t>P001</t>
        </is>
      </c>
      <c r="C9" s="25" t="n">
        <v>3</v>
      </c>
      <c r="D9" s="18" t="inlineStr">
        <is>
          <t>Ensacamento</t>
        </is>
      </c>
      <c r="E9" s="18" t="inlineStr">
        <is>
          <t>RES-MIST1</t>
        </is>
      </c>
      <c r="F9" s="37" t="n">
        <v>0.05</v>
      </c>
      <c r="G9" s="30" t="n">
        <v>8</v>
      </c>
    </row>
    <row r="10" ht="15" customHeight="1">
      <c r="A10" s="24" t="inlineStr">
        <is>
          <t>RT-ARG</t>
        </is>
      </c>
      <c r="B10" s="18" t="inlineStr">
        <is>
          <t>P002</t>
        </is>
      </c>
      <c r="C10" s="25" t="n">
        <v>1</v>
      </c>
      <c r="D10" s="18" t="inlineStr">
        <is>
          <t>Mistura</t>
        </is>
      </c>
      <c r="E10" s="18" t="inlineStr">
        <is>
          <t>RES-MIST1</t>
        </is>
      </c>
      <c r="F10" s="37" t="n">
        <v>0.12</v>
      </c>
      <c r="G10" s="30" t="n">
        <v>6.5</v>
      </c>
    </row>
    <row r="11" ht="15" customHeight="1">
      <c r="A11" s="24" t="inlineStr">
        <is>
          <t>RT-REJ</t>
        </is>
      </c>
      <c r="B11" s="18" t="inlineStr">
        <is>
          <t>P003</t>
        </is>
      </c>
      <c r="C11" s="25" t="n">
        <v>1</v>
      </c>
      <c r="D11" s="18" t="inlineStr">
        <is>
          <t>Mistura</t>
        </is>
      </c>
      <c r="E11" s="18" t="inlineStr">
        <is>
          <t>RES-MIST2</t>
        </is>
      </c>
      <c r="F11" s="37" t="n">
        <v>0.16</v>
      </c>
      <c r="G11" s="30" t="n">
        <v>5</v>
      </c>
    </row>
    <row r="12" ht="15" customHeight="1">
      <c r="A12" s="24" t="n"/>
      <c r="B12" s="18" t="n"/>
      <c r="C12" s="25" t="n"/>
      <c r="D12" s="18" t="n"/>
      <c r="E12" s="18" t="n"/>
      <c r="F12" s="37" t="n"/>
      <c r="G12" s="30" t="n"/>
    </row>
    <row r="13" ht="15" customHeight="1">
      <c r="A13" s="27" t="inlineStr">
        <is>
          <t>^ Linhas acima = dados DEMO (marcados). Abaixo: campos de entrada em branco para dados reais.</t>
        </is>
      </c>
      <c r="B13" s="18" t="n"/>
      <c r="C13" s="25" t="n"/>
      <c r="D13" s="18" t="n"/>
      <c r="E13" s="18" t="n"/>
      <c r="F13" s="37" t="n"/>
      <c r="G13" s="30" t="n"/>
    </row>
    <row r="14" ht="15" customHeight="1">
      <c r="A14" s="24" t="n"/>
      <c r="B14" s="18" t="n"/>
      <c r="C14" s="25" t="n"/>
      <c r="D14" s="18" t="n"/>
      <c r="E14" s="18" t="n"/>
      <c r="F14" s="37" t="n"/>
      <c r="G14" s="30" t="n"/>
    </row>
    <row r="15" ht="15" customHeight="1">
      <c r="A15" s="24" t="n"/>
      <c r="B15" s="18" t="n"/>
      <c r="C15" s="25" t="n"/>
      <c r="D15" s="18" t="n"/>
      <c r="E15" s="18" t="n"/>
      <c r="F15" s="37" t="n"/>
      <c r="G15" s="30" t="n"/>
    </row>
    <row r="16" ht="15" customHeight="1">
      <c r="A16" s="24" t="n"/>
      <c r="B16" s="18" t="n"/>
      <c r="C16" s="25" t="n"/>
      <c r="D16" s="18" t="n"/>
      <c r="E16" s="18" t="n"/>
      <c r="F16" s="37" t="n"/>
      <c r="G16" s="30" t="n"/>
    </row>
    <row r="17" ht="15" customHeight="1">
      <c r="A17" s="24" t="n"/>
      <c r="B17" s="18" t="n"/>
      <c r="C17" s="25" t="n"/>
      <c r="D17" s="18" t="n"/>
      <c r="E17" s="18" t="n"/>
      <c r="F17" s="37" t="n"/>
      <c r="G17" s="30" t="n"/>
    </row>
    <row r="18" ht="15" customHeight="1">
      <c r="A18" s="24" t="n"/>
      <c r="B18" s="18" t="n"/>
      <c r="C18" s="25" t="n"/>
      <c r="D18" s="18" t="n"/>
      <c r="E18" s="18" t="n"/>
      <c r="F18" s="37" t="n"/>
      <c r="G18" s="30" t="n"/>
    </row>
    <row r="19" ht="15" customHeight="1">
      <c r="A19" s="24" t="n"/>
      <c r="B19" s="18" t="n"/>
      <c r="C19" s="25" t="n"/>
      <c r="D19" s="18" t="n"/>
      <c r="E19" s="18" t="n"/>
      <c r="F19" s="37" t="n"/>
      <c r="G19" s="30" t="n"/>
    </row>
    <row r="20" ht="15" customHeight="1">
      <c r="A20" s="24" t="n"/>
      <c r="B20" s="18" t="n"/>
      <c r="C20" s="25" t="n"/>
      <c r="D20" s="18" t="n"/>
      <c r="E20" s="18" t="n"/>
      <c r="F20" s="37" t="n"/>
      <c r="G20" s="30" t="n"/>
    </row>
    <row r="21" ht="15" customHeight="1">
      <c r="A21" s="24" t="n"/>
      <c r="B21" s="18" t="n"/>
      <c r="C21" s="25" t="n"/>
      <c r="D21" s="18" t="n"/>
      <c r="E21" s="18" t="n"/>
      <c r="F21" s="37" t="n"/>
      <c r="G21" s="30" t="n"/>
    </row>
    <row r="22" ht="15" customHeight="1">
      <c r="A22" s="24" t="n"/>
      <c r="B22" s="18" t="n"/>
      <c r="C22" s="25" t="n"/>
      <c r="D22" s="18" t="n"/>
      <c r="E22" s="18" t="n"/>
      <c r="F22" s="37" t="n"/>
      <c r="G22" s="30" t="n"/>
    </row>
    <row r="23" ht="15" customHeight="1">
      <c r="A23" s="24" t="n"/>
      <c r="B23" s="18" t="n"/>
      <c r="C23" s="25" t="n"/>
      <c r="D23" s="18" t="n"/>
      <c r="E23" s="18" t="n"/>
      <c r="F23" s="37" t="n"/>
      <c r="G23" s="30" t="n"/>
    </row>
    <row r="24" ht="15" customHeight="1">
      <c r="A24" s="24" t="n"/>
      <c r="B24" s="18" t="n"/>
      <c r="C24" s="25" t="n"/>
      <c r="D24" s="18" t="n"/>
      <c r="E24" s="18" t="n"/>
      <c r="F24" s="37" t="n"/>
      <c r="G24" s="30" t="n"/>
    </row>
    <row r="25" ht="15" customHeight="1">
      <c r="A25" s="24" t="n"/>
      <c r="B25" s="18" t="n"/>
      <c r="C25" s="25" t="n"/>
      <c r="D25" s="18" t="n"/>
      <c r="E25" s="18" t="n"/>
      <c r="F25" s="37" t="n"/>
      <c r="G25" s="30" t="n"/>
    </row>
    <row r="26" ht="15" customHeight="1">
      <c r="A26" s="24" t="n"/>
      <c r="B26" s="18" t="n"/>
      <c r="C26" s="25" t="n"/>
      <c r="D26" s="18" t="n"/>
      <c r="E26" s="18" t="n"/>
      <c r="F26" s="37" t="n"/>
      <c r="G26" s="30" t="n"/>
    </row>
    <row r="27" ht="15" customHeight="1">
      <c r="A27" s="24" t="n"/>
      <c r="B27" s="18" t="n"/>
      <c r="C27" s="25" t="n"/>
      <c r="D27" s="18" t="n"/>
      <c r="E27" s="18" t="n"/>
      <c r="F27" s="37" t="n"/>
      <c r="G27" s="30" t="n"/>
    </row>
    <row r="28" ht="15" customHeight="1">
      <c r="A28" s="24" t="n"/>
      <c r="B28" s="18" t="n"/>
      <c r="C28" s="25" t="n"/>
      <c r="D28" s="18" t="n"/>
      <c r="E28" s="18" t="n"/>
      <c r="F28" s="37" t="n"/>
      <c r="G28" s="30" t="n"/>
    </row>
    <row r="29" ht="15" customHeight="1">
      <c r="A29" s="24" t="n"/>
      <c r="B29" s="18" t="n"/>
      <c r="C29" s="25" t="n"/>
      <c r="D29" s="18" t="n"/>
      <c r="E29" s="18" t="n"/>
      <c r="F29" s="37" t="n"/>
      <c r="G29" s="30" t="n"/>
    </row>
    <row r="30" ht="15" customHeight="1">
      <c r="A30" s="24" t="n"/>
      <c r="B30" s="18" t="n"/>
      <c r="C30" s="25" t="n"/>
      <c r="D30" s="18" t="n"/>
      <c r="E30" s="18" t="n"/>
      <c r="F30" s="37" t="n"/>
      <c r="G30" s="30" t="n"/>
    </row>
    <row r="31" ht="15" customHeight="1">
      <c r="A31" s="24" t="n"/>
      <c r="B31" s="18" t="n"/>
      <c r="C31" s="25" t="n"/>
      <c r="D31" s="18" t="n"/>
      <c r="E31" s="18" t="n"/>
      <c r="F31" s="37" t="n"/>
      <c r="G31" s="30" t="n"/>
    </row>
    <row r="32" ht="15" customHeight="1">
      <c r="A32" s="24" t="n"/>
      <c r="B32" s="18" t="n"/>
      <c r="C32" s="25" t="n"/>
      <c r="D32" s="18" t="n"/>
      <c r="E32" s="18" t="n"/>
      <c r="F32" s="37" t="n"/>
      <c r="G32" s="30" t="n"/>
    </row>
    <row r="33" ht="15" customHeight="1">
      <c r="A33" s="24" t="n"/>
      <c r="B33" s="18" t="n"/>
      <c r="C33" s="25" t="n"/>
      <c r="D33" s="18" t="n"/>
      <c r="E33" s="18" t="n"/>
      <c r="F33" s="37" t="n"/>
      <c r="G33" s="30" t="n"/>
    </row>
    <row r="34" ht="15" customHeight="1">
      <c r="A34" s="24" t="n"/>
      <c r="B34" s="18" t="n"/>
      <c r="C34" s="25" t="n"/>
      <c r="D34" s="18" t="n"/>
      <c r="E34" s="18" t="n"/>
      <c r="F34" s="37" t="n"/>
      <c r="G34" s="30" t="n"/>
    </row>
    <row r="35" ht="15" customHeight="1">
      <c r="A35" s="24" t="n"/>
      <c r="B35" s="18" t="n"/>
      <c r="C35" s="25" t="n"/>
      <c r="D35" s="18" t="n"/>
      <c r="E35" s="18" t="n"/>
      <c r="F35" s="37" t="n"/>
      <c r="G35" s="30" t="n"/>
    </row>
    <row r="36" ht="15" customHeight="1">
      <c r="A36" s="24" t="n"/>
      <c r="B36" s="18" t="n"/>
      <c r="C36" s="25" t="n"/>
      <c r="D36" s="18" t="n"/>
      <c r="E36" s="18" t="n"/>
      <c r="F36" s="37" t="n"/>
      <c r="G36" s="30" t="n"/>
    </row>
    <row r="37" ht="15" customHeight="1">
      <c r="A37" s="24" t="n"/>
      <c r="B37" s="18" t="n"/>
      <c r="C37" s="25" t="n"/>
      <c r="D37" s="18" t="n"/>
      <c r="E37" s="18" t="n"/>
      <c r="F37" s="37" t="n"/>
      <c r="G37" s="30" t="n"/>
    </row>
    <row r="38" ht="15" customHeight="1">
      <c r="A38" s="24" t="n"/>
      <c r="B38" s="18" t="n"/>
      <c r="C38" s="25" t="n"/>
      <c r="D38" s="18" t="n"/>
      <c r="E38" s="18" t="n"/>
      <c r="F38" s="37" t="n"/>
      <c r="G38" s="30" t="n"/>
    </row>
    <row r="39" ht="15" customHeight="1">
      <c r="A39" s="24" t="n"/>
      <c r="B39" s="18" t="n"/>
      <c r="C39" s="25" t="n"/>
      <c r="D39" s="18" t="n"/>
      <c r="E39" s="18" t="n"/>
      <c r="F39" s="37" t="n"/>
      <c r="G39" s="30" t="n"/>
    </row>
    <row r="40" ht="15" customHeight="1">
      <c r="A40" s="24" t="n"/>
      <c r="B40" s="18" t="n"/>
      <c r="C40" s="25" t="n"/>
      <c r="D40" s="18" t="n"/>
      <c r="E40" s="18" t="n"/>
      <c r="F40" s="37" t="n"/>
      <c r="G40" s="30" t="n"/>
    </row>
    <row r="41" ht="15" customHeight="1">
      <c r="A41" s="24" t="n"/>
      <c r="B41" s="18" t="n"/>
      <c r="C41" s="25" t="n"/>
      <c r="D41" s="18" t="n"/>
      <c r="E41" s="18" t="n"/>
      <c r="F41" s="37" t="n"/>
      <c r="G41" s="30" t="n"/>
    </row>
    <row r="42" ht="15" customHeight="1">
      <c r="A42" s="24" t="n"/>
      <c r="B42" s="18" t="n"/>
      <c r="C42" s="25" t="n"/>
      <c r="D42" s="18" t="n"/>
      <c r="E42" s="18" t="n"/>
      <c r="F42" s="37" t="n"/>
      <c r="G42" s="30" t="n"/>
    </row>
    <row r="43" ht="15" customHeight="1">
      <c r="A43" s="24" t="n"/>
      <c r="B43" s="18" t="n"/>
      <c r="C43" s="25" t="n"/>
      <c r="D43" s="18" t="n"/>
      <c r="E43" s="18" t="n"/>
      <c r="F43" s="37" t="n"/>
      <c r="G43" s="30" t="n"/>
    </row>
    <row r="44" ht="15" customHeight="1">
      <c r="A44" s="24" t="n"/>
      <c r="B44" s="18" t="n"/>
      <c r="C44" s="25" t="n"/>
      <c r="D44" s="18" t="n"/>
      <c r="E44" s="18" t="n"/>
      <c r="F44" s="37" t="n"/>
      <c r="G44" s="30" t="n"/>
    </row>
    <row r="45" ht="15" customHeight="1">
      <c r="A45" s="24" t="n"/>
      <c r="B45" s="18" t="n"/>
      <c r="C45" s="25" t="n"/>
      <c r="D45" s="18" t="n"/>
      <c r="E45" s="18" t="n"/>
      <c r="F45" s="37" t="n"/>
      <c r="G45" s="30" t="n"/>
    </row>
    <row r="46" ht="15" customHeight="1">
      <c r="A46" s="24" t="n"/>
      <c r="B46" s="18" t="n"/>
      <c r="C46" s="25" t="n"/>
      <c r="D46" s="18" t="n"/>
      <c r="E46" s="18" t="n"/>
      <c r="F46" s="37" t="n"/>
      <c r="G46" s="30" t="n"/>
    </row>
    <row r="47" ht="15" customHeight="1">
      <c r="A47" s="24" t="n"/>
      <c r="B47" s="18" t="n"/>
      <c r="C47" s="25" t="n"/>
      <c r="D47" s="18" t="n"/>
      <c r="E47" s="18" t="n"/>
      <c r="F47" s="37" t="n"/>
      <c r="G47" s="30" t="n"/>
    </row>
    <row r="48" ht="15" customHeight="1">
      <c r="A48" s="24" t="n"/>
      <c r="B48" s="18" t="n"/>
      <c r="C48" s="25" t="n"/>
      <c r="D48" s="18" t="n"/>
      <c r="E48" s="18" t="n"/>
      <c r="F48" s="37" t="n"/>
      <c r="G48" s="30" t="n"/>
    </row>
    <row r="49" ht="15" customHeight="1">
      <c r="A49" s="24" t="n"/>
      <c r="B49" s="18" t="n"/>
      <c r="C49" s="25" t="n"/>
      <c r="D49" s="18" t="n"/>
      <c r="E49" s="18" t="n"/>
      <c r="F49" s="37" t="n"/>
      <c r="G49" s="30" t="n"/>
    </row>
    <row r="50" ht="15" customHeight="1">
      <c r="A50" s="24" t="n"/>
      <c r="B50" s="18" t="n"/>
      <c r="C50" s="25" t="n"/>
      <c r="D50" s="18" t="n"/>
      <c r="E50" s="18" t="n"/>
      <c r="F50" s="37" t="n"/>
      <c r="G50" s="30" t="n"/>
    </row>
    <row r="51" ht="15" customHeight="1">
      <c r="A51" s="24" t="n"/>
      <c r="B51" s="18" t="n"/>
      <c r="C51" s="25" t="n"/>
      <c r="D51" s="18" t="n"/>
      <c r="E51" s="18" t="n"/>
      <c r="F51" s="37" t="n"/>
      <c r="G51" s="30" t="n"/>
    </row>
    <row r="52" ht="15" customHeight="1">
      <c r="A52" s="24" t="n"/>
      <c r="B52" s="18" t="n"/>
      <c r="C52" s="25" t="n"/>
      <c r="D52" s="18" t="n"/>
      <c r="E52" s="18" t="n"/>
      <c r="F52" s="37" t="n"/>
      <c r="G52" s="30" t="n"/>
    </row>
    <row r="53" ht="15" customHeight="1">
      <c r="A53" s="24" t="n"/>
      <c r="B53" s="18" t="n"/>
      <c r="C53" s="25" t="n"/>
      <c r="D53" s="18" t="n"/>
      <c r="E53" s="18" t="n"/>
      <c r="F53" s="37" t="n"/>
      <c r="G53" s="30" t="n"/>
    </row>
    <row r="54" ht="15" customHeight="1">
      <c r="A54" s="24" t="n"/>
      <c r="B54" s="18" t="n"/>
      <c r="C54" s="25" t="n"/>
      <c r="D54" s="18" t="n"/>
      <c r="E54" s="18" t="n"/>
      <c r="F54" s="37" t="n"/>
      <c r="G54" s="30" t="n"/>
    </row>
    <row r="55" ht="15" customHeight="1">
      <c r="A55" s="24" t="n"/>
      <c r="B55" s="18" t="n"/>
      <c r="C55" s="25" t="n"/>
      <c r="D55" s="18" t="n"/>
      <c r="E55" s="18" t="n"/>
      <c r="F55" s="37" t="n"/>
      <c r="G55" s="30" t="n"/>
    </row>
    <row r="56" ht="15" customHeight="1">
      <c r="A56" s="24" t="n"/>
      <c r="B56" s="18" t="n"/>
      <c r="C56" s="25" t="n"/>
      <c r="D56" s="18" t="n"/>
      <c r="E56" s="18" t="n"/>
      <c r="F56" s="37" t="n"/>
      <c r="G56" s="30" t="n"/>
    </row>
    <row r="57" ht="15" customHeight="1">
      <c r="A57" s="24" t="n"/>
      <c r="B57" s="18" t="n"/>
      <c r="C57" s="25" t="n"/>
      <c r="D57" s="18" t="n"/>
      <c r="E57" s="18" t="n"/>
      <c r="F57" s="37" t="n"/>
      <c r="G57" s="30" t="n"/>
    </row>
    <row r="58" ht="15" customHeight="1">
      <c r="A58" s="24" t="n"/>
      <c r="B58" s="18" t="n"/>
      <c r="C58" s="25" t="n"/>
      <c r="D58" s="18" t="n"/>
      <c r="E58" s="18" t="n"/>
      <c r="F58" s="37" t="n"/>
      <c r="G58" s="30" t="n"/>
    </row>
    <row r="59" ht="15" customHeight="1">
      <c r="A59" s="24" t="n"/>
      <c r="B59" s="18" t="n"/>
      <c r="C59" s="25" t="n"/>
      <c r="D59" s="18" t="n"/>
      <c r="E59" s="18" t="n"/>
      <c r="F59" s="37" t="n"/>
      <c r="G59" s="30" t="n"/>
    </row>
    <row r="60" ht="15" customHeight="1">
      <c r="A60" s="24" t="n"/>
      <c r="B60" s="18" t="n"/>
      <c r="C60" s="25" t="n"/>
      <c r="D60" s="18" t="n"/>
      <c r="E60" s="18" t="n"/>
      <c r="F60" s="37" t="n"/>
      <c r="G60" s="30" t="n"/>
    </row>
    <row r="61" ht="15" customHeight="1">
      <c r="A61" s="24" t="n"/>
      <c r="B61" s="18" t="n"/>
      <c r="C61" s="25" t="n"/>
      <c r="D61" s="18" t="n"/>
      <c r="E61" s="18" t="n"/>
      <c r="F61" s="37" t="n"/>
      <c r="G61" s="30" t="n"/>
    </row>
    <row r="62" ht="15" customHeight="1">
      <c r="A62" s="24" t="n"/>
      <c r="B62" s="18" t="n"/>
      <c r="C62" s="25" t="n"/>
      <c r="D62" s="18" t="n"/>
      <c r="E62" s="18" t="n"/>
      <c r="F62" s="37" t="n"/>
      <c r="G62" s="30" t="n"/>
    </row>
    <row r="63" ht="15" customHeight="1">
      <c r="A63" s="24" t="n"/>
      <c r="B63" s="18" t="n"/>
      <c r="C63" s="25" t="n"/>
      <c r="D63" s="18" t="n"/>
      <c r="E63" s="18" t="n"/>
      <c r="F63" s="37" t="n"/>
      <c r="G63" s="30" t="n"/>
    </row>
    <row r="64" ht="15" customHeight="1">
      <c r="A64" s="24" t="n"/>
      <c r="B64" s="18" t="n"/>
      <c r="C64" s="25" t="n"/>
      <c r="D64" s="18" t="n"/>
      <c r="E64" s="18" t="n"/>
      <c r="F64" s="37" t="n"/>
      <c r="G64" s="30" t="n"/>
    </row>
    <row r="65" ht="15" customHeight="1">
      <c r="A65" s="24" t="n"/>
      <c r="B65" s="18" t="n"/>
      <c r="C65" s="25" t="n"/>
      <c r="D65" s="18" t="n"/>
      <c r="E65" s="18" t="n"/>
      <c r="F65" s="37" t="n"/>
      <c r="G65" s="30" t="n"/>
    </row>
    <row r="66" ht="15" customHeight="1">
      <c r="A66" s="24" t="n"/>
      <c r="B66" s="18" t="n"/>
      <c r="C66" s="25" t="n"/>
      <c r="D66" s="18" t="n"/>
      <c r="E66" s="18" t="n"/>
      <c r="F66" s="37" t="n"/>
      <c r="G66" s="30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E75B6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8" customWidth="1" min="8" max="8"/>
    <col width="12" customWidth="1" min="9" max="9"/>
  </cols>
  <sheetData>
    <row r="1" ht="26" customHeight="1">
      <c r="A1" s="1" t="inlineStr">
        <is>
          <t>LOSSES</t>
        </is>
      </c>
    </row>
    <row r="2">
      <c r="A2" s="2" t="inlineStr">
        <is>
          <t>Mass balance: entrada = bom + perda normal + perda anormal + reproc + WIP + nao explicado. Diferenca nao explicada (UNACCOUNTED) nunca e absorvida automaticamente.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OF_ID</t>
        </is>
      </c>
      <c r="B6" s="5" t="inlineStr">
        <is>
          <t>PRODUCT_ID</t>
        </is>
      </c>
      <c r="C6" s="5" t="inlineStr">
        <is>
          <t>Entrada MP (t)</t>
        </is>
      </c>
      <c r="D6" s="5" t="inlineStr">
        <is>
          <t>Bom (t)</t>
        </is>
      </c>
      <c r="E6" s="5" t="inlineStr">
        <is>
          <t>Perda normal (t)</t>
        </is>
      </c>
      <c r="F6" s="5" t="inlineStr">
        <is>
          <t>Perda anormal (t)</t>
        </is>
      </c>
      <c r="G6" s="5" t="inlineStr">
        <is>
          <t>Reproc (t)</t>
        </is>
      </c>
      <c r="H6" s="5" t="inlineStr">
        <is>
          <t>WIP (t)</t>
        </is>
      </c>
      <c r="I6" s="5" t="inlineStr">
        <is>
          <t>Nao explicado (t)</t>
        </is>
      </c>
    </row>
    <row r="7" ht="15" customHeight="1">
      <c r="A7" s="24" t="inlineStr">
        <is>
          <t>OF-2603-01</t>
        </is>
      </c>
      <c r="B7" s="18" t="inlineStr">
        <is>
          <t>P001</t>
        </is>
      </c>
      <c r="C7" s="30" t="n">
        <v>402</v>
      </c>
      <c r="D7" s="30" t="n">
        <v>400</v>
      </c>
      <c r="E7" s="30" t="n">
        <v>2</v>
      </c>
      <c r="F7" s="30" t="n">
        <v>0</v>
      </c>
      <c r="G7" s="30" t="n">
        <v>0</v>
      </c>
      <c r="H7" s="30" t="n">
        <v>0</v>
      </c>
      <c r="I7" s="33">
        <f>C7-D7-E7-F7-G7-H7</f>
        <v/>
      </c>
    </row>
    <row r="8" ht="15" customHeight="1">
      <c r="A8" s="24" t="inlineStr">
        <is>
          <t>OF-2603-02</t>
        </is>
      </c>
      <c r="B8" s="18" t="inlineStr">
        <is>
          <t>P002</t>
        </is>
      </c>
      <c r="C8" s="30" t="n">
        <v>251</v>
      </c>
      <c r="D8" s="30" t="n">
        <v>250</v>
      </c>
      <c r="E8" s="30" t="n">
        <v>1</v>
      </c>
      <c r="F8" s="30" t="n">
        <v>0</v>
      </c>
      <c r="G8" s="30" t="n">
        <v>0</v>
      </c>
      <c r="H8" s="30" t="n">
        <v>0</v>
      </c>
      <c r="I8" s="33">
        <f>C8-D8-E8-F8-G8-H8</f>
        <v/>
      </c>
    </row>
    <row r="9" ht="15" customHeight="1">
      <c r="A9" s="24" t="inlineStr">
        <is>
          <t>OF-2603-03</t>
        </is>
      </c>
      <c r="B9" s="18" t="inlineStr">
        <is>
          <t>P003</t>
        </is>
      </c>
      <c r="C9" s="30" t="n">
        <v>121.5</v>
      </c>
      <c r="D9" s="30" t="n">
        <v>120</v>
      </c>
      <c r="E9" s="30" t="n">
        <v>1</v>
      </c>
      <c r="F9" s="30" t="n">
        <v>0</v>
      </c>
      <c r="G9" s="30" t="n">
        <v>0.5</v>
      </c>
      <c r="H9" s="30" t="n">
        <v>0</v>
      </c>
      <c r="I9" s="33">
        <f>C9-D9-E9-F9-G9-H9</f>
        <v/>
      </c>
    </row>
    <row r="10" ht="15" customHeight="1">
      <c r="A10" s="24" t="n"/>
      <c r="B10" s="18" t="n"/>
      <c r="C10" s="30" t="n"/>
      <c r="D10" s="30" t="n"/>
      <c r="E10" s="30" t="n"/>
      <c r="F10" s="30" t="n"/>
      <c r="G10" s="30" t="n"/>
      <c r="H10" s="30" t="n"/>
      <c r="I10" s="33" t="n"/>
    </row>
    <row r="11" ht="15" customHeight="1">
      <c r="A11" s="27" t="inlineStr">
        <is>
          <t>^ Linhas acima = dados DEMO (marcados). Abaixo: campos de entrada em branco para dados reais.</t>
        </is>
      </c>
      <c r="B11" s="18" t="n"/>
      <c r="C11" s="30" t="n"/>
      <c r="D11" s="30" t="n"/>
      <c r="E11" s="30" t="n"/>
      <c r="F11" s="30" t="n"/>
      <c r="G11" s="30" t="n"/>
      <c r="H11" s="30" t="n"/>
      <c r="I11" s="33" t="n"/>
    </row>
    <row r="12" ht="15" customHeight="1">
      <c r="A12" s="24" t="n"/>
      <c r="B12" s="18" t="n"/>
      <c r="C12" s="30" t="n"/>
      <c r="D12" s="30" t="n"/>
      <c r="E12" s="30" t="n"/>
      <c r="F12" s="30" t="n"/>
      <c r="G12" s="30" t="n"/>
      <c r="H12" s="30" t="n"/>
      <c r="I12" s="33" t="n"/>
    </row>
    <row r="13" ht="15" customHeight="1">
      <c r="A13" s="24" t="n"/>
      <c r="B13" s="18" t="n"/>
      <c r="C13" s="30" t="n"/>
      <c r="D13" s="30" t="n"/>
      <c r="E13" s="30" t="n"/>
      <c r="F13" s="30" t="n"/>
      <c r="G13" s="30" t="n"/>
      <c r="H13" s="30" t="n"/>
      <c r="I13" s="33" t="n"/>
    </row>
    <row r="14" ht="15" customHeight="1">
      <c r="A14" s="24" t="n"/>
      <c r="B14" s="18" t="n"/>
      <c r="C14" s="30" t="n"/>
      <c r="D14" s="30" t="n"/>
      <c r="E14" s="30" t="n"/>
      <c r="F14" s="30" t="n"/>
      <c r="G14" s="30" t="n"/>
      <c r="H14" s="30" t="n"/>
      <c r="I14" s="33" t="n"/>
    </row>
    <row r="15" ht="15" customHeight="1">
      <c r="A15" s="24" t="n"/>
      <c r="B15" s="18" t="n"/>
      <c r="C15" s="30" t="n"/>
      <c r="D15" s="30" t="n"/>
      <c r="E15" s="30" t="n"/>
      <c r="F15" s="30" t="n"/>
      <c r="G15" s="30" t="n"/>
      <c r="H15" s="30" t="n"/>
      <c r="I15" s="33" t="n"/>
    </row>
    <row r="16" ht="15" customHeight="1">
      <c r="A16" s="24" t="n"/>
      <c r="B16" s="18" t="n"/>
      <c r="C16" s="30" t="n"/>
      <c r="D16" s="30" t="n"/>
      <c r="E16" s="30" t="n"/>
      <c r="F16" s="30" t="n"/>
      <c r="G16" s="30" t="n"/>
      <c r="H16" s="30" t="n"/>
      <c r="I16" s="33" t="n"/>
    </row>
    <row r="17" ht="15" customHeight="1">
      <c r="A17" s="24" t="n"/>
      <c r="B17" s="18" t="n"/>
      <c r="C17" s="30" t="n"/>
      <c r="D17" s="30" t="n"/>
      <c r="E17" s="30" t="n"/>
      <c r="F17" s="30" t="n"/>
      <c r="G17" s="30" t="n"/>
      <c r="H17" s="30" t="n"/>
      <c r="I17" s="33" t="n"/>
    </row>
    <row r="18" ht="15" customHeight="1">
      <c r="A18" s="24" t="n"/>
      <c r="B18" s="18" t="n"/>
      <c r="C18" s="30" t="n"/>
      <c r="D18" s="30" t="n"/>
      <c r="E18" s="30" t="n"/>
      <c r="F18" s="30" t="n"/>
      <c r="G18" s="30" t="n"/>
      <c r="H18" s="30" t="n"/>
      <c r="I18" s="33" t="n"/>
    </row>
    <row r="19" ht="15" customHeight="1">
      <c r="A19" s="24" t="n"/>
      <c r="B19" s="18" t="n"/>
      <c r="C19" s="30" t="n"/>
      <c r="D19" s="30" t="n"/>
      <c r="E19" s="30" t="n"/>
      <c r="F19" s="30" t="n"/>
      <c r="G19" s="30" t="n"/>
      <c r="H19" s="30" t="n"/>
      <c r="I19" s="33" t="n"/>
    </row>
    <row r="20" ht="15" customHeight="1">
      <c r="A20" s="24" t="n"/>
      <c r="B20" s="18" t="n"/>
      <c r="C20" s="30" t="n"/>
      <c r="D20" s="30" t="n"/>
      <c r="E20" s="30" t="n"/>
      <c r="F20" s="30" t="n"/>
      <c r="G20" s="30" t="n"/>
      <c r="H20" s="30" t="n"/>
      <c r="I20" s="33" t="n"/>
    </row>
    <row r="21" ht="15" customHeight="1">
      <c r="A21" s="24" t="n"/>
      <c r="B21" s="18" t="n"/>
      <c r="C21" s="30" t="n"/>
      <c r="D21" s="30" t="n"/>
      <c r="E21" s="30" t="n"/>
      <c r="F21" s="30" t="n"/>
      <c r="G21" s="30" t="n"/>
      <c r="H21" s="30" t="n"/>
      <c r="I21" s="33" t="n"/>
    </row>
    <row r="22" ht="15" customHeight="1">
      <c r="A22" s="24" t="n"/>
      <c r="B22" s="18" t="n"/>
      <c r="C22" s="30" t="n"/>
      <c r="D22" s="30" t="n"/>
      <c r="E22" s="30" t="n"/>
      <c r="F22" s="30" t="n"/>
      <c r="G22" s="30" t="n"/>
      <c r="H22" s="30" t="n"/>
      <c r="I22" s="33" t="n"/>
    </row>
    <row r="23" ht="15" customHeight="1">
      <c r="A23" s="24" t="n"/>
      <c r="B23" s="18" t="n"/>
      <c r="C23" s="30" t="n"/>
      <c r="D23" s="30" t="n"/>
      <c r="E23" s="30" t="n"/>
      <c r="F23" s="30" t="n"/>
      <c r="G23" s="30" t="n"/>
      <c r="H23" s="30" t="n"/>
      <c r="I23" s="33" t="n"/>
    </row>
    <row r="24" ht="15" customHeight="1">
      <c r="A24" s="24" t="n"/>
      <c r="B24" s="18" t="n"/>
      <c r="C24" s="30" t="n"/>
      <c r="D24" s="30" t="n"/>
      <c r="E24" s="30" t="n"/>
      <c r="F24" s="30" t="n"/>
      <c r="G24" s="30" t="n"/>
      <c r="H24" s="30" t="n"/>
      <c r="I24" s="33" t="n"/>
    </row>
    <row r="25" ht="15" customHeight="1">
      <c r="A25" s="24" t="n"/>
      <c r="B25" s="18" t="n"/>
      <c r="C25" s="30" t="n"/>
      <c r="D25" s="30" t="n"/>
      <c r="E25" s="30" t="n"/>
      <c r="F25" s="30" t="n"/>
      <c r="G25" s="30" t="n"/>
      <c r="H25" s="30" t="n"/>
      <c r="I25" s="33" t="n"/>
    </row>
    <row r="26" ht="15" customHeight="1">
      <c r="A26" s="24" t="n"/>
      <c r="B26" s="18" t="n"/>
      <c r="C26" s="30" t="n"/>
      <c r="D26" s="30" t="n"/>
      <c r="E26" s="30" t="n"/>
      <c r="F26" s="30" t="n"/>
      <c r="G26" s="30" t="n"/>
      <c r="H26" s="30" t="n"/>
      <c r="I26" s="33" t="n"/>
    </row>
    <row r="27" ht="15" customHeight="1">
      <c r="A27" s="24" t="n"/>
      <c r="B27" s="18" t="n"/>
      <c r="C27" s="30" t="n"/>
      <c r="D27" s="30" t="n"/>
      <c r="E27" s="30" t="n"/>
      <c r="F27" s="30" t="n"/>
      <c r="G27" s="30" t="n"/>
      <c r="H27" s="30" t="n"/>
      <c r="I27" s="33" t="n"/>
    </row>
    <row r="28" ht="15" customHeight="1">
      <c r="A28" s="24" t="n"/>
      <c r="B28" s="18" t="n"/>
      <c r="C28" s="30" t="n"/>
      <c r="D28" s="30" t="n"/>
      <c r="E28" s="30" t="n"/>
      <c r="F28" s="30" t="n"/>
      <c r="G28" s="30" t="n"/>
      <c r="H28" s="30" t="n"/>
      <c r="I28" s="33" t="n"/>
    </row>
    <row r="29" ht="15" customHeight="1">
      <c r="A29" s="24" t="n"/>
      <c r="B29" s="18" t="n"/>
      <c r="C29" s="30" t="n"/>
      <c r="D29" s="30" t="n"/>
      <c r="E29" s="30" t="n"/>
      <c r="F29" s="30" t="n"/>
      <c r="G29" s="30" t="n"/>
      <c r="H29" s="30" t="n"/>
      <c r="I29" s="33" t="n"/>
    </row>
    <row r="30" ht="15" customHeight="1">
      <c r="A30" s="24" t="n"/>
      <c r="B30" s="18" t="n"/>
      <c r="C30" s="30" t="n"/>
      <c r="D30" s="30" t="n"/>
      <c r="E30" s="30" t="n"/>
      <c r="F30" s="30" t="n"/>
      <c r="G30" s="30" t="n"/>
      <c r="H30" s="30" t="n"/>
      <c r="I30" s="33" t="n"/>
    </row>
    <row r="31" ht="15" customHeight="1">
      <c r="A31" s="24" t="n"/>
      <c r="B31" s="18" t="n"/>
      <c r="C31" s="30" t="n"/>
      <c r="D31" s="30" t="n"/>
      <c r="E31" s="30" t="n"/>
      <c r="F31" s="30" t="n"/>
      <c r="G31" s="30" t="n"/>
      <c r="H31" s="30" t="n"/>
      <c r="I31" s="33" t="n"/>
    </row>
    <row r="32" ht="15" customHeight="1">
      <c r="A32" s="24" t="n"/>
      <c r="B32" s="18" t="n"/>
      <c r="C32" s="30" t="n"/>
      <c r="D32" s="30" t="n"/>
      <c r="E32" s="30" t="n"/>
      <c r="F32" s="30" t="n"/>
      <c r="G32" s="30" t="n"/>
      <c r="H32" s="30" t="n"/>
      <c r="I32" s="33" t="n"/>
    </row>
    <row r="33" ht="15" customHeight="1">
      <c r="A33" s="24" t="n"/>
      <c r="B33" s="18" t="n"/>
      <c r="C33" s="30" t="n"/>
      <c r="D33" s="30" t="n"/>
      <c r="E33" s="30" t="n"/>
      <c r="F33" s="30" t="n"/>
      <c r="G33" s="30" t="n"/>
      <c r="H33" s="30" t="n"/>
      <c r="I33" s="33" t="n"/>
    </row>
    <row r="34" ht="15" customHeight="1">
      <c r="A34" s="24" t="n"/>
      <c r="B34" s="18" t="n"/>
      <c r="C34" s="30" t="n"/>
      <c r="D34" s="30" t="n"/>
      <c r="E34" s="30" t="n"/>
      <c r="F34" s="30" t="n"/>
      <c r="G34" s="30" t="n"/>
      <c r="H34" s="30" t="n"/>
      <c r="I34" s="33" t="n"/>
    </row>
    <row r="35" ht="15" customHeight="1">
      <c r="A35" s="24" t="n"/>
      <c r="B35" s="18" t="n"/>
      <c r="C35" s="30" t="n"/>
      <c r="D35" s="30" t="n"/>
      <c r="E35" s="30" t="n"/>
      <c r="F35" s="30" t="n"/>
      <c r="G35" s="30" t="n"/>
      <c r="H35" s="30" t="n"/>
      <c r="I35" s="33" t="n"/>
    </row>
    <row r="36" ht="15" customHeight="1">
      <c r="A36" s="24" t="n"/>
      <c r="B36" s="18" t="n"/>
      <c r="C36" s="30" t="n"/>
      <c r="D36" s="30" t="n"/>
      <c r="E36" s="30" t="n"/>
      <c r="F36" s="30" t="n"/>
      <c r="G36" s="30" t="n"/>
      <c r="H36" s="30" t="n"/>
      <c r="I36" s="33" t="n"/>
    </row>
    <row r="37" ht="15" customHeight="1">
      <c r="A37" s="24" t="n"/>
      <c r="B37" s="18" t="n"/>
      <c r="C37" s="30" t="n"/>
      <c r="D37" s="30" t="n"/>
      <c r="E37" s="30" t="n"/>
      <c r="F37" s="30" t="n"/>
      <c r="G37" s="30" t="n"/>
      <c r="H37" s="30" t="n"/>
      <c r="I37" s="33" t="n"/>
    </row>
    <row r="38" ht="15" customHeight="1">
      <c r="A38" s="24" t="n"/>
      <c r="B38" s="18" t="n"/>
      <c r="C38" s="30" t="n"/>
      <c r="D38" s="30" t="n"/>
      <c r="E38" s="30" t="n"/>
      <c r="F38" s="30" t="n"/>
      <c r="G38" s="30" t="n"/>
      <c r="H38" s="30" t="n"/>
      <c r="I38" s="33" t="n"/>
    </row>
    <row r="39" ht="15" customHeight="1">
      <c r="A39" s="24" t="n"/>
      <c r="B39" s="18" t="n"/>
      <c r="C39" s="30" t="n"/>
      <c r="D39" s="30" t="n"/>
      <c r="E39" s="30" t="n"/>
      <c r="F39" s="30" t="n"/>
      <c r="G39" s="30" t="n"/>
      <c r="H39" s="30" t="n"/>
      <c r="I39" s="33" t="n"/>
    </row>
    <row r="40" ht="15" customHeight="1">
      <c r="A40" s="24" t="n"/>
      <c r="B40" s="18" t="n"/>
      <c r="C40" s="30" t="n"/>
      <c r="D40" s="30" t="n"/>
      <c r="E40" s="30" t="n"/>
      <c r="F40" s="30" t="n"/>
      <c r="G40" s="30" t="n"/>
      <c r="H40" s="30" t="n"/>
      <c r="I40" s="33" t="n"/>
    </row>
    <row r="41" ht="15" customHeight="1">
      <c r="A41" s="24" t="n"/>
      <c r="B41" s="18" t="n"/>
      <c r="C41" s="30" t="n"/>
      <c r="D41" s="30" t="n"/>
      <c r="E41" s="30" t="n"/>
      <c r="F41" s="30" t="n"/>
      <c r="G41" s="30" t="n"/>
      <c r="H41" s="30" t="n"/>
      <c r="I41" s="33" t="n"/>
    </row>
    <row r="42" ht="15" customHeight="1">
      <c r="A42" s="24" t="n"/>
      <c r="B42" s="18" t="n"/>
      <c r="C42" s="30" t="n"/>
      <c r="D42" s="30" t="n"/>
      <c r="E42" s="30" t="n"/>
      <c r="F42" s="30" t="n"/>
      <c r="G42" s="30" t="n"/>
      <c r="H42" s="30" t="n"/>
      <c r="I42" s="33" t="n"/>
    </row>
    <row r="43" ht="15" customHeight="1">
      <c r="A43" s="24" t="n"/>
      <c r="B43" s="18" t="n"/>
      <c r="C43" s="30" t="n"/>
      <c r="D43" s="30" t="n"/>
      <c r="E43" s="30" t="n"/>
      <c r="F43" s="30" t="n"/>
      <c r="G43" s="30" t="n"/>
      <c r="H43" s="30" t="n"/>
      <c r="I43" s="33" t="n"/>
    </row>
    <row r="44" ht="15" customHeight="1">
      <c r="A44" s="24" t="n"/>
      <c r="B44" s="18" t="n"/>
      <c r="C44" s="30" t="n"/>
      <c r="D44" s="30" t="n"/>
      <c r="E44" s="30" t="n"/>
      <c r="F44" s="30" t="n"/>
      <c r="G44" s="30" t="n"/>
      <c r="H44" s="30" t="n"/>
      <c r="I44" s="33" t="n"/>
    </row>
    <row r="45" ht="15" customHeight="1">
      <c r="A45" s="24" t="n"/>
      <c r="B45" s="18" t="n"/>
      <c r="C45" s="30" t="n"/>
      <c r="D45" s="30" t="n"/>
      <c r="E45" s="30" t="n"/>
      <c r="F45" s="30" t="n"/>
      <c r="G45" s="30" t="n"/>
      <c r="H45" s="30" t="n"/>
      <c r="I45" s="33" t="n"/>
    </row>
    <row r="46" ht="15" customHeight="1">
      <c r="A46" s="24" t="n"/>
      <c r="B46" s="18" t="n"/>
      <c r="C46" s="30" t="n"/>
      <c r="D46" s="30" t="n"/>
      <c r="E46" s="30" t="n"/>
      <c r="F46" s="30" t="n"/>
      <c r="G46" s="30" t="n"/>
      <c r="H46" s="30" t="n"/>
      <c r="I46" s="33" t="n"/>
    </row>
    <row r="47" ht="15" customHeight="1">
      <c r="A47" s="24" t="n"/>
      <c r="B47" s="18" t="n"/>
      <c r="C47" s="30" t="n"/>
      <c r="D47" s="30" t="n"/>
      <c r="E47" s="30" t="n"/>
      <c r="F47" s="30" t="n"/>
      <c r="G47" s="30" t="n"/>
      <c r="H47" s="30" t="n"/>
      <c r="I47" s="33" t="n"/>
    </row>
    <row r="48" ht="15" customHeight="1">
      <c r="A48" s="24" t="n"/>
      <c r="B48" s="18" t="n"/>
      <c r="C48" s="30" t="n"/>
      <c r="D48" s="30" t="n"/>
      <c r="E48" s="30" t="n"/>
      <c r="F48" s="30" t="n"/>
      <c r="G48" s="30" t="n"/>
      <c r="H48" s="30" t="n"/>
      <c r="I48" s="33" t="n"/>
    </row>
    <row r="49" ht="15" customHeight="1">
      <c r="A49" s="24" t="n"/>
      <c r="B49" s="18" t="n"/>
      <c r="C49" s="30" t="n"/>
      <c r="D49" s="30" t="n"/>
      <c r="E49" s="30" t="n"/>
      <c r="F49" s="30" t="n"/>
      <c r="G49" s="30" t="n"/>
      <c r="H49" s="30" t="n"/>
      <c r="I49" s="33" t="n"/>
    </row>
    <row r="50" ht="15" customHeight="1">
      <c r="A50" s="24" t="n"/>
      <c r="B50" s="18" t="n"/>
      <c r="C50" s="30" t="n"/>
      <c r="D50" s="30" t="n"/>
      <c r="E50" s="30" t="n"/>
      <c r="F50" s="30" t="n"/>
      <c r="G50" s="30" t="n"/>
      <c r="H50" s="30" t="n"/>
      <c r="I50" s="33" t="n"/>
    </row>
    <row r="51" ht="15" customHeight="1">
      <c r="A51" s="24" t="n"/>
      <c r="B51" s="18" t="n"/>
      <c r="C51" s="30" t="n"/>
      <c r="D51" s="30" t="n"/>
      <c r="E51" s="30" t="n"/>
      <c r="F51" s="30" t="n"/>
      <c r="G51" s="30" t="n"/>
      <c r="H51" s="30" t="n"/>
      <c r="I51" s="33" t="n"/>
    </row>
    <row r="52" ht="15" customHeight="1">
      <c r="A52" s="24" t="n"/>
      <c r="B52" s="18" t="n"/>
      <c r="C52" s="30" t="n"/>
      <c r="D52" s="30" t="n"/>
      <c r="E52" s="30" t="n"/>
      <c r="F52" s="30" t="n"/>
      <c r="G52" s="30" t="n"/>
      <c r="H52" s="30" t="n"/>
      <c r="I52" s="33" t="n"/>
    </row>
    <row r="53" ht="15" customHeight="1">
      <c r="A53" s="24" t="n"/>
      <c r="B53" s="18" t="n"/>
      <c r="C53" s="30" t="n"/>
      <c r="D53" s="30" t="n"/>
      <c r="E53" s="30" t="n"/>
      <c r="F53" s="30" t="n"/>
      <c r="G53" s="30" t="n"/>
      <c r="H53" s="30" t="n"/>
      <c r="I53" s="33" t="n"/>
    </row>
    <row r="54" ht="15" customHeight="1">
      <c r="A54" s="24" t="n"/>
      <c r="B54" s="18" t="n"/>
      <c r="C54" s="30" t="n"/>
      <c r="D54" s="30" t="n"/>
      <c r="E54" s="30" t="n"/>
      <c r="F54" s="30" t="n"/>
      <c r="G54" s="30" t="n"/>
      <c r="H54" s="30" t="n"/>
      <c r="I54" s="33" t="n"/>
    </row>
    <row r="55" ht="15" customHeight="1">
      <c r="A55" s="24" t="n"/>
      <c r="B55" s="18" t="n"/>
      <c r="C55" s="30" t="n"/>
      <c r="D55" s="30" t="n"/>
      <c r="E55" s="30" t="n"/>
      <c r="F55" s="30" t="n"/>
      <c r="G55" s="30" t="n"/>
      <c r="H55" s="30" t="n"/>
      <c r="I55" s="33" t="n"/>
    </row>
    <row r="56" ht="15" customHeight="1">
      <c r="A56" s="24" t="n"/>
      <c r="B56" s="18" t="n"/>
      <c r="C56" s="30" t="n"/>
      <c r="D56" s="30" t="n"/>
      <c r="E56" s="30" t="n"/>
      <c r="F56" s="30" t="n"/>
      <c r="G56" s="30" t="n"/>
      <c r="H56" s="30" t="n"/>
      <c r="I56" s="33" t="n"/>
    </row>
    <row r="57" ht="15" customHeight="1">
      <c r="A57" s="24" t="n"/>
      <c r="B57" s="18" t="n"/>
      <c r="C57" s="30" t="n"/>
      <c r="D57" s="30" t="n"/>
      <c r="E57" s="30" t="n"/>
      <c r="F57" s="30" t="n"/>
      <c r="G57" s="30" t="n"/>
      <c r="H57" s="30" t="n"/>
      <c r="I57" s="33" t="n"/>
    </row>
    <row r="58" ht="15" customHeight="1">
      <c r="A58" s="24" t="n"/>
      <c r="B58" s="18" t="n"/>
      <c r="C58" s="30" t="n"/>
      <c r="D58" s="30" t="n"/>
      <c r="E58" s="30" t="n"/>
      <c r="F58" s="30" t="n"/>
      <c r="G58" s="30" t="n"/>
      <c r="H58" s="30" t="n"/>
      <c r="I58" s="33" t="n"/>
    </row>
    <row r="59" ht="15" customHeight="1">
      <c r="A59" s="24" t="n"/>
      <c r="B59" s="18" t="n"/>
      <c r="C59" s="30" t="n"/>
      <c r="D59" s="30" t="n"/>
      <c r="E59" s="30" t="n"/>
      <c r="F59" s="30" t="n"/>
      <c r="G59" s="30" t="n"/>
      <c r="H59" s="30" t="n"/>
      <c r="I59" s="33" t="n"/>
    </row>
    <row r="60" ht="15" customHeight="1">
      <c r="A60" s="24" t="n"/>
      <c r="B60" s="18" t="n"/>
      <c r="C60" s="30" t="n"/>
      <c r="D60" s="30" t="n"/>
      <c r="E60" s="30" t="n"/>
      <c r="F60" s="30" t="n"/>
      <c r="G60" s="30" t="n"/>
      <c r="H60" s="30" t="n"/>
      <c r="I60" s="33" t="n"/>
    </row>
    <row r="61" ht="15" customHeight="1">
      <c r="A61" s="24" t="n"/>
      <c r="B61" s="18" t="n"/>
      <c r="C61" s="30" t="n"/>
      <c r="D61" s="30" t="n"/>
      <c r="E61" s="30" t="n"/>
      <c r="F61" s="30" t="n"/>
      <c r="G61" s="30" t="n"/>
      <c r="H61" s="30" t="n"/>
      <c r="I61" s="33" t="n"/>
    </row>
    <row r="62" ht="15" customHeight="1">
      <c r="A62" s="24" t="n"/>
      <c r="B62" s="18" t="n"/>
      <c r="C62" s="30" t="n"/>
      <c r="D62" s="30" t="n"/>
      <c r="E62" s="30" t="n"/>
      <c r="F62" s="30" t="n"/>
      <c r="G62" s="30" t="n"/>
      <c r="H62" s="30" t="n"/>
      <c r="I62" s="33" t="n"/>
    </row>
    <row r="63" ht="15" customHeight="1">
      <c r="A63" s="24" t="n"/>
      <c r="B63" s="18" t="n"/>
      <c r="C63" s="30" t="n"/>
      <c r="D63" s="30" t="n"/>
      <c r="E63" s="30" t="n"/>
      <c r="F63" s="30" t="n"/>
      <c r="G63" s="30" t="n"/>
      <c r="H63" s="30" t="n"/>
      <c r="I63" s="33" t="n"/>
    </row>
    <row r="64" ht="15" customHeight="1">
      <c r="A64" s="24" t="n"/>
      <c r="B64" s="18" t="n"/>
      <c r="C64" s="30" t="n"/>
      <c r="D64" s="30" t="n"/>
      <c r="E64" s="30" t="n"/>
      <c r="F64" s="30" t="n"/>
      <c r="G64" s="30" t="n"/>
      <c r="H64" s="30" t="n"/>
      <c r="I64" s="33" t="n"/>
    </row>
    <row r="65" ht="15" customHeight="1">
      <c r="A65" s="24" t="n"/>
      <c r="B65" s="18" t="n"/>
      <c r="C65" s="30" t="n"/>
      <c r="D65" s="30" t="n"/>
      <c r="E65" s="30" t="n"/>
      <c r="F65" s="30" t="n"/>
      <c r="G65" s="30" t="n"/>
      <c r="H65" s="30" t="n"/>
      <c r="I65" s="33" t="n"/>
    </row>
    <row r="66" ht="15" customHeight="1">
      <c r="A66" s="24" t="n"/>
      <c r="B66" s="18" t="n"/>
      <c r="C66" s="30" t="n"/>
      <c r="D66" s="30" t="n"/>
      <c r="E66" s="30" t="n"/>
      <c r="F66" s="30" t="n"/>
      <c r="G66" s="30" t="n"/>
      <c r="H66" s="30" t="n"/>
      <c r="I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75B6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REPROCESS</t>
        </is>
      </c>
    </row>
    <row r="2">
      <c r="A2" s="2" t="inlineStr">
        <is>
          <t>Excluir reproc dos indicadores da equipe principal; NAO excluir seu custo economico. Net Reprocess = custo perdido + recuperacao - valor recuperado.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REPRO_ID</t>
        </is>
      </c>
      <c r="B6" s="5" t="inlineStr">
        <is>
          <t>OF_ID origem</t>
        </is>
      </c>
      <c r="C6" s="5" t="inlineStr">
        <is>
          <t>PRODUCT_ID</t>
        </is>
      </c>
      <c r="D6" s="5" t="inlineStr">
        <is>
          <t>Qtd (t)</t>
        </is>
      </c>
      <c r="E6" s="5" t="inlineStr">
        <is>
          <t>Custo original perdido R$</t>
        </is>
      </c>
      <c r="F6" s="5" t="inlineStr">
        <is>
          <t>Custo recuperacao R$</t>
        </is>
      </c>
      <c r="G6" s="5" t="inlineStr">
        <is>
          <t>Valor recuperado R$</t>
        </is>
      </c>
      <c r="H6" s="5" t="inlineStr">
        <is>
          <t>NET reprocess R$</t>
        </is>
      </c>
    </row>
    <row r="7" ht="15" customHeight="1">
      <c r="A7" s="24" t="inlineStr">
        <is>
          <t>RP-001</t>
        </is>
      </c>
      <c r="B7" s="18" t="inlineStr">
        <is>
          <t>OF-2603-03</t>
        </is>
      </c>
      <c r="C7" s="18" t="inlineStr">
        <is>
          <t>P003</t>
        </is>
      </c>
      <c r="D7" s="30" t="n">
        <v>0.5</v>
      </c>
      <c r="E7" s="30" t="n">
        <v>150</v>
      </c>
      <c r="F7" s="30" t="n">
        <v>60</v>
      </c>
      <c r="G7" s="30" t="n">
        <v>120</v>
      </c>
      <c r="H7" s="33">
        <f>E7+F7-G7</f>
        <v/>
      </c>
    </row>
    <row r="8" ht="15" customHeight="1">
      <c r="A8" s="24" t="n"/>
      <c r="B8" s="18" t="n"/>
      <c r="C8" s="18" t="n"/>
      <c r="D8" s="30" t="n"/>
      <c r="E8" s="30" t="n"/>
      <c r="F8" s="30" t="n"/>
      <c r="G8" s="30" t="n"/>
      <c r="H8" s="33" t="n"/>
    </row>
    <row r="9" ht="15" customHeight="1">
      <c r="A9" s="27" t="inlineStr">
        <is>
          <t>^ Linhas acima = dados DEMO (marcados). Abaixo: campos de entrada em branco para dados reais.</t>
        </is>
      </c>
      <c r="B9" s="18" t="n"/>
      <c r="C9" s="18" t="n"/>
      <c r="D9" s="30" t="n"/>
      <c r="E9" s="30" t="n"/>
      <c r="F9" s="30" t="n"/>
      <c r="G9" s="30" t="n"/>
      <c r="H9" s="33" t="n"/>
    </row>
    <row r="10" ht="15" customHeight="1">
      <c r="A10" s="24" t="n"/>
      <c r="B10" s="18" t="n"/>
      <c r="C10" s="18" t="n"/>
      <c r="D10" s="30" t="n"/>
      <c r="E10" s="30" t="n"/>
      <c r="F10" s="30" t="n"/>
      <c r="G10" s="30" t="n"/>
      <c r="H10" s="33" t="n"/>
    </row>
    <row r="11" ht="15" customHeight="1">
      <c r="A11" s="24" t="n"/>
      <c r="B11" s="18" t="n"/>
      <c r="C11" s="18" t="n"/>
      <c r="D11" s="30" t="n"/>
      <c r="E11" s="30" t="n"/>
      <c r="F11" s="30" t="n"/>
      <c r="G11" s="30" t="n"/>
      <c r="H11" s="33" t="n"/>
    </row>
    <row r="12" ht="15" customHeight="1">
      <c r="A12" s="24" t="n"/>
      <c r="B12" s="18" t="n"/>
      <c r="C12" s="18" t="n"/>
      <c r="D12" s="30" t="n"/>
      <c r="E12" s="30" t="n"/>
      <c r="F12" s="30" t="n"/>
      <c r="G12" s="30" t="n"/>
      <c r="H12" s="33" t="n"/>
    </row>
    <row r="13" ht="15" customHeight="1">
      <c r="A13" s="24" t="n"/>
      <c r="B13" s="18" t="n"/>
      <c r="C13" s="18" t="n"/>
      <c r="D13" s="30" t="n"/>
      <c r="E13" s="30" t="n"/>
      <c r="F13" s="30" t="n"/>
      <c r="G13" s="30" t="n"/>
      <c r="H13" s="33" t="n"/>
    </row>
    <row r="14" ht="15" customHeight="1">
      <c r="A14" s="24" t="n"/>
      <c r="B14" s="18" t="n"/>
      <c r="C14" s="18" t="n"/>
      <c r="D14" s="30" t="n"/>
      <c r="E14" s="30" t="n"/>
      <c r="F14" s="30" t="n"/>
      <c r="G14" s="30" t="n"/>
      <c r="H14" s="33" t="n"/>
    </row>
    <row r="15" ht="15" customHeight="1">
      <c r="A15" s="24" t="n"/>
      <c r="B15" s="18" t="n"/>
      <c r="C15" s="18" t="n"/>
      <c r="D15" s="30" t="n"/>
      <c r="E15" s="30" t="n"/>
      <c r="F15" s="30" t="n"/>
      <c r="G15" s="30" t="n"/>
      <c r="H15" s="33" t="n"/>
    </row>
    <row r="16" ht="15" customHeight="1">
      <c r="A16" s="24" t="n"/>
      <c r="B16" s="18" t="n"/>
      <c r="C16" s="18" t="n"/>
      <c r="D16" s="30" t="n"/>
      <c r="E16" s="30" t="n"/>
      <c r="F16" s="30" t="n"/>
      <c r="G16" s="30" t="n"/>
      <c r="H16" s="33" t="n"/>
    </row>
    <row r="17" ht="15" customHeight="1">
      <c r="A17" s="24" t="n"/>
      <c r="B17" s="18" t="n"/>
      <c r="C17" s="18" t="n"/>
      <c r="D17" s="30" t="n"/>
      <c r="E17" s="30" t="n"/>
      <c r="F17" s="30" t="n"/>
      <c r="G17" s="30" t="n"/>
      <c r="H17" s="33" t="n"/>
    </row>
    <row r="18" ht="15" customHeight="1">
      <c r="A18" s="24" t="n"/>
      <c r="B18" s="18" t="n"/>
      <c r="C18" s="18" t="n"/>
      <c r="D18" s="30" t="n"/>
      <c r="E18" s="30" t="n"/>
      <c r="F18" s="30" t="n"/>
      <c r="G18" s="30" t="n"/>
      <c r="H18" s="33" t="n"/>
    </row>
    <row r="19" ht="15" customHeight="1">
      <c r="A19" s="24" t="n"/>
      <c r="B19" s="18" t="n"/>
      <c r="C19" s="18" t="n"/>
      <c r="D19" s="30" t="n"/>
      <c r="E19" s="30" t="n"/>
      <c r="F19" s="30" t="n"/>
      <c r="G19" s="30" t="n"/>
      <c r="H19" s="33" t="n"/>
    </row>
    <row r="20" ht="15" customHeight="1">
      <c r="A20" s="24" t="n"/>
      <c r="B20" s="18" t="n"/>
      <c r="C20" s="18" t="n"/>
      <c r="D20" s="30" t="n"/>
      <c r="E20" s="30" t="n"/>
      <c r="F20" s="30" t="n"/>
      <c r="G20" s="30" t="n"/>
      <c r="H20" s="33" t="n"/>
    </row>
    <row r="21" ht="15" customHeight="1">
      <c r="A21" s="24" t="n"/>
      <c r="B21" s="18" t="n"/>
      <c r="C21" s="18" t="n"/>
      <c r="D21" s="30" t="n"/>
      <c r="E21" s="30" t="n"/>
      <c r="F21" s="30" t="n"/>
      <c r="G21" s="30" t="n"/>
      <c r="H21" s="33" t="n"/>
    </row>
    <row r="22" ht="15" customHeight="1">
      <c r="A22" s="24" t="n"/>
      <c r="B22" s="18" t="n"/>
      <c r="C22" s="18" t="n"/>
      <c r="D22" s="30" t="n"/>
      <c r="E22" s="30" t="n"/>
      <c r="F22" s="30" t="n"/>
      <c r="G22" s="30" t="n"/>
      <c r="H22" s="33" t="n"/>
    </row>
    <row r="23" ht="15" customHeight="1">
      <c r="A23" s="24" t="n"/>
      <c r="B23" s="18" t="n"/>
      <c r="C23" s="18" t="n"/>
      <c r="D23" s="30" t="n"/>
      <c r="E23" s="30" t="n"/>
      <c r="F23" s="30" t="n"/>
      <c r="G23" s="30" t="n"/>
      <c r="H23" s="33" t="n"/>
    </row>
    <row r="24" ht="15" customHeight="1">
      <c r="A24" s="24" t="n"/>
      <c r="B24" s="18" t="n"/>
      <c r="C24" s="18" t="n"/>
      <c r="D24" s="30" t="n"/>
      <c r="E24" s="30" t="n"/>
      <c r="F24" s="30" t="n"/>
      <c r="G24" s="30" t="n"/>
      <c r="H24" s="33" t="n"/>
    </row>
    <row r="25" ht="15" customHeight="1">
      <c r="A25" s="24" t="n"/>
      <c r="B25" s="18" t="n"/>
      <c r="C25" s="18" t="n"/>
      <c r="D25" s="30" t="n"/>
      <c r="E25" s="30" t="n"/>
      <c r="F25" s="30" t="n"/>
      <c r="G25" s="30" t="n"/>
      <c r="H25" s="33" t="n"/>
    </row>
    <row r="26" ht="15" customHeight="1">
      <c r="A26" s="24" t="n"/>
      <c r="B26" s="18" t="n"/>
      <c r="C26" s="18" t="n"/>
      <c r="D26" s="30" t="n"/>
      <c r="E26" s="30" t="n"/>
      <c r="F26" s="30" t="n"/>
      <c r="G26" s="30" t="n"/>
      <c r="H26" s="33" t="n"/>
    </row>
    <row r="27" ht="15" customHeight="1">
      <c r="A27" s="24" t="n"/>
      <c r="B27" s="18" t="n"/>
      <c r="C27" s="18" t="n"/>
      <c r="D27" s="30" t="n"/>
      <c r="E27" s="30" t="n"/>
      <c r="F27" s="30" t="n"/>
      <c r="G27" s="30" t="n"/>
      <c r="H27" s="33" t="n"/>
    </row>
    <row r="28" ht="15" customHeight="1">
      <c r="A28" s="24" t="n"/>
      <c r="B28" s="18" t="n"/>
      <c r="C28" s="18" t="n"/>
      <c r="D28" s="30" t="n"/>
      <c r="E28" s="30" t="n"/>
      <c r="F28" s="30" t="n"/>
      <c r="G28" s="30" t="n"/>
      <c r="H28" s="33" t="n"/>
    </row>
    <row r="29" ht="15" customHeight="1">
      <c r="A29" s="24" t="n"/>
      <c r="B29" s="18" t="n"/>
      <c r="C29" s="18" t="n"/>
      <c r="D29" s="30" t="n"/>
      <c r="E29" s="30" t="n"/>
      <c r="F29" s="30" t="n"/>
      <c r="G29" s="30" t="n"/>
      <c r="H29" s="33" t="n"/>
    </row>
    <row r="30" ht="15" customHeight="1">
      <c r="A30" s="24" t="n"/>
      <c r="B30" s="18" t="n"/>
      <c r="C30" s="18" t="n"/>
      <c r="D30" s="30" t="n"/>
      <c r="E30" s="30" t="n"/>
      <c r="F30" s="30" t="n"/>
      <c r="G30" s="30" t="n"/>
      <c r="H30" s="33" t="n"/>
    </row>
    <row r="31" ht="15" customHeight="1">
      <c r="A31" s="24" t="n"/>
      <c r="B31" s="18" t="n"/>
      <c r="C31" s="18" t="n"/>
      <c r="D31" s="30" t="n"/>
      <c r="E31" s="30" t="n"/>
      <c r="F31" s="30" t="n"/>
      <c r="G31" s="30" t="n"/>
      <c r="H31" s="33" t="n"/>
    </row>
    <row r="32" ht="15" customHeight="1">
      <c r="A32" s="24" t="n"/>
      <c r="B32" s="18" t="n"/>
      <c r="C32" s="18" t="n"/>
      <c r="D32" s="30" t="n"/>
      <c r="E32" s="30" t="n"/>
      <c r="F32" s="30" t="n"/>
      <c r="G32" s="30" t="n"/>
      <c r="H32" s="33" t="n"/>
    </row>
    <row r="33" ht="15" customHeight="1">
      <c r="A33" s="24" t="n"/>
      <c r="B33" s="18" t="n"/>
      <c r="C33" s="18" t="n"/>
      <c r="D33" s="30" t="n"/>
      <c r="E33" s="30" t="n"/>
      <c r="F33" s="30" t="n"/>
      <c r="G33" s="30" t="n"/>
      <c r="H33" s="33" t="n"/>
    </row>
    <row r="34" ht="15" customHeight="1">
      <c r="A34" s="24" t="n"/>
      <c r="B34" s="18" t="n"/>
      <c r="C34" s="18" t="n"/>
      <c r="D34" s="30" t="n"/>
      <c r="E34" s="30" t="n"/>
      <c r="F34" s="30" t="n"/>
      <c r="G34" s="30" t="n"/>
      <c r="H34" s="33" t="n"/>
    </row>
    <row r="35" ht="15" customHeight="1">
      <c r="A35" s="24" t="n"/>
      <c r="B35" s="18" t="n"/>
      <c r="C35" s="18" t="n"/>
      <c r="D35" s="30" t="n"/>
      <c r="E35" s="30" t="n"/>
      <c r="F35" s="30" t="n"/>
      <c r="G35" s="30" t="n"/>
      <c r="H35" s="33" t="n"/>
    </row>
    <row r="36" ht="15" customHeight="1">
      <c r="A36" s="24" t="n"/>
      <c r="B36" s="18" t="n"/>
      <c r="C36" s="18" t="n"/>
      <c r="D36" s="30" t="n"/>
      <c r="E36" s="30" t="n"/>
      <c r="F36" s="30" t="n"/>
      <c r="G36" s="30" t="n"/>
      <c r="H36" s="33" t="n"/>
    </row>
    <row r="37" ht="15" customHeight="1">
      <c r="A37" s="24" t="n"/>
      <c r="B37" s="18" t="n"/>
      <c r="C37" s="18" t="n"/>
      <c r="D37" s="30" t="n"/>
      <c r="E37" s="30" t="n"/>
      <c r="F37" s="30" t="n"/>
      <c r="G37" s="30" t="n"/>
      <c r="H37" s="33" t="n"/>
    </row>
    <row r="38" ht="15" customHeight="1">
      <c r="A38" s="24" t="n"/>
      <c r="B38" s="18" t="n"/>
      <c r="C38" s="18" t="n"/>
      <c r="D38" s="30" t="n"/>
      <c r="E38" s="30" t="n"/>
      <c r="F38" s="30" t="n"/>
      <c r="G38" s="30" t="n"/>
      <c r="H38" s="33" t="n"/>
    </row>
    <row r="39" ht="15" customHeight="1">
      <c r="A39" s="24" t="n"/>
      <c r="B39" s="18" t="n"/>
      <c r="C39" s="18" t="n"/>
      <c r="D39" s="30" t="n"/>
      <c r="E39" s="30" t="n"/>
      <c r="F39" s="30" t="n"/>
      <c r="G39" s="30" t="n"/>
      <c r="H39" s="33" t="n"/>
    </row>
    <row r="40" ht="15" customHeight="1">
      <c r="A40" s="24" t="n"/>
      <c r="B40" s="18" t="n"/>
      <c r="C40" s="18" t="n"/>
      <c r="D40" s="30" t="n"/>
      <c r="E40" s="30" t="n"/>
      <c r="F40" s="30" t="n"/>
      <c r="G40" s="30" t="n"/>
      <c r="H40" s="33" t="n"/>
    </row>
    <row r="41" ht="15" customHeight="1">
      <c r="A41" s="24" t="n"/>
      <c r="B41" s="18" t="n"/>
      <c r="C41" s="18" t="n"/>
      <c r="D41" s="30" t="n"/>
      <c r="E41" s="30" t="n"/>
      <c r="F41" s="30" t="n"/>
      <c r="G41" s="30" t="n"/>
      <c r="H41" s="33" t="n"/>
    </row>
    <row r="42" ht="15" customHeight="1">
      <c r="A42" s="24" t="n"/>
      <c r="B42" s="18" t="n"/>
      <c r="C42" s="18" t="n"/>
      <c r="D42" s="30" t="n"/>
      <c r="E42" s="30" t="n"/>
      <c r="F42" s="30" t="n"/>
      <c r="G42" s="30" t="n"/>
      <c r="H42" s="33" t="n"/>
    </row>
    <row r="43" ht="15" customHeight="1">
      <c r="A43" s="24" t="n"/>
      <c r="B43" s="18" t="n"/>
      <c r="C43" s="18" t="n"/>
      <c r="D43" s="30" t="n"/>
      <c r="E43" s="30" t="n"/>
      <c r="F43" s="30" t="n"/>
      <c r="G43" s="30" t="n"/>
      <c r="H43" s="33" t="n"/>
    </row>
    <row r="44" ht="15" customHeight="1">
      <c r="A44" s="24" t="n"/>
      <c r="B44" s="18" t="n"/>
      <c r="C44" s="18" t="n"/>
      <c r="D44" s="30" t="n"/>
      <c r="E44" s="30" t="n"/>
      <c r="F44" s="30" t="n"/>
      <c r="G44" s="30" t="n"/>
      <c r="H44" s="33" t="n"/>
    </row>
    <row r="45" ht="15" customHeight="1">
      <c r="A45" s="24" t="n"/>
      <c r="B45" s="18" t="n"/>
      <c r="C45" s="18" t="n"/>
      <c r="D45" s="30" t="n"/>
      <c r="E45" s="30" t="n"/>
      <c r="F45" s="30" t="n"/>
      <c r="G45" s="30" t="n"/>
      <c r="H45" s="33" t="n"/>
    </row>
    <row r="46" ht="15" customHeight="1">
      <c r="A46" s="24" t="n"/>
      <c r="B46" s="18" t="n"/>
      <c r="C46" s="18" t="n"/>
      <c r="D46" s="30" t="n"/>
      <c r="E46" s="30" t="n"/>
      <c r="F46" s="30" t="n"/>
      <c r="G46" s="30" t="n"/>
      <c r="H46" s="33" t="n"/>
    </row>
    <row r="47" ht="15" customHeight="1">
      <c r="A47" s="24" t="n"/>
      <c r="B47" s="18" t="n"/>
      <c r="C47" s="18" t="n"/>
      <c r="D47" s="30" t="n"/>
      <c r="E47" s="30" t="n"/>
      <c r="F47" s="30" t="n"/>
      <c r="G47" s="30" t="n"/>
      <c r="H47" s="33" t="n"/>
    </row>
    <row r="48" ht="15" customHeight="1">
      <c r="A48" s="24" t="n"/>
      <c r="B48" s="18" t="n"/>
      <c r="C48" s="18" t="n"/>
      <c r="D48" s="30" t="n"/>
      <c r="E48" s="30" t="n"/>
      <c r="F48" s="30" t="n"/>
      <c r="G48" s="30" t="n"/>
      <c r="H48" s="33" t="n"/>
    </row>
    <row r="49" ht="15" customHeight="1">
      <c r="A49" s="24" t="n"/>
      <c r="B49" s="18" t="n"/>
      <c r="C49" s="18" t="n"/>
      <c r="D49" s="30" t="n"/>
      <c r="E49" s="30" t="n"/>
      <c r="F49" s="30" t="n"/>
      <c r="G49" s="30" t="n"/>
      <c r="H49" s="33" t="n"/>
    </row>
    <row r="50" ht="15" customHeight="1">
      <c r="A50" s="24" t="n"/>
      <c r="B50" s="18" t="n"/>
      <c r="C50" s="18" t="n"/>
      <c r="D50" s="30" t="n"/>
      <c r="E50" s="30" t="n"/>
      <c r="F50" s="30" t="n"/>
      <c r="G50" s="30" t="n"/>
      <c r="H50" s="33" t="n"/>
    </row>
    <row r="51" ht="15" customHeight="1">
      <c r="A51" s="24" t="n"/>
      <c r="B51" s="18" t="n"/>
      <c r="C51" s="18" t="n"/>
      <c r="D51" s="30" t="n"/>
      <c r="E51" s="30" t="n"/>
      <c r="F51" s="30" t="n"/>
      <c r="G51" s="30" t="n"/>
      <c r="H51" s="33" t="n"/>
    </row>
    <row r="52" ht="15" customHeight="1">
      <c r="A52" s="24" t="n"/>
      <c r="B52" s="18" t="n"/>
      <c r="C52" s="18" t="n"/>
      <c r="D52" s="30" t="n"/>
      <c r="E52" s="30" t="n"/>
      <c r="F52" s="30" t="n"/>
      <c r="G52" s="30" t="n"/>
      <c r="H52" s="33" t="n"/>
    </row>
    <row r="53" ht="15" customHeight="1">
      <c r="A53" s="24" t="n"/>
      <c r="B53" s="18" t="n"/>
      <c r="C53" s="18" t="n"/>
      <c r="D53" s="30" t="n"/>
      <c r="E53" s="30" t="n"/>
      <c r="F53" s="30" t="n"/>
      <c r="G53" s="30" t="n"/>
      <c r="H53" s="33" t="n"/>
    </row>
    <row r="54" ht="15" customHeight="1">
      <c r="A54" s="24" t="n"/>
      <c r="B54" s="18" t="n"/>
      <c r="C54" s="18" t="n"/>
      <c r="D54" s="30" t="n"/>
      <c r="E54" s="30" t="n"/>
      <c r="F54" s="30" t="n"/>
      <c r="G54" s="30" t="n"/>
      <c r="H54" s="33" t="n"/>
    </row>
    <row r="55" ht="15" customHeight="1">
      <c r="A55" s="24" t="n"/>
      <c r="B55" s="18" t="n"/>
      <c r="C55" s="18" t="n"/>
      <c r="D55" s="30" t="n"/>
      <c r="E55" s="30" t="n"/>
      <c r="F55" s="30" t="n"/>
      <c r="G55" s="30" t="n"/>
      <c r="H55" s="33" t="n"/>
    </row>
    <row r="56" ht="15" customHeight="1">
      <c r="A56" s="24" t="n"/>
      <c r="B56" s="18" t="n"/>
      <c r="C56" s="18" t="n"/>
      <c r="D56" s="30" t="n"/>
      <c r="E56" s="30" t="n"/>
      <c r="F56" s="30" t="n"/>
      <c r="G56" s="30" t="n"/>
      <c r="H56" s="33" t="n"/>
    </row>
    <row r="57" ht="15" customHeight="1">
      <c r="A57" s="24" t="n"/>
      <c r="B57" s="18" t="n"/>
      <c r="C57" s="18" t="n"/>
      <c r="D57" s="30" t="n"/>
      <c r="E57" s="30" t="n"/>
      <c r="F57" s="30" t="n"/>
      <c r="G57" s="30" t="n"/>
      <c r="H57" s="33" t="n"/>
    </row>
    <row r="58" ht="15" customHeight="1">
      <c r="A58" s="24" t="n"/>
      <c r="B58" s="18" t="n"/>
      <c r="C58" s="18" t="n"/>
      <c r="D58" s="30" t="n"/>
      <c r="E58" s="30" t="n"/>
      <c r="F58" s="30" t="n"/>
      <c r="G58" s="30" t="n"/>
      <c r="H58" s="33" t="n"/>
    </row>
    <row r="59" ht="15" customHeight="1">
      <c r="A59" s="24" t="n"/>
      <c r="B59" s="18" t="n"/>
      <c r="C59" s="18" t="n"/>
      <c r="D59" s="30" t="n"/>
      <c r="E59" s="30" t="n"/>
      <c r="F59" s="30" t="n"/>
      <c r="G59" s="30" t="n"/>
      <c r="H59" s="33" t="n"/>
    </row>
    <row r="60" ht="15" customHeight="1">
      <c r="A60" s="24" t="n"/>
      <c r="B60" s="18" t="n"/>
      <c r="C60" s="18" t="n"/>
      <c r="D60" s="30" t="n"/>
      <c r="E60" s="30" t="n"/>
      <c r="F60" s="30" t="n"/>
      <c r="G60" s="30" t="n"/>
      <c r="H60" s="33" t="n"/>
    </row>
    <row r="61" ht="15" customHeight="1">
      <c r="A61" s="24" t="n"/>
      <c r="B61" s="18" t="n"/>
      <c r="C61" s="18" t="n"/>
      <c r="D61" s="30" t="n"/>
      <c r="E61" s="30" t="n"/>
      <c r="F61" s="30" t="n"/>
      <c r="G61" s="30" t="n"/>
      <c r="H61" s="33" t="n"/>
    </row>
    <row r="62" ht="15" customHeight="1">
      <c r="A62" s="24" t="n"/>
      <c r="B62" s="18" t="n"/>
      <c r="C62" s="18" t="n"/>
      <c r="D62" s="30" t="n"/>
      <c r="E62" s="30" t="n"/>
      <c r="F62" s="30" t="n"/>
      <c r="G62" s="30" t="n"/>
      <c r="H62" s="33" t="n"/>
    </row>
    <row r="63" ht="15" customHeight="1">
      <c r="A63" s="24" t="n"/>
      <c r="B63" s="18" t="n"/>
      <c r="C63" s="18" t="n"/>
      <c r="D63" s="30" t="n"/>
      <c r="E63" s="30" t="n"/>
      <c r="F63" s="30" t="n"/>
      <c r="G63" s="30" t="n"/>
      <c r="H63" s="33" t="n"/>
    </row>
    <row r="64" ht="15" customHeight="1">
      <c r="A64" s="24" t="n"/>
      <c r="B64" s="18" t="n"/>
      <c r="C64" s="18" t="n"/>
      <c r="D64" s="30" t="n"/>
      <c r="E64" s="30" t="n"/>
      <c r="F64" s="30" t="n"/>
      <c r="G64" s="30" t="n"/>
      <c r="H64" s="33" t="n"/>
    </row>
    <row r="65" ht="15" customHeight="1">
      <c r="A65" s="24" t="n"/>
      <c r="B65" s="18" t="n"/>
      <c r="C65" s="18" t="n"/>
      <c r="D65" s="30" t="n"/>
      <c r="E65" s="30" t="n"/>
      <c r="F65" s="30" t="n"/>
      <c r="G65" s="30" t="n"/>
      <c r="H65" s="33" t="n"/>
    </row>
    <row r="66" ht="15" customHeight="1">
      <c r="A66" s="24" t="n"/>
      <c r="B66" s="18" t="n"/>
      <c r="C66" s="18" t="n"/>
      <c r="D66" s="30" t="n"/>
      <c r="E66" s="30" t="n"/>
      <c r="F66" s="30" t="n"/>
      <c r="G66" s="30" t="n"/>
      <c r="H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E75B6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8" customWidth="1" min="7" max="7"/>
    <col width="12" customWidth="1" min="8" max="8"/>
  </cols>
  <sheetData>
    <row r="1" ht="26" customHeight="1">
      <c r="A1" s="1" t="inlineStr">
        <is>
          <t>ENERGY</t>
        </is>
      </c>
    </row>
    <row r="2">
      <c r="A2" s="2" t="inlineStr">
        <is>
          <t>Energy Price Variance e Energy Usage Variance. kWh/t por OF quando disponivel.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PERIOD</t>
        </is>
      </c>
      <c r="B6" s="5" t="inlineStr">
        <is>
          <t>RESOURCE_ID</t>
        </is>
      </c>
      <c r="C6" s="5" t="inlineStr">
        <is>
          <t>kWh consumidos</t>
        </is>
      </c>
      <c r="D6" s="5" t="inlineStr">
        <is>
          <t>Tarifa R$/kWh</t>
        </is>
      </c>
      <c r="E6" s="5" t="inlineStr">
        <is>
          <t>Demanda R$</t>
        </is>
      </c>
      <c r="F6" s="5" t="inlineStr">
        <is>
          <t>Producao t</t>
        </is>
      </c>
      <c r="G6" s="5" t="inlineStr">
        <is>
          <t>kWh/t</t>
        </is>
      </c>
      <c r="H6" s="5" t="inlineStr">
        <is>
          <t>Custo energia R$</t>
        </is>
      </c>
    </row>
    <row r="7" ht="15" customHeight="1">
      <c r="A7" s="24" t="inlineStr">
        <is>
          <t>2026-03</t>
        </is>
      </c>
      <c r="B7" s="18" t="inlineStr">
        <is>
          <t>RES-MIST1</t>
        </is>
      </c>
      <c r="C7" s="30" t="n">
        <v>9000</v>
      </c>
      <c r="D7" s="37" t="n">
        <v>0.72</v>
      </c>
      <c r="E7" s="30" t="n">
        <v>1500</v>
      </c>
      <c r="F7" s="30" t="n">
        <v>650</v>
      </c>
      <c r="G7" s="33">
        <f>IFERROR(C7/F7,0)</f>
        <v/>
      </c>
      <c r="H7" s="33">
        <f>C7*D7+E7</f>
        <v/>
      </c>
    </row>
    <row r="8" ht="15" customHeight="1">
      <c r="A8" s="24" t="n"/>
      <c r="B8" s="18" t="n"/>
      <c r="C8" s="30" t="n"/>
      <c r="D8" s="37" t="n"/>
      <c r="E8" s="30" t="n"/>
      <c r="F8" s="30" t="n"/>
      <c r="G8" s="33" t="n"/>
      <c r="H8" s="33" t="n"/>
    </row>
    <row r="9" ht="15" customHeight="1">
      <c r="A9" s="27" t="inlineStr">
        <is>
          <t>^ Linhas acima = dados DEMO (marcados). Abaixo: campos de entrada em branco para dados reais.</t>
        </is>
      </c>
      <c r="B9" s="18" t="n"/>
      <c r="C9" s="30" t="n"/>
      <c r="D9" s="37" t="n"/>
      <c r="E9" s="30" t="n"/>
      <c r="F9" s="30" t="n"/>
      <c r="G9" s="33" t="n"/>
      <c r="H9" s="33" t="n"/>
    </row>
    <row r="10" ht="15" customHeight="1">
      <c r="A10" s="24" t="n"/>
      <c r="B10" s="18" t="n"/>
      <c r="C10" s="30" t="n"/>
      <c r="D10" s="37" t="n"/>
      <c r="E10" s="30" t="n"/>
      <c r="F10" s="30" t="n"/>
      <c r="G10" s="33" t="n"/>
      <c r="H10" s="33" t="n"/>
    </row>
    <row r="11" ht="15" customHeight="1">
      <c r="A11" s="24" t="n"/>
      <c r="B11" s="18" t="n"/>
      <c r="C11" s="30" t="n"/>
      <c r="D11" s="37" t="n"/>
      <c r="E11" s="30" t="n"/>
      <c r="F11" s="30" t="n"/>
      <c r="G11" s="33" t="n"/>
      <c r="H11" s="33" t="n"/>
    </row>
    <row r="12" ht="15" customHeight="1">
      <c r="A12" s="24" t="n"/>
      <c r="B12" s="18" t="n"/>
      <c r="C12" s="30" t="n"/>
      <c r="D12" s="37" t="n"/>
      <c r="E12" s="30" t="n"/>
      <c r="F12" s="30" t="n"/>
      <c r="G12" s="33" t="n"/>
      <c r="H12" s="33" t="n"/>
    </row>
    <row r="13" ht="15" customHeight="1">
      <c r="A13" s="24" t="n"/>
      <c r="B13" s="18" t="n"/>
      <c r="C13" s="30" t="n"/>
      <c r="D13" s="37" t="n"/>
      <c r="E13" s="30" t="n"/>
      <c r="F13" s="30" t="n"/>
      <c r="G13" s="33" t="n"/>
      <c r="H13" s="33" t="n"/>
    </row>
    <row r="14" ht="15" customHeight="1">
      <c r="A14" s="24" t="n"/>
      <c r="B14" s="18" t="n"/>
      <c r="C14" s="30" t="n"/>
      <c r="D14" s="37" t="n"/>
      <c r="E14" s="30" t="n"/>
      <c r="F14" s="30" t="n"/>
      <c r="G14" s="33" t="n"/>
      <c r="H14" s="33" t="n"/>
    </row>
    <row r="15" ht="15" customHeight="1">
      <c r="A15" s="24" t="n"/>
      <c r="B15" s="18" t="n"/>
      <c r="C15" s="30" t="n"/>
      <c r="D15" s="37" t="n"/>
      <c r="E15" s="30" t="n"/>
      <c r="F15" s="30" t="n"/>
      <c r="G15" s="33" t="n"/>
      <c r="H15" s="33" t="n"/>
    </row>
    <row r="16" ht="15" customHeight="1">
      <c r="A16" s="24" t="n"/>
      <c r="B16" s="18" t="n"/>
      <c r="C16" s="30" t="n"/>
      <c r="D16" s="37" t="n"/>
      <c r="E16" s="30" t="n"/>
      <c r="F16" s="30" t="n"/>
      <c r="G16" s="33" t="n"/>
      <c r="H16" s="33" t="n"/>
    </row>
    <row r="17" ht="15" customHeight="1">
      <c r="A17" s="24" t="n"/>
      <c r="B17" s="18" t="n"/>
      <c r="C17" s="30" t="n"/>
      <c r="D17" s="37" t="n"/>
      <c r="E17" s="30" t="n"/>
      <c r="F17" s="30" t="n"/>
      <c r="G17" s="33" t="n"/>
      <c r="H17" s="33" t="n"/>
    </row>
    <row r="18" ht="15" customHeight="1">
      <c r="A18" s="24" t="n"/>
      <c r="B18" s="18" t="n"/>
      <c r="C18" s="30" t="n"/>
      <c r="D18" s="37" t="n"/>
      <c r="E18" s="30" t="n"/>
      <c r="F18" s="30" t="n"/>
      <c r="G18" s="33" t="n"/>
      <c r="H18" s="33" t="n"/>
    </row>
    <row r="19" ht="15" customHeight="1">
      <c r="A19" s="24" t="n"/>
      <c r="B19" s="18" t="n"/>
      <c r="C19" s="30" t="n"/>
      <c r="D19" s="37" t="n"/>
      <c r="E19" s="30" t="n"/>
      <c r="F19" s="30" t="n"/>
      <c r="G19" s="33" t="n"/>
      <c r="H19" s="33" t="n"/>
    </row>
    <row r="20" ht="15" customHeight="1">
      <c r="A20" s="24" t="n"/>
      <c r="B20" s="18" t="n"/>
      <c r="C20" s="30" t="n"/>
      <c r="D20" s="37" t="n"/>
      <c r="E20" s="30" t="n"/>
      <c r="F20" s="30" t="n"/>
      <c r="G20" s="33" t="n"/>
      <c r="H20" s="33" t="n"/>
    </row>
    <row r="21" ht="15" customHeight="1">
      <c r="A21" s="24" t="n"/>
      <c r="B21" s="18" t="n"/>
      <c r="C21" s="30" t="n"/>
      <c r="D21" s="37" t="n"/>
      <c r="E21" s="30" t="n"/>
      <c r="F21" s="30" t="n"/>
      <c r="G21" s="33" t="n"/>
      <c r="H21" s="33" t="n"/>
    </row>
    <row r="22" ht="15" customHeight="1">
      <c r="A22" s="24" t="n"/>
      <c r="B22" s="18" t="n"/>
      <c r="C22" s="30" t="n"/>
      <c r="D22" s="37" t="n"/>
      <c r="E22" s="30" t="n"/>
      <c r="F22" s="30" t="n"/>
      <c r="G22" s="33" t="n"/>
      <c r="H22" s="33" t="n"/>
    </row>
    <row r="23" ht="15" customHeight="1">
      <c r="A23" s="24" t="n"/>
      <c r="B23" s="18" t="n"/>
      <c r="C23" s="30" t="n"/>
      <c r="D23" s="37" t="n"/>
      <c r="E23" s="30" t="n"/>
      <c r="F23" s="30" t="n"/>
      <c r="G23" s="33" t="n"/>
      <c r="H23" s="33" t="n"/>
    </row>
    <row r="24" ht="15" customHeight="1">
      <c r="A24" s="24" t="n"/>
      <c r="B24" s="18" t="n"/>
      <c r="C24" s="30" t="n"/>
      <c r="D24" s="37" t="n"/>
      <c r="E24" s="30" t="n"/>
      <c r="F24" s="30" t="n"/>
      <c r="G24" s="33" t="n"/>
      <c r="H24" s="33" t="n"/>
    </row>
    <row r="25" ht="15" customHeight="1">
      <c r="A25" s="24" t="n"/>
      <c r="B25" s="18" t="n"/>
      <c r="C25" s="30" t="n"/>
      <c r="D25" s="37" t="n"/>
      <c r="E25" s="30" t="n"/>
      <c r="F25" s="30" t="n"/>
      <c r="G25" s="33" t="n"/>
      <c r="H25" s="33" t="n"/>
    </row>
    <row r="26" ht="15" customHeight="1">
      <c r="A26" s="24" t="n"/>
      <c r="B26" s="18" t="n"/>
      <c r="C26" s="30" t="n"/>
      <c r="D26" s="37" t="n"/>
      <c r="E26" s="30" t="n"/>
      <c r="F26" s="30" t="n"/>
      <c r="G26" s="33" t="n"/>
      <c r="H26" s="33" t="n"/>
    </row>
    <row r="27" ht="15" customHeight="1">
      <c r="A27" s="24" t="n"/>
      <c r="B27" s="18" t="n"/>
      <c r="C27" s="30" t="n"/>
      <c r="D27" s="37" t="n"/>
      <c r="E27" s="30" t="n"/>
      <c r="F27" s="30" t="n"/>
      <c r="G27" s="33" t="n"/>
      <c r="H27" s="33" t="n"/>
    </row>
    <row r="28" ht="15" customHeight="1">
      <c r="A28" s="24" t="n"/>
      <c r="B28" s="18" t="n"/>
      <c r="C28" s="30" t="n"/>
      <c r="D28" s="37" t="n"/>
      <c r="E28" s="30" t="n"/>
      <c r="F28" s="30" t="n"/>
      <c r="G28" s="33" t="n"/>
      <c r="H28" s="33" t="n"/>
    </row>
    <row r="29" ht="15" customHeight="1">
      <c r="A29" s="24" t="n"/>
      <c r="B29" s="18" t="n"/>
      <c r="C29" s="30" t="n"/>
      <c r="D29" s="37" t="n"/>
      <c r="E29" s="30" t="n"/>
      <c r="F29" s="30" t="n"/>
      <c r="G29" s="33" t="n"/>
      <c r="H29" s="33" t="n"/>
    </row>
    <row r="30" ht="15" customHeight="1">
      <c r="A30" s="24" t="n"/>
      <c r="B30" s="18" t="n"/>
      <c r="C30" s="30" t="n"/>
      <c r="D30" s="37" t="n"/>
      <c r="E30" s="30" t="n"/>
      <c r="F30" s="30" t="n"/>
      <c r="G30" s="33" t="n"/>
      <c r="H30" s="33" t="n"/>
    </row>
    <row r="31" ht="15" customHeight="1">
      <c r="A31" s="24" t="n"/>
      <c r="B31" s="18" t="n"/>
      <c r="C31" s="30" t="n"/>
      <c r="D31" s="37" t="n"/>
      <c r="E31" s="30" t="n"/>
      <c r="F31" s="30" t="n"/>
      <c r="G31" s="33" t="n"/>
      <c r="H31" s="33" t="n"/>
    </row>
    <row r="32" ht="15" customHeight="1">
      <c r="A32" s="24" t="n"/>
      <c r="B32" s="18" t="n"/>
      <c r="C32" s="30" t="n"/>
      <c r="D32" s="37" t="n"/>
      <c r="E32" s="30" t="n"/>
      <c r="F32" s="30" t="n"/>
      <c r="G32" s="33" t="n"/>
      <c r="H32" s="33" t="n"/>
    </row>
    <row r="33" ht="15" customHeight="1">
      <c r="A33" s="24" t="n"/>
      <c r="B33" s="18" t="n"/>
      <c r="C33" s="30" t="n"/>
      <c r="D33" s="37" t="n"/>
      <c r="E33" s="30" t="n"/>
      <c r="F33" s="30" t="n"/>
      <c r="G33" s="33" t="n"/>
      <c r="H33" s="33" t="n"/>
    </row>
    <row r="34" ht="15" customHeight="1">
      <c r="A34" s="24" t="n"/>
      <c r="B34" s="18" t="n"/>
      <c r="C34" s="30" t="n"/>
      <c r="D34" s="37" t="n"/>
      <c r="E34" s="30" t="n"/>
      <c r="F34" s="30" t="n"/>
      <c r="G34" s="33" t="n"/>
      <c r="H34" s="33" t="n"/>
    </row>
    <row r="35" ht="15" customHeight="1">
      <c r="A35" s="24" t="n"/>
      <c r="B35" s="18" t="n"/>
      <c r="C35" s="30" t="n"/>
      <c r="D35" s="37" t="n"/>
      <c r="E35" s="30" t="n"/>
      <c r="F35" s="30" t="n"/>
      <c r="G35" s="33" t="n"/>
      <c r="H35" s="33" t="n"/>
    </row>
    <row r="36" ht="15" customHeight="1">
      <c r="A36" s="24" t="n"/>
      <c r="B36" s="18" t="n"/>
      <c r="C36" s="30" t="n"/>
      <c r="D36" s="37" t="n"/>
      <c r="E36" s="30" t="n"/>
      <c r="F36" s="30" t="n"/>
      <c r="G36" s="33" t="n"/>
      <c r="H36" s="33" t="n"/>
    </row>
    <row r="37" ht="15" customHeight="1">
      <c r="A37" s="24" t="n"/>
      <c r="B37" s="18" t="n"/>
      <c r="C37" s="30" t="n"/>
      <c r="D37" s="37" t="n"/>
      <c r="E37" s="30" t="n"/>
      <c r="F37" s="30" t="n"/>
      <c r="G37" s="33" t="n"/>
      <c r="H37" s="33" t="n"/>
    </row>
    <row r="38" ht="15" customHeight="1">
      <c r="A38" s="24" t="n"/>
      <c r="B38" s="18" t="n"/>
      <c r="C38" s="30" t="n"/>
      <c r="D38" s="37" t="n"/>
      <c r="E38" s="30" t="n"/>
      <c r="F38" s="30" t="n"/>
      <c r="G38" s="33" t="n"/>
      <c r="H38" s="33" t="n"/>
    </row>
    <row r="39" ht="15" customHeight="1">
      <c r="A39" s="24" t="n"/>
      <c r="B39" s="18" t="n"/>
      <c r="C39" s="30" t="n"/>
      <c r="D39" s="37" t="n"/>
      <c r="E39" s="30" t="n"/>
      <c r="F39" s="30" t="n"/>
      <c r="G39" s="33" t="n"/>
      <c r="H39" s="33" t="n"/>
    </row>
    <row r="40" ht="15" customHeight="1">
      <c r="A40" s="24" t="n"/>
      <c r="B40" s="18" t="n"/>
      <c r="C40" s="30" t="n"/>
      <c r="D40" s="37" t="n"/>
      <c r="E40" s="30" t="n"/>
      <c r="F40" s="30" t="n"/>
      <c r="G40" s="33" t="n"/>
      <c r="H40" s="33" t="n"/>
    </row>
    <row r="41" ht="15" customHeight="1">
      <c r="A41" s="24" t="n"/>
      <c r="B41" s="18" t="n"/>
      <c r="C41" s="30" t="n"/>
      <c r="D41" s="37" t="n"/>
      <c r="E41" s="30" t="n"/>
      <c r="F41" s="30" t="n"/>
      <c r="G41" s="33" t="n"/>
      <c r="H41" s="33" t="n"/>
    </row>
    <row r="42" ht="15" customHeight="1">
      <c r="A42" s="24" t="n"/>
      <c r="B42" s="18" t="n"/>
      <c r="C42" s="30" t="n"/>
      <c r="D42" s="37" t="n"/>
      <c r="E42" s="30" t="n"/>
      <c r="F42" s="30" t="n"/>
      <c r="G42" s="33" t="n"/>
      <c r="H42" s="33" t="n"/>
    </row>
    <row r="43" ht="15" customHeight="1">
      <c r="A43" s="24" t="n"/>
      <c r="B43" s="18" t="n"/>
      <c r="C43" s="30" t="n"/>
      <c r="D43" s="37" t="n"/>
      <c r="E43" s="30" t="n"/>
      <c r="F43" s="30" t="n"/>
      <c r="G43" s="33" t="n"/>
      <c r="H43" s="33" t="n"/>
    </row>
    <row r="44" ht="15" customHeight="1">
      <c r="A44" s="24" t="n"/>
      <c r="B44" s="18" t="n"/>
      <c r="C44" s="30" t="n"/>
      <c r="D44" s="37" t="n"/>
      <c r="E44" s="30" t="n"/>
      <c r="F44" s="30" t="n"/>
      <c r="G44" s="33" t="n"/>
      <c r="H44" s="33" t="n"/>
    </row>
    <row r="45" ht="15" customHeight="1">
      <c r="A45" s="24" t="n"/>
      <c r="B45" s="18" t="n"/>
      <c r="C45" s="30" t="n"/>
      <c r="D45" s="37" t="n"/>
      <c r="E45" s="30" t="n"/>
      <c r="F45" s="30" t="n"/>
      <c r="G45" s="33" t="n"/>
      <c r="H45" s="33" t="n"/>
    </row>
    <row r="46" ht="15" customHeight="1">
      <c r="A46" s="24" t="n"/>
      <c r="B46" s="18" t="n"/>
      <c r="C46" s="30" t="n"/>
      <c r="D46" s="37" t="n"/>
      <c r="E46" s="30" t="n"/>
      <c r="F46" s="30" t="n"/>
      <c r="G46" s="33" t="n"/>
      <c r="H46" s="33" t="n"/>
    </row>
    <row r="47" ht="15" customHeight="1">
      <c r="A47" s="24" t="n"/>
      <c r="B47" s="18" t="n"/>
      <c r="C47" s="30" t="n"/>
      <c r="D47" s="37" t="n"/>
      <c r="E47" s="30" t="n"/>
      <c r="F47" s="30" t="n"/>
      <c r="G47" s="33" t="n"/>
      <c r="H47" s="33" t="n"/>
    </row>
    <row r="48" ht="15" customHeight="1">
      <c r="A48" s="24" t="n"/>
      <c r="B48" s="18" t="n"/>
      <c r="C48" s="30" t="n"/>
      <c r="D48" s="37" t="n"/>
      <c r="E48" s="30" t="n"/>
      <c r="F48" s="30" t="n"/>
      <c r="G48" s="33" t="n"/>
      <c r="H48" s="33" t="n"/>
    </row>
    <row r="49" ht="15" customHeight="1">
      <c r="A49" s="24" t="n"/>
      <c r="B49" s="18" t="n"/>
      <c r="C49" s="30" t="n"/>
      <c r="D49" s="37" t="n"/>
      <c r="E49" s="30" t="n"/>
      <c r="F49" s="30" t="n"/>
      <c r="G49" s="33" t="n"/>
      <c r="H49" s="33" t="n"/>
    </row>
    <row r="50" ht="15" customHeight="1">
      <c r="A50" s="24" t="n"/>
      <c r="B50" s="18" t="n"/>
      <c r="C50" s="30" t="n"/>
      <c r="D50" s="37" t="n"/>
      <c r="E50" s="30" t="n"/>
      <c r="F50" s="30" t="n"/>
      <c r="G50" s="33" t="n"/>
      <c r="H50" s="33" t="n"/>
    </row>
    <row r="51" ht="15" customHeight="1">
      <c r="A51" s="24" t="n"/>
      <c r="B51" s="18" t="n"/>
      <c r="C51" s="30" t="n"/>
      <c r="D51" s="37" t="n"/>
      <c r="E51" s="30" t="n"/>
      <c r="F51" s="30" t="n"/>
      <c r="G51" s="33" t="n"/>
      <c r="H51" s="33" t="n"/>
    </row>
    <row r="52" ht="15" customHeight="1">
      <c r="A52" s="24" t="n"/>
      <c r="B52" s="18" t="n"/>
      <c r="C52" s="30" t="n"/>
      <c r="D52" s="37" t="n"/>
      <c r="E52" s="30" t="n"/>
      <c r="F52" s="30" t="n"/>
      <c r="G52" s="33" t="n"/>
      <c r="H52" s="33" t="n"/>
    </row>
    <row r="53" ht="15" customHeight="1">
      <c r="A53" s="24" t="n"/>
      <c r="B53" s="18" t="n"/>
      <c r="C53" s="30" t="n"/>
      <c r="D53" s="37" t="n"/>
      <c r="E53" s="30" t="n"/>
      <c r="F53" s="30" t="n"/>
      <c r="G53" s="33" t="n"/>
      <c r="H53" s="33" t="n"/>
    </row>
    <row r="54" ht="15" customHeight="1">
      <c r="A54" s="24" t="n"/>
      <c r="B54" s="18" t="n"/>
      <c r="C54" s="30" t="n"/>
      <c r="D54" s="37" t="n"/>
      <c r="E54" s="30" t="n"/>
      <c r="F54" s="30" t="n"/>
      <c r="G54" s="33" t="n"/>
      <c r="H54" s="33" t="n"/>
    </row>
    <row r="55" ht="15" customHeight="1">
      <c r="A55" s="24" t="n"/>
      <c r="B55" s="18" t="n"/>
      <c r="C55" s="30" t="n"/>
      <c r="D55" s="37" t="n"/>
      <c r="E55" s="30" t="n"/>
      <c r="F55" s="30" t="n"/>
      <c r="G55" s="33" t="n"/>
      <c r="H55" s="33" t="n"/>
    </row>
    <row r="56" ht="15" customHeight="1">
      <c r="A56" s="24" t="n"/>
      <c r="B56" s="18" t="n"/>
      <c r="C56" s="30" t="n"/>
      <c r="D56" s="37" t="n"/>
      <c r="E56" s="30" t="n"/>
      <c r="F56" s="30" t="n"/>
      <c r="G56" s="33" t="n"/>
      <c r="H56" s="33" t="n"/>
    </row>
    <row r="57" ht="15" customHeight="1">
      <c r="A57" s="24" t="n"/>
      <c r="B57" s="18" t="n"/>
      <c r="C57" s="30" t="n"/>
      <c r="D57" s="37" t="n"/>
      <c r="E57" s="30" t="n"/>
      <c r="F57" s="30" t="n"/>
      <c r="G57" s="33" t="n"/>
      <c r="H57" s="33" t="n"/>
    </row>
    <row r="58" ht="15" customHeight="1">
      <c r="A58" s="24" t="n"/>
      <c r="B58" s="18" t="n"/>
      <c r="C58" s="30" t="n"/>
      <c r="D58" s="37" t="n"/>
      <c r="E58" s="30" t="n"/>
      <c r="F58" s="30" t="n"/>
      <c r="G58" s="33" t="n"/>
      <c r="H58" s="33" t="n"/>
    </row>
    <row r="59" ht="15" customHeight="1">
      <c r="A59" s="24" t="n"/>
      <c r="B59" s="18" t="n"/>
      <c r="C59" s="30" t="n"/>
      <c r="D59" s="37" t="n"/>
      <c r="E59" s="30" t="n"/>
      <c r="F59" s="30" t="n"/>
      <c r="G59" s="33" t="n"/>
      <c r="H59" s="33" t="n"/>
    </row>
    <row r="60" ht="15" customHeight="1">
      <c r="A60" s="24" t="n"/>
      <c r="B60" s="18" t="n"/>
      <c r="C60" s="30" t="n"/>
      <c r="D60" s="37" t="n"/>
      <c r="E60" s="30" t="n"/>
      <c r="F60" s="30" t="n"/>
      <c r="G60" s="33" t="n"/>
      <c r="H60" s="33" t="n"/>
    </row>
    <row r="61" ht="15" customHeight="1">
      <c r="A61" s="24" t="n"/>
      <c r="B61" s="18" t="n"/>
      <c r="C61" s="30" t="n"/>
      <c r="D61" s="37" t="n"/>
      <c r="E61" s="30" t="n"/>
      <c r="F61" s="30" t="n"/>
      <c r="G61" s="33" t="n"/>
      <c r="H61" s="33" t="n"/>
    </row>
    <row r="62" ht="15" customHeight="1">
      <c r="A62" s="24" t="n"/>
      <c r="B62" s="18" t="n"/>
      <c r="C62" s="30" t="n"/>
      <c r="D62" s="37" t="n"/>
      <c r="E62" s="30" t="n"/>
      <c r="F62" s="30" t="n"/>
      <c r="G62" s="33" t="n"/>
      <c r="H62" s="33" t="n"/>
    </row>
    <row r="63" ht="15" customHeight="1">
      <c r="A63" s="24" t="n"/>
      <c r="B63" s="18" t="n"/>
      <c r="C63" s="30" t="n"/>
      <c r="D63" s="37" t="n"/>
      <c r="E63" s="30" t="n"/>
      <c r="F63" s="30" t="n"/>
      <c r="G63" s="33" t="n"/>
      <c r="H63" s="33" t="n"/>
    </row>
    <row r="64" ht="15" customHeight="1">
      <c r="A64" s="24" t="n"/>
      <c r="B64" s="18" t="n"/>
      <c r="C64" s="30" t="n"/>
      <c r="D64" s="37" t="n"/>
      <c r="E64" s="30" t="n"/>
      <c r="F64" s="30" t="n"/>
      <c r="G64" s="33" t="n"/>
      <c r="H64" s="33" t="n"/>
    </row>
    <row r="65" ht="15" customHeight="1">
      <c r="A65" s="24" t="n"/>
      <c r="B65" s="18" t="n"/>
      <c r="C65" s="30" t="n"/>
      <c r="D65" s="37" t="n"/>
      <c r="E65" s="30" t="n"/>
      <c r="F65" s="30" t="n"/>
      <c r="G65" s="33" t="n"/>
      <c r="H65" s="33" t="n"/>
    </row>
    <row r="66" ht="15" customHeight="1">
      <c r="A66" s="24" t="n"/>
      <c r="B66" s="18" t="n"/>
      <c r="C66" s="30" t="n"/>
      <c r="D66" s="37" t="n"/>
      <c r="E66" s="30" t="n"/>
      <c r="F66" s="30" t="n"/>
      <c r="G66" s="33" t="n"/>
      <c r="H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E75B6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LABOR</t>
        </is>
      </c>
    </row>
    <row r="2">
      <c r="A2" s="2" t="inlineStr">
        <is>
          <t>Separar hora normal, extra, setup, espera, reprocesso, absenteismo. Labor Efficiency Variance.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PERIOD</t>
        </is>
      </c>
      <c r="B6" s="5" t="inlineStr">
        <is>
          <t>COST_CENTER_ID</t>
        </is>
      </c>
      <c r="C6" s="5" t="inlineStr">
        <is>
          <t>Horas normais</t>
        </is>
      </c>
      <c r="D6" s="5" t="inlineStr">
        <is>
          <t>Horas extras</t>
        </is>
      </c>
      <c r="E6" s="5" t="inlineStr">
        <is>
          <t>Taxa normal R$/h</t>
        </is>
      </c>
      <c r="F6" s="5" t="inlineStr">
        <is>
          <t>Taxa extra R$/h</t>
        </is>
      </c>
      <c r="G6" s="5" t="inlineStr">
        <is>
          <t>Horas padrao</t>
        </is>
      </c>
      <c r="H6" s="5" t="inlineStr">
        <is>
          <t>Custo MO R$</t>
        </is>
      </c>
    </row>
    <row r="7" ht="15" customHeight="1">
      <c r="A7" s="24" t="inlineStr">
        <is>
          <t>2026-03</t>
        </is>
      </c>
      <c r="B7" s="18" t="inlineStr">
        <is>
          <t>CC-PROD</t>
        </is>
      </c>
      <c r="C7" s="30" t="n">
        <v>480</v>
      </c>
      <c r="D7" s="30" t="n">
        <v>40</v>
      </c>
      <c r="E7" s="30" t="n">
        <v>22</v>
      </c>
      <c r="F7" s="30" t="n">
        <v>33</v>
      </c>
      <c r="G7" s="30" t="n">
        <v>470</v>
      </c>
      <c r="H7" s="33">
        <f>C7*E7+D7*F7</f>
        <v/>
      </c>
    </row>
    <row r="8" ht="15" customHeight="1">
      <c r="A8" s="24" t="n"/>
      <c r="B8" s="18" t="n"/>
      <c r="C8" s="30" t="n"/>
      <c r="D8" s="30" t="n"/>
      <c r="E8" s="30" t="n"/>
      <c r="F8" s="30" t="n"/>
      <c r="G8" s="30" t="n"/>
      <c r="H8" s="33" t="n"/>
    </row>
    <row r="9" ht="15" customHeight="1">
      <c r="A9" s="27" t="inlineStr">
        <is>
          <t>^ Linhas acima = dados DEMO (marcados). Abaixo: campos de entrada em branco para dados reais.</t>
        </is>
      </c>
      <c r="B9" s="18" t="n"/>
      <c r="C9" s="30" t="n"/>
      <c r="D9" s="30" t="n"/>
      <c r="E9" s="30" t="n"/>
      <c r="F9" s="30" t="n"/>
      <c r="G9" s="30" t="n"/>
      <c r="H9" s="33" t="n"/>
    </row>
    <row r="10" ht="15" customHeight="1">
      <c r="A10" s="24" t="n"/>
      <c r="B10" s="18" t="n"/>
      <c r="C10" s="30" t="n"/>
      <c r="D10" s="30" t="n"/>
      <c r="E10" s="30" t="n"/>
      <c r="F10" s="30" t="n"/>
      <c r="G10" s="30" t="n"/>
      <c r="H10" s="33" t="n"/>
    </row>
    <row r="11" ht="15" customHeight="1">
      <c r="A11" s="24" t="n"/>
      <c r="B11" s="18" t="n"/>
      <c r="C11" s="30" t="n"/>
      <c r="D11" s="30" t="n"/>
      <c r="E11" s="30" t="n"/>
      <c r="F11" s="30" t="n"/>
      <c r="G11" s="30" t="n"/>
      <c r="H11" s="33" t="n"/>
    </row>
    <row r="12" ht="15" customHeight="1">
      <c r="A12" s="24" t="n"/>
      <c r="B12" s="18" t="n"/>
      <c r="C12" s="30" t="n"/>
      <c r="D12" s="30" t="n"/>
      <c r="E12" s="30" t="n"/>
      <c r="F12" s="30" t="n"/>
      <c r="G12" s="30" t="n"/>
      <c r="H12" s="33" t="n"/>
    </row>
    <row r="13" ht="15" customHeight="1">
      <c r="A13" s="24" t="n"/>
      <c r="B13" s="18" t="n"/>
      <c r="C13" s="30" t="n"/>
      <c r="D13" s="30" t="n"/>
      <c r="E13" s="30" t="n"/>
      <c r="F13" s="30" t="n"/>
      <c r="G13" s="30" t="n"/>
      <c r="H13" s="33" t="n"/>
    </row>
    <row r="14" ht="15" customHeight="1">
      <c r="A14" s="24" t="n"/>
      <c r="B14" s="18" t="n"/>
      <c r="C14" s="30" t="n"/>
      <c r="D14" s="30" t="n"/>
      <c r="E14" s="30" t="n"/>
      <c r="F14" s="30" t="n"/>
      <c r="G14" s="30" t="n"/>
      <c r="H14" s="33" t="n"/>
    </row>
    <row r="15" ht="15" customHeight="1">
      <c r="A15" s="24" t="n"/>
      <c r="B15" s="18" t="n"/>
      <c r="C15" s="30" t="n"/>
      <c r="D15" s="30" t="n"/>
      <c r="E15" s="30" t="n"/>
      <c r="F15" s="30" t="n"/>
      <c r="G15" s="30" t="n"/>
      <c r="H15" s="33" t="n"/>
    </row>
    <row r="16" ht="15" customHeight="1">
      <c r="A16" s="24" t="n"/>
      <c r="B16" s="18" t="n"/>
      <c r="C16" s="30" t="n"/>
      <c r="D16" s="30" t="n"/>
      <c r="E16" s="30" t="n"/>
      <c r="F16" s="30" t="n"/>
      <c r="G16" s="30" t="n"/>
      <c r="H16" s="33" t="n"/>
    </row>
    <row r="17" ht="15" customHeight="1">
      <c r="A17" s="24" t="n"/>
      <c r="B17" s="18" t="n"/>
      <c r="C17" s="30" t="n"/>
      <c r="D17" s="30" t="n"/>
      <c r="E17" s="30" t="n"/>
      <c r="F17" s="30" t="n"/>
      <c r="G17" s="30" t="n"/>
      <c r="H17" s="33" t="n"/>
    </row>
    <row r="18" ht="15" customHeight="1">
      <c r="A18" s="24" t="n"/>
      <c r="B18" s="18" t="n"/>
      <c r="C18" s="30" t="n"/>
      <c r="D18" s="30" t="n"/>
      <c r="E18" s="30" t="n"/>
      <c r="F18" s="30" t="n"/>
      <c r="G18" s="30" t="n"/>
      <c r="H18" s="33" t="n"/>
    </row>
    <row r="19" ht="15" customHeight="1">
      <c r="A19" s="24" t="n"/>
      <c r="B19" s="18" t="n"/>
      <c r="C19" s="30" t="n"/>
      <c r="D19" s="30" t="n"/>
      <c r="E19" s="30" t="n"/>
      <c r="F19" s="30" t="n"/>
      <c r="G19" s="30" t="n"/>
      <c r="H19" s="33" t="n"/>
    </row>
    <row r="20" ht="15" customHeight="1">
      <c r="A20" s="24" t="n"/>
      <c r="B20" s="18" t="n"/>
      <c r="C20" s="30" t="n"/>
      <c r="D20" s="30" t="n"/>
      <c r="E20" s="30" t="n"/>
      <c r="F20" s="30" t="n"/>
      <c r="G20" s="30" t="n"/>
      <c r="H20" s="33" t="n"/>
    </row>
    <row r="21" ht="15" customHeight="1">
      <c r="A21" s="24" t="n"/>
      <c r="B21" s="18" t="n"/>
      <c r="C21" s="30" t="n"/>
      <c r="D21" s="30" t="n"/>
      <c r="E21" s="30" t="n"/>
      <c r="F21" s="30" t="n"/>
      <c r="G21" s="30" t="n"/>
      <c r="H21" s="33" t="n"/>
    </row>
    <row r="22" ht="15" customHeight="1">
      <c r="A22" s="24" t="n"/>
      <c r="B22" s="18" t="n"/>
      <c r="C22" s="30" t="n"/>
      <c r="D22" s="30" t="n"/>
      <c r="E22" s="30" t="n"/>
      <c r="F22" s="30" t="n"/>
      <c r="G22" s="30" t="n"/>
      <c r="H22" s="33" t="n"/>
    </row>
    <row r="23" ht="15" customHeight="1">
      <c r="A23" s="24" t="n"/>
      <c r="B23" s="18" t="n"/>
      <c r="C23" s="30" t="n"/>
      <c r="D23" s="30" t="n"/>
      <c r="E23" s="30" t="n"/>
      <c r="F23" s="30" t="n"/>
      <c r="G23" s="30" t="n"/>
      <c r="H23" s="33" t="n"/>
    </row>
    <row r="24" ht="15" customHeight="1">
      <c r="A24" s="24" t="n"/>
      <c r="B24" s="18" t="n"/>
      <c r="C24" s="30" t="n"/>
      <c r="D24" s="30" t="n"/>
      <c r="E24" s="30" t="n"/>
      <c r="F24" s="30" t="n"/>
      <c r="G24" s="30" t="n"/>
      <c r="H24" s="33" t="n"/>
    </row>
    <row r="25" ht="15" customHeight="1">
      <c r="A25" s="24" t="n"/>
      <c r="B25" s="18" t="n"/>
      <c r="C25" s="30" t="n"/>
      <c r="D25" s="30" t="n"/>
      <c r="E25" s="30" t="n"/>
      <c r="F25" s="30" t="n"/>
      <c r="G25" s="30" t="n"/>
      <c r="H25" s="33" t="n"/>
    </row>
    <row r="26" ht="15" customHeight="1">
      <c r="A26" s="24" t="n"/>
      <c r="B26" s="18" t="n"/>
      <c r="C26" s="30" t="n"/>
      <c r="D26" s="30" t="n"/>
      <c r="E26" s="30" t="n"/>
      <c r="F26" s="30" t="n"/>
      <c r="G26" s="30" t="n"/>
      <c r="H26" s="33" t="n"/>
    </row>
    <row r="27" ht="15" customHeight="1">
      <c r="A27" s="24" t="n"/>
      <c r="B27" s="18" t="n"/>
      <c r="C27" s="30" t="n"/>
      <c r="D27" s="30" t="n"/>
      <c r="E27" s="30" t="n"/>
      <c r="F27" s="30" t="n"/>
      <c r="G27" s="30" t="n"/>
      <c r="H27" s="33" t="n"/>
    </row>
    <row r="28" ht="15" customHeight="1">
      <c r="A28" s="24" t="n"/>
      <c r="B28" s="18" t="n"/>
      <c r="C28" s="30" t="n"/>
      <c r="D28" s="30" t="n"/>
      <c r="E28" s="30" t="n"/>
      <c r="F28" s="30" t="n"/>
      <c r="G28" s="30" t="n"/>
      <c r="H28" s="33" t="n"/>
    </row>
    <row r="29" ht="15" customHeight="1">
      <c r="A29" s="24" t="n"/>
      <c r="B29" s="18" t="n"/>
      <c r="C29" s="30" t="n"/>
      <c r="D29" s="30" t="n"/>
      <c r="E29" s="30" t="n"/>
      <c r="F29" s="30" t="n"/>
      <c r="G29" s="30" t="n"/>
      <c r="H29" s="33" t="n"/>
    </row>
    <row r="30" ht="15" customHeight="1">
      <c r="A30" s="24" t="n"/>
      <c r="B30" s="18" t="n"/>
      <c r="C30" s="30" t="n"/>
      <c r="D30" s="30" t="n"/>
      <c r="E30" s="30" t="n"/>
      <c r="F30" s="30" t="n"/>
      <c r="G30" s="30" t="n"/>
      <c r="H30" s="33" t="n"/>
    </row>
    <row r="31" ht="15" customHeight="1">
      <c r="A31" s="24" t="n"/>
      <c r="B31" s="18" t="n"/>
      <c r="C31" s="30" t="n"/>
      <c r="D31" s="30" t="n"/>
      <c r="E31" s="30" t="n"/>
      <c r="F31" s="30" t="n"/>
      <c r="G31" s="30" t="n"/>
      <c r="H31" s="33" t="n"/>
    </row>
    <row r="32" ht="15" customHeight="1">
      <c r="A32" s="24" t="n"/>
      <c r="B32" s="18" t="n"/>
      <c r="C32" s="30" t="n"/>
      <c r="D32" s="30" t="n"/>
      <c r="E32" s="30" t="n"/>
      <c r="F32" s="30" t="n"/>
      <c r="G32" s="30" t="n"/>
      <c r="H32" s="33" t="n"/>
    </row>
    <row r="33" ht="15" customHeight="1">
      <c r="A33" s="24" t="n"/>
      <c r="B33" s="18" t="n"/>
      <c r="C33" s="30" t="n"/>
      <c r="D33" s="30" t="n"/>
      <c r="E33" s="30" t="n"/>
      <c r="F33" s="30" t="n"/>
      <c r="G33" s="30" t="n"/>
      <c r="H33" s="33" t="n"/>
    </row>
    <row r="34" ht="15" customHeight="1">
      <c r="A34" s="24" t="n"/>
      <c r="B34" s="18" t="n"/>
      <c r="C34" s="30" t="n"/>
      <c r="D34" s="30" t="n"/>
      <c r="E34" s="30" t="n"/>
      <c r="F34" s="30" t="n"/>
      <c r="G34" s="30" t="n"/>
      <c r="H34" s="33" t="n"/>
    </row>
    <row r="35" ht="15" customHeight="1">
      <c r="A35" s="24" t="n"/>
      <c r="B35" s="18" t="n"/>
      <c r="C35" s="30" t="n"/>
      <c r="D35" s="30" t="n"/>
      <c r="E35" s="30" t="n"/>
      <c r="F35" s="30" t="n"/>
      <c r="G35" s="30" t="n"/>
      <c r="H35" s="33" t="n"/>
    </row>
    <row r="36" ht="15" customHeight="1">
      <c r="A36" s="24" t="n"/>
      <c r="B36" s="18" t="n"/>
      <c r="C36" s="30" t="n"/>
      <c r="D36" s="30" t="n"/>
      <c r="E36" s="30" t="n"/>
      <c r="F36" s="30" t="n"/>
      <c r="G36" s="30" t="n"/>
      <c r="H36" s="33" t="n"/>
    </row>
    <row r="37" ht="15" customHeight="1">
      <c r="A37" s="24" t="n"/>
      <c r="B37" s="18" t="n"/>
      <c r="C37" s="30" t="n"/>
      <c r="D37" s="30" t="n"/>
      <c r="E37" s="30" t="n"/>
      <c r="F37" s="30" t="n"/>
      <c r="G37" s="30" t="n"/>
      <c r="H37" s="33" t="n"/>
    </row>
    <row r="38" ht="15" customHeight="1">
      <c r="A38" s="24" t="n"/>
      <c r="B38" s="18" t="n"/>
      <c r="C38" s="30" t="n"/>
      <c r="D38" s="30" t="n"/>
      <c r="E38" s="30" t="n"/>
      <c r="F38" s="30" t="n"/>
      <c r="G38" s="30" t="n"/>
      <c r="H38" s="33" t="n"/>
    </row>
    <row r="39" ht="15" customHeight="1">
      <c r="A39" s="24" t="n"/>
      <c r="B39" s="18" t="n"/>
      <c r="C39" s="30" t="n"/>
      <c r="D39" s="30" t="n"/>
      <c r="E39" s="30" t="n"/>
      <c r="F39" s="30" t="n"/>
      <c r="G39" s="30" t="n"/>
      <c r="H39" s="33" t="n"/>
    </row>
    <row r="40" ht="15" customHeight="1">
      <c r="A40" s="24" t="n"/>
      <c r="B40" s="18" t="n"/>
      <c r="C40" s="30" t="n"/>
      <c r="D40" s="30" t="n"/>
      <c r="E40" s="30" t="n"/>
      <c r="F40" s="30" t="n"/>
      <c r="G40" s="30" t="n"/>
      <c r="H40" s="33" t="n"/>
    </row>
    <row r="41" ht="15" customHeight="1">
      <c r="A41" s="24" t="n"/>
      <c r="B41" s="18" t="n"/>
      <c r="C41" s="30" t="n"/>
      <c r="D41" s="30" t="n"/>
      <c r="E41" s="30" t="n"/>
      <c r="F41" s="30" t="n"/>
      <c r="G41" s="30" t="n"/>
      <c r="H41" s="33" t="n"/>
    </row>
    <row r="42" ht="15" customHeight="1">
      <c r="A42" s="24" t="n"/>
      <c r="B42" s="18" t="n"/>
      <c r="C42" s="30" t="n"/>
      <c r="D42" s="30" t="n"/>
      <c r="E42" s="30" t="n"/>
      <c r="F42" s="30" t="n"/>
      <c r="G42" s="30" t="n"/>
      <c r="H42" s="33" t="n"/>
    </row>
    <row r="43" ht="15" customHeight="1">
      <c r="A43" s="24" t="n"/>
      <c r="B43" s="18" t="n"/>
      <c r="C43" s="30" t="n"/>
      <c r="D43" s="30" t="n"/>
      <c r="E43" s="30" t="n"/>
      <c r="F43" s="30" t="n"/>
      <c r="G43" s="30" t="n"/>
      <c r="H43" s="33" t="n"/>
    </row>
    <row r="44" ht="15" customHeight="1">
      <c r="A44" s="24" t="n"/>
      <c r="B44" s="18" t="n"/>
      <c r="C44" s="30" t="n"/>
      <c r="D44" s="30" t="n"/>
      <c r="E44" s="30" t="n"/>
      <c r="F44" s="30" t="n"/>
      <c r="G44" s="30" t="n"/>
      <c r="H44" s="33" t="n"/>
    </row>
    <row r="45" ht="15" customHeight="1">
      <c r="A45" s="24" t="n"/>
      <c r="B45" s="18" t="n"/>
      <c r="C45" s="30" t="n"/>
      <c r="D45" s="30" t="n"/>
      <c r="E45" s="30" t="n"/>
      <c r="F45" s="30" t="n"/>
      <c r="G45" s="30" t="n"/>
      <c r="H45" s="33" t="n"/>
    </row>
    <row r="46" ht="15" customHeight="1">
      <c r="A46" s="24" t="n"/>
      <c r="B46" s="18" t="n"/>
      <c r="C46" s="30" t="n"/>
      <c r="D46" s="30" t="n"/>
      <c r="E46" s="30" t="n"/>
      <c r="F46" s="30" t="n"/>
      <c r="G46" s="30" t="n"/>
      <c r="H46" s="33" t="n"/>
    </row>
    <row r="47" ht="15" customHeight="1">
      <c r="A47" s="24" t="n"/>
      <c r="B47" s="18" t="n"/>
      <c r="C47" s="30" t="n"/>
      <c r="D47" s="30" t="n"/>
      <c r="E47" s="30" t="n"/>
      <c r="F47" s="30" t="n"/>
      <c r="G47" s="30" t="n"/>
      <c r="H47" s="33" t="n"/>
    </row>
    <row r="48" ht="15" customHeight="1">
      <c r="A48" s="24" t="n"/>
      <c r="B48" s="18" t="n"/>
      <c r="C48" s="30" t="n"/>
      <c r="D48" s="30" t="n"/>
      <c r="E48" s="30" t="n"/>
      <c r="F48" s="30" t="n"/>
      <c r="G48" s="30" t="n"/>
      <c r="H48" s="33" t="n"/>
    </row>
    <row r="49" ht="15" customHeight="1">
      <c r="A49" s="24" t="n"/>
      <c r="B49" s="18" t="n"/>
      <c r="C49" s="30" t="n"/>
      <c r="D49" s="30" t="n"/>
      <c r="E49" s="30" t="n"/>
      <c r="F49" s="30" t="n"/>
      <c r="G49" s="30" t="n"/>
      <c r="H49" s="33" t="n"/>
    </row>
    <row r="50" ht="15" customHeight="1">
      <c r="A50" s="24" t="n"/>
      <c r="B50" s="18" t="n"/>
      <c r="C50" s="30" t="n"/>
      <c r="D50" s="30" t="n"/>
      <c r="E50" s="30" t="n"/>
      <c r="F50" s="30" t="n"/>
      <c r="G50" s="30" t="n"/>
      <c r="H50" s="33" t="n"/>
    </row>
    <row r="51" ht="15" customHeight="1">
      <c r="A51" s="24" t="n"/>
      <c r="B51" s="18" t="n"/>
      <c r="C51" s="30" t="n"/>
      <c r="D51" s="30" t="n"/>
      <c r="E51" s="30" t="n"/>
      <c r="F51" s="30" t="n"/>
      <c r="G51" s="30" t="n"/>
      <c r="H51" s="33" t="n"/>
    </row>
    <row r="52" ht="15" customHeight="1">
      <c r="A52" s="24" t="n"/>
      <c r="B52" s="18" t="n"/>
      <c r="C52" s="30" t="n"/>
      <c r="D52" s="30" t="n"/>
      <c r="E52" s="30" t="n"/>
      <c r="F52" s="30" t="n"/>
      <c r="G52" s="30" t="n"/>
      <c r="H52" s="33" t="n"/>
    </row>
    <row r="53" ht="15" customHeight="1">
      <c r="A53" s="24" t="n"/>
      <c r="B53" s="18" t="n"/>
      <c r="C53" s="30" t="n"/>
      <c r="D53" s="30" t="n"/>
      <c r="E53" s="30" t="n"/>
      <c r="F53" s="30" t="n"/>
      <c r="G53" s="30" t="n"/>
      <c r="H53" s="33" t="n"/>
    </row>
    <row r="54" ht="15" customHeight="1">
      <c r="A54" s="24" t="n"/>
      <c r="B54" s="18" t="n"/>
      <c r="C54" s="30" t="n"/>
      <c r="D54" s="30" t="n"/>
      <c r="E54" s="30" t="n"/>
      <c r="F54" s="30" t="n"/>
      <c r="G54" s="30" t="n"/>
      <c r="H54" s="33" t="n"/>
    </row>
    <row r="55" ht="15" customHeight="1">
      <c r="A55" s="24" t="n"/>
      <c r="B55" s="18" t="n"/>
      <c r="C55" s="30" t="n"/>
      <c r="D55" s="30" t="n"/>
      <c r="E55" s="30" t="n"/>
      <c r="F55" s="30" t="n"/>
      <c r="G55" s="30" t="n"/>
      <c r="H55" s="33" t="n"/>
    </row>
    <row r="56" ht="15" customHeight="1">
      <c r="A56" s="24" t="n"/>
      <c r="B56" s="18" t="n"/>
      <c r="C56" s="30" t="n"/>
      <c r="D56" s="30" t="n"/>
      <c r="E56" s="30" t="n"/>
      <c r="F56" s="30" t="n"/>
      <c r="G56" s="30" t="n"/>
      <c r="H56" s="33" t="n"/>
    </row>
    <row r="57" ht="15" customHeight="1">
      <c r="A57" s="24" t="n"/>
      <c r="B57" s="18" t="n"/>
      <c r="C57" s="30" t="n"/>
      <c r="D57" s="30" t="n"/>
      <c r="E57" s="30" t="n"/>
      <c r="F57" s="30" t="n"/>
      <c r="G57" s="30" t="n"/>
      <c r="H57" s="33" t="n"/>
    </row>
    <row r="58" ht="15" customHeight="1">
      <c r="A58" s="24" t="n"/>
      <c r="B58" s="18" t="n"/>
      <c r="C58" s="30" t="n"/>
      <c r="D58" s="30" t="n"/>
      <c r="E58" s="30" t="n"/>
      <c r="F58" s="30" t="n"/>
      <c r="G58" s="30" t="n"/>
      <c r="H58" s="33" t="n"/>
    </row>
    <row r="59" ht="15" customHeight="1">
      <c r="A59" s="24" t="n"/>
      <c r="B59" s="18" t="n"/>
      <c r="C59" s="30" t="n"/>
      <c r="D59" s="30" t="n"/>
      <c r="E59" s="30" t="n"/>
      <c r="F59" s="30" t="n"/>
      <c r="G59" s="30" t="n"/>
      <c r="H59" s="33" t="n"/>
    </row>
    <row r="60" ht="15" customHeight="1">
      <c r="A60" s="24" t="n"/>
      <c r="B60" s="18" t="n"/>
      <c r="C60" s="30" t="n"/>
      <c r="D60" s="30" t="n"/>
      <c r="E60" s="30" t="n"/>
      <c r="F60" s="30" t="n"/>
      <c r="G60" s="30" t="n"/>
      <c r="H60" s="33" t="n"/>
    </row>
    <row r="61" ht="15" customHeight="1">
      <c r="A61" s="24" t="n"/>
      <c r="B61" s="18" t="n"/>
      <c r="C61" s="30" t="n"/>
      <c r="D61" s="30" t="n"/>
      <c r="E61" s="30" t="n"/>
      <c r="F61" s="30" t="n"/>
      <c r="G61" s="30" t="n"/>
      <c r="H61" s="33" t="n"/>
    </row>
    <row r="62" ht="15" customHeight="1">
      <c r="A62" s="24" t="n"/>
      <c r="B62" s="18" t="n"/>
      <c r="C62" s="30" t="n"/>
      <c r="D62" s="30" t="n"/>
      <c r="E62" s="30" t="n"/>
      <c r="F62" s="30" t="n"/>
      <c r="G62" s="30" t="n"/>
      <c r="H62" s="33" t="n"/>
    </row>
    <row r="63" ht="15" customHeight="1">
      <c r="A63" s="24" t="n"/>
      <c r="B63" s="18" t="n"/>
      <c r="C63" s="30" t="n"/>
      <c r="D63" s="30" t="n"/>
      <c r="E63" s="30" t="n"/>
      <c r="F63" s="30" t="n"/>
      <c r="G63" s="30" t="n"/>
      <c r="H63" s="33" t="n"/>
    </row>
    <row r="64" ht="15" customHeight="1">
      <c r="A64" s="24" t="n"/>
      <c r="B64" s="18" t="n"/>
      <c r="C64" s="30" t="n"/>
      <c r="D64" s="30" t="n"/>
      <c r="E64" s="30" t="n"/>
      <c r="F64" s="30" t="n"/>
      <c r="G64" s="30" t="n"/>
      <c r="H64" s="33" t="n"/>
    </row>
    <row r="65" ht="15" customHeight="1">
      <c r="A65" s="24" t="n"/>
      <c r="B65" s="18" t="n"/>
      <c r="C65" s="30" t="n"/>
      <c r="D65" s="30" t="n"/>
      <c r="E65" s="30" t="n"/>
      <c r="F65" s="30" t="n"/>
      <c r="G65" s="30" t="n"/>
      <c r="H65" s="33" t="n"/>
    </row>
    <row r="66" ht="15" customHeight="1">
      <c r="A66" s="24" t="n"/>
      <c r="B66" s="18" t="n"/>
      <c r="C66" s="30" t="n"/>
      <c r="D66" s="30" t="n"/>
      <c r="E66" s="30" t="n"/>
      <c r="F66" s="30" t="n"/>
      <c r="G66" s="30" t="n"/>
      <c r="H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2E75B6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6" customHeight="1">
      <c r="A1" s="1" t="inlineStr">
        <is>
          <t>MAINTENANCE</t>
        </is>
      </c>
    </row>
    <row r="2">
      <c r="A2" s="2" t="inlineStr">
        <is>
          <t>Maintenance Cost/Running Hour e Breakdown Economic Cost (inclui perda de producao).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PERIOD</t>
        </is>
      </c>
      <c r="B6" s="5" t="inlineStr">
        <is>
          <t>RESOURCE_ID</t>
        </is>
      </c>
      <c r="C6" s="5" t="inlineStr">
        <is>
          <t>Tipo</t>
        </is>
      </c>
      <c r="D6" s="5" t="inlineStr">
        <is>
          <t>Pecas R$</t>
        </is>
      </c>
      <c r="E6" s="5" t="inlineStr">
        <is>
          <t>Servicos R$</t>
        </is>
      </c>
      <c r="F6" s="5" t="inlineStr">
        <is>
          <t>Horas parada</t>
        </is>
      </c>
      <c r="G6" s="5" t="inlineStr">
        <is>
          <t>Perda producao R$</t>
        </is>
      </c>
      <c r="H6" s="5" t="inlineStr">
        <is>
          <t>Custo total R$</t>
        </is>
      </c>
    </row>
    <row r="7" ht="15" customHeight="1">
      <c r="A7" s="24" t="inlineStr">
        <is>
          <t>2026-03</t>
        </is>
      </c>
      <c r="B7" s="18" t="inlineStr">
        <is>
          <t>RES-MIST1</t>
        </is>
      </c>
      <c r="C7" s="18" t="inlineStr">
        <is>
          <t>Corretiva</t>
        </is>
      </c>
      <c r="D7" s="30" t="n">
        <v>800</v>
      </c>
      <c r="E7" s="30" t="n">
        <v>400</v>
      </c>
      <c r="F7" s="30" t="n">
        <v>3</v>
      </c>
      <c r="G7" s="30" t="n">
        <v>900</v>
      </c>
      <c r="H7" s="33">
        <f>D7+E7+G7</f>
        <v/>
      </c>
    </row>
    <row r="8" ht="15" customHeight="1">
      <c r="A8" s="24" t="n"/>
      <c r="B8" s="18" t="n"/>
      <c r="C8" s="18" t="n"/>
      <c r="D8" s="30" t="n"/>
      <c r="E8" s="30" t="n"/>
      <c r="F8" s="30" t="n"/>
      <c r="G8" s="30" t="n"/>
      <c r="H8" s="33" t="n"/>
    </row>
    <row r="9" ht="15" customHeight="1">
      <c r="A9" s="27" t="inlineStr">
        <is>
          <t>^ Linhas acima = dados DEMO (marcados). Abaixo: campos de entrada em branco para dados reais.</t>
        </is>
      </c>
      <c r="B9" s="18" t="n"/>
      <c r="C9" s="18" t="n"/>
      <c r="D9" s="30" t="n"/>
      <c r="E9" s="30" t="n"/>
      <c r="F9" s="30" t="n"/>
      <c r="G9" s="30" t="n"/>
      <c r="H9" s="33" t="n"/>
    </row>
    <row r="10" ht="15" customHeight="1">
      <c r="A10" s="24" t="n"/>
      <c r="B10" s="18" t="n"/>
      <c r="C10" s="18" t="n"/>
      <c r="D10" s="30" t="n"/>
      <c r="E10" s="30" t="n"/>
      <c r="F10" s="30" t="n"/>
      <c r="G10" s="30" t="n"/>
      <c r="H10" s="33" t="n"/>
    </row>
    <row r="11" ht="15" customHeight="1">
      <c r="A11" s="24" t="n"/>
      <c r="B11" s="18" t="n"/>
      <c r="C11" s="18" t="n"/>
      <c r="D11" s="30" t="n"/>
      <c r="E11" s="30" t="n"/>
      <c r="F11" s="30" t="n"/>
      <c r="G11" s="30" t="n"/>
      <c r="H11" s="33" t="n"/>
    </row>
    <row r="12" ht="15" customHeight="1">
      <c r="A12" s="24" t="n"/>
      <c r="B12" s="18" t="n"/>
      <c r="C12" s="18" t="n"/>
      <c r="D12" s="30" t="n"/>
      <c r="E12" s="30" t="n"/>
      <c r="F12" s="30" t="n"/>
      <c r="G12" s="30" t="n"/>
      <c r="H12" s="33" t="n"/>
    </row>
    <row r="13" ht="15" customHeight="1">
      <c r="A13" s="24" t="n"/>
      <c r="B13" s="18" t="n"/>
      <c r="C13" s="18" t="n"/>
      <c r="D13" s="30" t="n"/>
      <c r="E13" s="30" t="n"/>
      <c r="F13" s="30" t="n"/>
      <c r="G13" s="30" t="n"/>
      <c r="H13" s="33" t="n"/>
    </row>
    <row r="14" ht="15" customHeight="1">
      <c r="A14" s="24" t="n"/>
      <c r="B14" s="18" t="n"/>
      <c r="C14" s="18" t="n"/>
      <c r="D14" s="30" t="n"/>
      <c r="E14" s="30" t="n"/>
      <c r="F14" s="30" t="n"/>
      <c r="G14" s="30" t="n"/>
      <c r="H14" s="33" t="n"/>
    </row>
    <row r="15" ht="15" customHeight="1">
      <c r="A15" s="24" t="n"/>
      <c r="B15" s="18" t="n"/>
      <c r="C15" s="18" t="n"/>
      <c r="D15" s="30" t="n"/>
      <c r="E15" s="30" t="n"/>
      <c r="F15" s="30" t="n"/>
      <c r="G15" s="30" t="n"/>
      <c r="H15" s="33" t="n"/>
    </row>
    <row r="16" ht="15" customHeight="1">
      <c r="A16" s="24" t="n"/>
      <c r="B16" s="18" t="n"/>
      <c r="C16" s="18" t="n"/>
      <c r="D16" s="30" t="n"/>
      <c r="E16" s="30" t="n"/>
      <c r="F16" s="30" t="n"/>
      <c r="G16" s="30" t="n"/>
      <c r="H16" s="33" t="n"/>
    </row>
    <row r="17" ht="15" customHeight="1">
      <c r="A17" s="24" t="n"/>
      <c r="B17" s="18" t="n"/>
      <c r="C17" s="18" t="n"/>
      <c r="D17" s="30" t="n"/>
      <c r="E17" s="30" t="n"/>
      <c r="F17" s="30" t="n"/>
      <c r="G17" s="30" t="n"/>
      <c r="H17" s="33" t="n"/>
    </row>
    <row r="18" ht="15" customHeight="1">
      <c r="A18" s="24" t="n"/>
      <c r="B18" s="18" t="n"/>
      <c r="C18" s="18" t="n"/>
      <c r="D18" s="30" t="n"/>
      <c r="E18" s="30" t="n"/>
      <c r="F18" s="30" t="n"/>
      <c r="G18" s="30" t="n"/>
      <c r="H18" s="33" t="n"/>
    </row>
    <row r="19" ht="15" customHeight="1">
      <c r="A19" s="24" t="n"/>
      <c r="B19" s="18" t="n"/>
      <c r="C19" s="18" t="n"/>
      <c r="D19" s="30" t="n"/>
      <c r="E19" s="30" t="n"/>
      <c r="F19" s="30" t="n"/>
      <c r="G19" s="30" t="n"/>
      <c r="H19" s="33" t="n"/>
    </row>
    <row r="20" ht="15" customHeight="1">
      <c r="A20" s="24" t="n"/>
      <c r="B20" s="18" t="n"/>
      <c r="C20" s="18" t="n"/>
      <c r="D20" s="30" t="n"/>
      <c r="E20" s="30" t="n"/>
      <c r="F20" s="30" t="n"/>
      <c r="G20" s="30" t="n"/>
      <c r="H20" s="33" t="n"/>
    </row>
    <row r="21" ht="15" customHeight="1">
      <c r="A21" s="24" t="n"/>
      <c r="B21" s="18" t="n"/>
      <c r="C21" s="18" t="n"/>
      <c r="D21" s="30" t="n"/>
      <c r="E21" s="30" t="n"/>
      <c r="F21" s="30" t="n"/>
      <c r="G21" s="30" t="n"/>
      <c r="H21" s="33" t="n"/>
    </row>
    <row r="22" ht="15" customHeight="1">
      <c r="A22" s="24" t="n"/>
      <c r="B22" s="18" t="n"/>
      <c r="C22" s="18" t="n"/>
      <c r="D22" s="30" t="n"/>
      <c r="E22" s="30" t="n"/>
      <c r="F22" s="30" t="n"/>
      <c r="G22" s="30" t="n"/>
      <c r="H22" s="33" t="n"/>
    </row>
    <row r="23" ht="15" customHeight="1">
      <c r="A23" s="24" t="n"/>
      <c r="B23" s="18" t="n"/>
      <c r="C23" s="18" t="n"/>
      <c r="D23" s="30" t="n"/>
      <c r="E23" s="30" t="n"/>
      <c r="F23" s="30" t="n"/>
      <c r="G23" s="30" t="n"/>
      <c r="H23" s="33" t="n"/>
    </row>
    <row r="24" ht="15" customHeight="1">
      <c r="A24" s="24" t="n"/>
      <c r="B24" s="18" t="n"/>
      <c r="C24" s="18" t="n"/>
      <c r="D24" s="30" t="n"/>
      <c r="E24" s="30" t="n"/>
      <c r="F24" s="30" t="n"/>
      <c r="G24" s="30" t="n"/>
      <c r="H24" s="33" t="n"/>
    </row>
    <row r="25" ht="15" customHeight="1">
      <c r="A25" s="24" t="n"/>
      <c r="B25" s="18" t="n"/>
      <c r="C25" s="18" t="n"/>
      <c r="D25" s="30" t="n"/>
      <c r="E25" s="30" t="n"/>
      <c r="F25" s="30" t="n"/>
      <c r="G25" s="30" t="n"/>
      <c r="H25" s="33" t="n"/>
    </row>
    <row r="26" ht="15" customHeight="1">
      <c r="A26" s="24" t="n"/>
      <c r="B26" s="18" t="n"/>
      <c r="C26" s="18" t="n"/>
      <c r="D26" s="30" t="n"/>
      <c r="E26" s="30" t="n"/>
      <c r="F26" s="30" t="n"/>
      <c r="G26" s="30" t="n"/>
      <c r="H26" s="33" t="n"/>
    </row>
    <row r="27" ht="15" customHeight="1">
      <c r="A27" s="24" t="n"/>
      <c r="B27" s="18" t="n"/>
      <c r="C27" s="18" t="n"/>
      <c r="D27" s="30" t="n"/>
      <c r="E27" s="30" t="n"/>
      <c r="F27" s="30" t="n"/>
      <c r="G27" s="30" t="n"/>
      <c r="H27" s="33" t="n"/>
    </row>
    <row r="28" ht="15" customHeight="1">
      <c r="A28" s="24" t="n"/>
      <c r="B28" s="18" t="n"/>
      <c r="C28" s="18" t="n"/>
      <c r="D28" s="30" t="n"/>
      <c r="E28" s="30" t="n"/>
      <c r="F28" s="30" t="n"/>
      <c r="G28" s="30" t="n"/>
      <c r="H28" s="33" t="n"/>
    </row>
    <row r="29" ht="15" customHeight="1">
      <c r="A29" s="24" t="n"/>
      <c r="B29" s="18" t="n"/>
      <c r="C29" s="18" t="n"/>
      <c r="D29" s="30" t="n"/>
      <c r="E29" s="30" t="n"/>
      <c r="F29" s="30" t="n"/>
      <c r="G29" s="30" t="n"/>
      <c r="H29" s="33" t="n"/>
    </row>
    <row r="30" ht="15" customHeight="1">
      <c r="A30" s="24" t="n"/>
      <c r="B30" s="18" t="n"/>
      <c r="C30" s="18" t="n"/>
      <c r="D30" s="30" t="n"/>
      <c r="E30" s="30" t="n"/>
      <c r="F30" s="30" t="n"/>
      <c r="G30" s="30" t="n"/>
      <c r="H30" s="33" t="n"/>
    </row>
    <row r="31" ht="15" customHeight="1">
      <c r="A31" s="24" t="n"/>
      <c r="B31" s="18" t="n"/>
      <c r="C31" s="18" t="n"/>
      <c r="D31" s="30" t="n"/>
      <c r="E31" s="30" t="n"/>
      <c r="F31" s="30" t="n"/>
      <c r="G31" s="30" t="n"/>
      <c r="H31" s="33" t="n"/>
    </row>
    <row r="32" ht="15" customHeight="1">
      <c r="A32" s="24" t="n"/>
      <c r="B32" s="18" t="n"/>
      <c r="C32" s="18" t="n"/>
      <c r="D32" s="30" t="n"/>
      <c r="E32" s="30" t="n"/>
      <c r="F32" s="30" t="n"/>
      <c r="G32" s="30" t="n"/>
      <c r="H32" s="33" t="n"/>
    </row>
    <row r="33" ht="15" customHeight="1">
      <c r="A33" s="24" t="n"/>
      <c r="B33" s="18" t="n"/>
      <c r="C33" s="18" t="n"/>
      <c r="D33" s="30" t="n"/>
      <c r="E33" s="30" t="n"/>
      <c r="F33" s="30" t="n"/>
      <c r="G33" s="30" t="n"/>
      <c r="H33" s="33" t="n"/>
    </row>
    <row r="34" ht="15" customHeight="1">
      <c r="A34" s="24" t="n"/>
      <c r="B34" s="18" t="n"/>
      <c r="C34" s="18" t="n"/>
      <c r="D34" s="30" t="n"/>
      <c r="E34" s="30" t="n"/>
      <c r="F34" s="30" t="n"/>
      <c r="G34" s="30" t="n"/>
      <c r="H34" s="33" t="n"/>
    </row>
    <row r="35" ht="15" customHeight="1">
      <c r="A35" s="24" t="n"/>
      <c r="B35" s="18" t="n"/>
      <c r="C35" s="18" t="n"/>
      <c r="D35" s="30" t="n"/>
      <c r="E35" s="30" t="n"/>
      <c r="F35" s="30" t="n"/>
      <c r="G35" s="30" t="n"/>
      <c r="H35" s="33" t="n"/>
    </row>
    <row r="36" ht="15" customHeight="1">
      <c r="A36" s="24" t="n"/>
      <c r="B36" s="18" t="n"/>
      <c r="C36" s="18" t="n"/>
      <c r="D36" s="30" t="n"/>
      <c r="E36" s="30" t="n"/>
      <c r="F36" s="30" t="n"/>
      <c r="G36" s="30" t="n"/>
      <c r="H36" s="33" t="n"/>
    </row>
    <row r="37" ht="15" customHeight="1">
      <c r="A37" s="24" t="n"/>
      <c r="B37" s="18" t="n"/>
      <c r="C37" s="18" t="n"/>
      <c r="D37" s="30" t="n"/>
      <c r="E37" s="30" t="n"/>
      <c r="F37" s="30" t="n"/>
      <c r="G37" s="30" t="n"/>
      <c r="H37" s="33" t="n"/>
    </row>
    <row r="38" ht="15" customHeight="1">
      <c r="A38" s="24" t="n"/>
      <c r="B38" s="18" t="n"/>
      <c r="C38" s="18" t="n"/>
      <c r="D38" s="30" t="n"/>
      <c r="E38" s="30" t="n"/>
      <c r="F38" s="30" t="n"/>
      <c r="G38" s="30" t="n"/>
      <c r="H38" s="33" t="n"/>
    </row>
    <row r="39" ht="15" customHeight="1">
      <c r="A39" s="24" t="n"/>
      <c r="B39" s="18" t="n"/>
      <c r="C39" s="18" t="n"/>
      <c r="D39" s="30" t="n"/>
      <c r="E39" s="30" t="n"/>
      <c r="F39" s="30" t="n"/>
      <c r="G39" s="30" t="n"/>
      <c r="H39" s="33" t="n"/>
    </row>
    <row r="40" ht="15" customHeight="1">
      <c r="A40" s="24" t="n"/>
      <c r="B40" s="18" t="n"/>
      <c r="C40" s="18" t="n"/>
      <c r="D40" s="30" t="n"/>
      <c r="E40" s="30" t="n"/>
      <c r="F40" s="30" t="n"/>
      <c r="G40" s="30" t="n"/>
      <c r="H40" s="33" t="n"/>
    </row>
    <row r="41" ht="15" customHeight="1">
      <c r="A41" s="24" t="n"/>
      <c r="B41" s="18" t="n"/>
      <c r="C41" s="18" t="n"/>
      <c r="D41" s="30" t="n"/>
      <c r="E41" s="30" t="n"/>
      <c r="F41" s="30" t="n"/>
      <c r="G41" s="30" t="n"/>
      <c r="H41" s="33" t="n"/>
    </row>
    <row r="42" ht="15" customHeight="1">
      <c r="A42" s="24" t="n"/>
      <c r="B42" s="18" t="n"/>
      <c r="C42" s="18" t="n"/>
      <c r="D42" s="30" t="n"/>
      <c r="E42" s="30" t="n"/>
      <c r="F42" s="30" t="n"/>
      <c r="G42" s="30" t="n"/>
      <c r="H42" s="33" t="n"/>
    </row>
    <row r="43" ht="15" customHeight="1">
      <c r="A43" s="24" t="n"/>
      <c r="B43" s="18" t="n"/>
      <c r="C43" s="18" t="n"/>
      <c r="D43" s="30" t="n"/>
      <c r="E43" s="30" t="n"/>
      <c r="F43" s="30" t="n"/>
      <c r="G43" s="30" t="n"/>
      <c r="H43" s="33" t="n"/>
    </row>
    <row r="44" ht="15" customHeight="1">
      <c r="A44" s="24" t="n"/>
      <c r="B44" s="18" t="n"/>
      <c r="C44" s="18" t="n"/>
      <c r="D44" s="30" t="n"/>
      <c r="E44" s="30" t="n"/>
      <c r="F44" s="30" t="n"/>
      <c r="G44" s="30" t="n"/>
      <c r="H44" s="33" t="n"/>
    </row>
    <row r="45" ht="15" customHeight="1">
      <c r="A45" s="24" t="n"/>
      <c r="B45" s="18" t="n"/>
      <c r="C45" s="18" t="n"/>
      <c r="D45" s="30" t="n"/>
      <c r="E45" s="30" t="n"/>
      <c r="F45" s="30" t="n"/>
      <c r="G45" s="30" t="n"/>
      <c r="H45" s="33" t="n"/>
    </row>
    <row r="46" ht="15" customHeight="1">
      <c r="A46" s="24" t="n"/>
      <c r="B46" s="18" t="n"/>
      <c r="C46" s="18" t="n"/>
      <c r="D46" s="30" t="n"/>
      <c r="E46" s="30" t="n"/>
      <c r="F46" s="30" t="n"/>
      <c r="G46" s="30" t="n"/>
      <c r="H46" s="33" t="n"/>
    </row>
    <row r="47" ht="15" customHeight="1">
      <c r="A47" s="24" t="n"/>
      <c r="B47" s="18" t="n"/>
      <c r="C47" s="18" t="n"/>
      <c r="D47" s="30" t="n"/>
      <c r="E47" s="30" t="n"/>
      <c r="F47" s="30" t="n"/>
      <c r="G47" s="30" t="n"/>
      <c r="H47" s="33" t="n"/>
    </row>
    <row r="48" ht="15" customHeight="1">
      <c r="A48" s="24" t="n"/>
      <c r="B48" s="18" t="n"/>
      <c r="C48" s="18" t="n"/>
      <c r="D48" s="30" t="n"/>
      <c r="E48" s="30" t="n"/>
      <c r="F48" s="30" t="n"/>
      <c r="G48" s="30" t="n"/>
      <c r="H48" s="33" t="n"/>
    </row>
    <row r="49" ht="15" customHeight="1">
      <c r="A49" s="24" t="n"/>
      <c r="B49" s="18" t="n"/>
      <c r="C49" s="18" t="n"/>
      <c r="D49" s="30" t="n"/>
      <c r="E49" s="30" t="n"/>
      <c r="F49" s="30" t="n"/>
      <c r="G49" s="30" t="n"/>
      <c r="H49" s="33" t="n"/>
    </row>
    <row r="50" ht="15" customHeight="1">
      <c r="A50" s="24" t="n"/>
      <c r="B50" s="18" t="n"/>
      <c r="C50" s="18" t="n"/>
      <c r="D50" s="30" t="n"/>
      <c r="E50" s="30" t="n"/>
      <c r="F50" s="30" t="n"/>
      <c r="G50" s="30" t="n"/>
      <c r="H50" s="33" t="n"/>
    </row>
    <row r="51" ht="15" customHeight="1">
      <c r="A51" s="24" t="n"/>
      <c r="B51" s="18" t="n"/>
      <c r="C51" s="18" t="n"/>
      <c r="D51" s="30" t="n"/>
      <c r="E51" s="30" t="n"/>
      <c r="F51" s="30" t="n"/>
      <c r="G51" s="30" t="n"/>
      <c r="H51" s="33" t="n"/>
    </row>
    <row r="52" ht="15" customHeight="1">
      <c r="A52" s="24" t="n"/>
      <c r="B52" s="18" t="n"/>
      <c r="C52" s="18" t="n"/>
      <c r="D52" s="30" t="n"/>
      <c r="E52" s="30" t="n"/>
      <c r="F52" s="30" t="n"/>
      <c r="G52" s="30" t="n"/>
      <c r="H52" s="33" t="n"/>
    </row>
    <row r="53" ht="15" customHeight="1">
      <c r="A53" s="24" t="n"/>
      <c r="B53" s="18" t="n"/>
      <c r="C53" s="18" t="n"/>
      <c r="D53" s="30" t="n"/>
      <c r="E53" s="30" t="n"/>
      <c r="F53" s="30" t="n"/>
      <c r="G53" s="30" t="n"/>
      <c r="H53" s="33" t="n"/>
    </row>
    <row r="54" ht="15" customHeight="1">
      <c r="A54" s="24" t="n"/>
      <c r="B54" s="18" t="n"/>
      <c r="C54" s="18" t="n"/>
      <c r="D54" s="30" t="n"/>
      <c r="E54" s="30" t="n"/>
      <c r="F54" s="30" t="n"/>
      <c r="G54" s="30" t="n"/>
      <c r="H54" s="33" t="n"/>
    </row>
    <row r="55" ht="15" customHeight="1">
      <c r="A55" s="24" t="n"/>
      <c r="B55" s="18" t="n"/>
      <c r="C55" s="18" t="n"/>
      <c r="D55" s="30" t="n"/>
      <c r="E55" s="30" t="n"/>
      <c r="F55" s="30" t="n"/>
      <c r="G55" s="30" t="n"/>
      <c r="H55" s="33" t="n"/>
    </row>
    <row r="56" ht="15" customHeight="1">
      <c r="A56" s="24" t="n"/>
      <c r="B56" s="18" t="n"/>
      <c r="C56" s="18" t="n"/>
      <c r="D56" s="30" t="n"/>
      <c r="E56" s="30" t="n"/>
      <c r="F56" s="30" t="n"/>
      <c r="G56" s="30" t="n"/>
      <c r="H56" s="33" t="n"/>
    </row>
    <row r="57" ht="15" customHeight="1">
      <c r="A57" s="24" t="n"/>
      <c r="B57" s="18" t="n"/>
      <c r="C57" s="18" t="n"/>
      <c r="D57" s="30" t="n"/>
      <c r="E57" s="30" t="n"/>
      <c r="F57" s="30" t="n"/>
      <c r="G57" s="30" t="n"/>
      <c r="H57" s="33" t="n"/>
    </row>
    <row r="58" ht="15" customHeight="1">
      <c r="A58" s="24" t="n"/>
      <c r="B58" s="18" t="n"/>
      <c r="C58" s="18" t="n"/>
      <c r="D58" s="30" t="n"/>
      <c r="E58" s="30" t="n"/>
      <c r="F58" s="30" t="n"/>
      <c r="G58" s="30" t="n"/>
      <c r="H58" s="33" t="n"/>
    </row>
    <row r="59" ht="15" customHeight="1">
      <c r="A59" s="24" t="n"/>
      <c r="B59" s="18" t="n"/>
      <c r="C59" s="18" t="n"/>
      <c r="D59" s="30" t="n"/>
      <c r="E59" s="30" t="n"/>
      <c r="F59" s="30" t="n"/>
      <c r="G59" s="30" t="n"/>
      <c r="H59" s="33" t="n"/>
    </row>
    <row r="60" ht="15" customHeight="1">
      <c r="A60" s="24" t="n"/>
      <c r="B60" s="18" t="n"/>
      <c r="C60" s="18" t="n"/>
      <c r="D60" s="30" t="n"/>
      <c r="E60" s="30" t="n"/>
      <c r="F60" s="30" t="n"/>
      <c r="G60" s="30" t="n"/>
      <c r="H60" s="33" t="n"/>
    </row>
    <row r="61" ht="15" customHeight="1">
      <c r="A61" s="24" t="n"/>
      <c r="B61" s="18" t="n"/>
      <c r="C61" s="18" t="n"/>
      <c r="D61" s="30" t="n"/>
      <c r="E61" s="30" t="n"/>
      <c r="F61" s="30" t="n"/>
      <c r="G61" s="30" t="n"/>
      <c r="H61" s="33" t="n"/>
    </row>
    <row r="62" ht="15" customHeight="1">
      <c r="A62" s="24" t="n"/>
      <c r="B62" s="18" t="n"/>
      <c r="C62" s="18" t="n"/>
      <c r="D62" s="30" t="n"/>
      <c r="E62" s="30" t="n"/>
      <c r="F62" s="30" t="n"/>
      <c r="G62" s="30" t="n"/>
      <c r="H62" s="33" t="n"/>
    </row>
    <row r="63" ht="15" customHeight="1">
      <c r="A63" s="24" t="n"/>
      <c r="B63" s="18" t="n"/>
      <c r="C63" s="18" t="n"/>
      <c r="D63" s="30" t="n"/>
      <c r="E63" s="30" t="n"/>
      <c r="F63" s="30" t="n"/>
      <c r="G63" s="30" t="n"/>
      <c r="H63" s="33" t="n"/>
    </row>
    <row r="64" ht="15" customHeight="1">
      <c r="A64" s="24" t="n"/>
      <c r="B64" s="18" t="n"/>
      <c r="C64" s="18" t="n"/>
      <c r="D64" s="30" t="n"/>
      <c r="E64" s="30" t="n"/>
      <c r="F64" s="30" t="n"/>
      <c r="G64" s="30" t="n"/>
      <c r="H64" s="33" t="n"/>
    </row>
    <row r="65" ht="15" customHeight="1">
      <c r="A65" s="24" t="n"/>
      <c r="B65" s="18" t="n"/>
      <c r="C65" s="18" t="n"/>
      <c r="D65" s="30" t="n"/>
      <c r="E65" s="30" t="n"/>
      <c r="F65" s="30" t="n"/>
      <c r="G65" s="30" t="n"/>
      <c r="H65" s="33" t="n"/>
    </row>
    <row r="66" ht="15" customHeight="1">
      <c r="A66" s="24" t="n"/>
      <c r="B66" s="18" t="n"/>
      <c r="C66" s="18" t="n"/>
      <c r="D66" s="30" t="n"/>
      <c r="E66" s="30" t="n"/>
      <c r="F66" s="30" t="n"/>
      <c r="G66" s="30" t="n"/>
      <c r="H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2E75B6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8" customWidth="1" min="4" max="4"/>
    <col width="12" customWidth="1" min="5" max="5"/>
    <col width="16" customWidth="1" min="6" max="6"/>
    <col width="14" customWidth="1" min="7" max="7"/>
  </cols>
  <sheetData>
    <row r="1" ht="26" customHeight="1">
      <c r="A1" s="1" t="inlineStr">
        <is>
          <t>QUALITY</t>
        </is>
      </c>
    </row>
    <row r="2">
      <c r="A2" s="2" t="inlineStr">
        <is>
          <t>Prevention, Appraisal, Internal Failure, External Failure. Alimenta 11_COPQ / dashboards.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PERIOD</t>
        </is>
      </c>
      <c r="B6" s="5" t="inlineStr">
        <is>
          <t>PRODUCT_ID</t>
        </is>
      </c>
      <c r="C6" s="5" t="inlineStr">
        <is>
          <t>Classe</t>
        </is>
      </c>
      <c r="D6" s="5" t="inlineStr">
        <is>
          <t>Categoria</t>
        </is>
      </c>
      <c r="E6" s="5" t="inlineStr">
        <is>
          <t>Valor R$</t>
        </is>
      </c>
      <c r="F6" s="5" t="inlineStr">
        <is>
          <t>Causa</t>
        </is>
      </c>
      <c r="G6" s="5" t="inlineStr">
        <is>
          <t>Responsavel area</t>
        </is>
      </c>
    </row>
    <row r="7" ht="15" customHeight="1">
      <c r="A7" s="24" t="inlineStr">
        <is>
          <t>2026-03</t>
        </is>
      </c>
      <c r="B7" s="18" t="inlineStr">
        <is>
          <t>P003</t>
        </is>
      </c>
      <c r="C7" s="18" t="inlineStr">
        <is>
          <t>Internal Failure</t>
        </is>
      </c>
      <c r="D7" s="18" t="inlineStr">
        <is>
          <t>Reprocesso</t>
        </is>
      </c>
      <c r="E7" s="30" t="n">
        <v>90</v>
      </c>
      <c r="F7" s="18" t="inlineStr">
        <is>
          <t>Ajuste cor</t>
        </is>
      </c>
      <c r="G7" s="18" t="inlineStr">
        <is>
          <t>Producao</t>
        </is>
      </c>
    </row>
    <row r="8" ht="15" customHeight="1">
      <c r="A8" s="24" t="inlineStr">
        <is>
          <t>2026-03</t>
        </is>
      </c>
      <c r="B8" s="18" t="inlineStr">
        <is>
          <t>P001</t>
        </is>
      </c>
      <c r="C8" s="18" t="inlineStr">
        <is>
          <t>Appraisal</t>
        </is>
      </c>
      <c r="D8" s="18" t="inlineStr">
        <is>
          <t>Ensaio lab</t>
        </is>
      </c>
      <c r="E8" s="30" t="n">
        <v>200</v>
      </c>
      <c r="F8" s="18" t="inlineStr">
        <is>
          <t>Controle rotina</t>
        </is>
      </c>
      <c r="G8" s="18" t="inlineStr">
        <is>
          <t>Qualidade</t>
        </is>
      </c>
    </row>
    <row r="9" ht="15" customHeight="1">
      <c r="A9" s="24" t="n"/>
      <c r="B9" s="18" t="n"/>
      <c r="C9" s="18" t="n"/>
      <c r="D9" s="18" t="n"/>
      <c r="E9" s="30" t="n"/>
      <c r="F9" s="18" t="n"/>
      <c r="G9" s="18" t="n"/>
    </row>
    <row r="10" ht="15" customHeight="1">
      <c r="A10" s="27" t="inlineStr">
        <is>
          <t>^ Linhas acima = dados DEMO (marcados). Abaixo: campos de entrada em branco para dados reais.</t>
        </is>
      </c>
      <c r="B10" s="18" t="n"/>
      <c r="C10" s="18" t="n"/>
      <c r="D10" s="18" t="n"/>
      <c r="E10" s="30" t="n"/>
      <c r="F10" s="18" t="n"/>
      <c r="G10" s="18" t="n"/>
    </row>
    <row r="11" ht="15" customHeight="1">
      <c r="A11" s="24" t="n"/>
      <c r="B11" s="18" t="n"/>
      <c r="C11" s="18" t="n"/>
      <c r="D11" s="18" t="n"/>
      <c r="E11" s="30" t="n"/>
      <c r="F11" s="18" t="n"/>
      <c r="G11" s="18" t="n"/>
    </row>
    <row r="12" ht="15" customHeight="1">
      <c r="A12" s="24" t="n"/>
      <c r="B12" s="18" t="n"/>
      <c r="C12" s="18" t="n"/>
      <c r="D12" s="18" t="n"/>
      <c r="E12" s="30" t="n"/>
      <c r="F12" s="18" t="n"/>
      <c r="G12" s="18" t="n"/>
    </row>
    <row r="13" ht="15" customHeight="1">
      <c r="A13" s="24" t="n"/>
      <c r="B13" s="18" t="n"/>
      <c r="C13" s="18" t="n"/>
      <c r="D13" s="18" t="n"/>
      <c r="E13" s="30" t="n"/>
      <c r="F13" s="18" t="n"/>
      <c r="G13" s="18" t="n"/>
    </row>
    <row r="14" ht="15" customHeight="1">
      <c r="A14" s="24" t="n"/>
      <c r="B14" s="18" t="n"/>
      <c r="C14" s="18" t="n"/>
      <c r="D14" s="18" t="n"/>
      <c r="E14" s="30" t="n"/>
      <c r="F14" s="18" t="n"/>
      <c r="G14" s="18" t="n"/>
    </row>
    <row r="15" ht="15" customHeight="1">
      <c r="A15" s="24" t="n"/>
      <c r="B15" s="18" t="n"/>
      <c r="C15" s="18" t="n"/>
      <c r="D15" s="18" t="n"/>
      <c r="E15" s="30" t="n"/>
      <c r="F15" s="18" t="n"/>
      <c r="G15" s="18" t="n"/>
    </row>
    <row r="16" ht="15" customHeight="1">
      <c r="A16" s="24" t="n"/>
      <c r="B16" s="18" t="n"/>
      <c r="C16" s="18" t="n"/>
      <c r="D16" s="18" t="n"/>
      <c r="E16" s="30" t="n"/>
      <c r="F16" s="18" t="n"/>
      <c r="G16" s="18" t="n"/>
    </row>
    <row r="17" ht="15" customHeight="1">
      <c r="A17" s="24" t="n"/>
      <c r="B17" s="18" t="n"/>
      <c r="C17" s="18" t="n"/>
      <c r="D17" s="18" t="n"/>
      <c r="E17" s="30" t="n"/>
      <c r="F17" s="18" t="n"/>
      <c r="G17" s="18" t="n"/>
    </row>
    <row r="18" ht="15" customHeight="1">
      <c r="A18" s="24" t="n"/>
      <c r="B18" s="18" t="n"/>
      <c r="C18" s="18" t="n"/>
      <c r="D18" s="18" t="n"/>
      <c r="E18" s="30" t="n"/>
      <c r="F18" s="18" t="n"/>
      <c r="G18" s="18" t="n"/>
    </row>
    <row r="19" ht="15" customHeight="1">
      <c r="A19" s="24" t="n"/>
      <c r="B19" s="18" t="n"/>
      <c r="C19" s="18" t="n"/>
      <c r="D19" s="18" t="n"/>
      <c r="E19" s="30" t="n"/>
      <c r="F19" s="18" t="n"/>
      <c r="G19" s="18" t="n"/>
    </row>
    <row r="20" ht="15" customHeight="1">
      <c r="A20" s="24" t="n"/>
      <c r="B20" s="18" t="n"/>
      <c r="C20" s="18" t="n"/>
      <c r="D20" s="18" t="n"/>
      <c r="E20" s="30" t="n"/>
      <c r="F20" s="18" t="n"/>
      <c r="G20" s="18" t="n"/>
    </row>
    <row r="21" ht="15" customHeight="1">
      <c r="A21" s="24" t="n"/>
      <c r="B21" s="18" t="n"/>
      <c r="C21" s="18" t="n"/>
      <c r="D21" s="18" t="n"/>
      <c r="E21" s="30" t="n"/>
      <c r="F21" s="18" t="n"/>
      <c r="G21" s="18" t="n"/>
    </row>
    <row r="22" ht="15" customHeight="1">
      <c r="A22" s="24" t="n"/>
      <c r="B22" s="18" t="n"/>
      <c r="C22" s="18" t="n"/>
      <c r="D22" s="18" t="n"/>
      <c r="E22" s="30" t="n"/>
      <c r="F22" s="18" t="n"/>
      <c r="G22" s="18" t="n"/>
    </row>
    <row r="23" ht="15" customHeight="1">
      <c r="A23" s="24" t="n"/>
      <c r="B23" s="18" t="n"/>
      <c r="C23" s="18" t="n"/>
      <c r="D23" s="18" t="n"/>
      <c r="E23" s="30" t="n"/>
      <c r="F23" s="18" t="n"/>
      <c r="G23" s="18" t="n"/>
    </row>
    <row r="24" ht="15" customHeight="1">
      <c r="A24" s="24" t="n"/>
      <c r="B24" s="18" t="n"/>
      <c r="C24" s="18" t="n"/>
      <c r="D24" s="18" t="n"/>
      <c r="E24" s="30" t="n"/>
      <c r="F24" s="18" t="n"/>
      <c r="G24" s="18" t="n"/>
    </row>
    <row r="25" ht="15" customHeight="1">
      <c r="A25" s="24" t="n"/>
      <c r="B25" s="18" t="n"/>
      <c r="C25" s="18" t="n"/>
      <c r="D25" s="18" t="n"/>
      <c r="E25" s="30" t="n"/>
      <c r="F25" s="18" t="n"/>
      <c r="G25" s="18" t="n"/>
    </row>
    <row r="26" ht="15" customHeight="1">
      <c r="A26" s="24" t="n"/>
      <c r="B26" s="18" t="n"/>
      <c r="C26" s="18" t="n"/>
      <c r="D26" s="18" t="n"/>
      <c r="E26" s="30" t="n"/>
      <c r="F26" s="18" t="n"/>
      <c r="G26" s="18" t="n"/>
    </row>
    <row r="27" ht="15" customHeight="1">
      <c r="A27" s="24" t="n"/>
      <c r="B27" s="18" t="n"/>
      <c r="C27" s="18" t="n"/>
      <c r="D27" s="18" t="n"/>
      <c r="E27" s="30" t="n"/>
      <c r="F27" s="18" t="n"/>
      <c r="G27" s="18" t="n"/>
    </row>
    <row r="28" ht="15" customHeight="1">
      <c r="A28" s="24" t="n"/>
      <c r="B28" s="18" t="n"/>
      <c r="C28" s="18" t="n"/>
      <c r="D28" s="18" t="n"/>
      <c r="E28" s="30" t="n"/>
      <c r="F28" s="18" t="n"/>
      <c r="G28" s="18" t="n"/>
    </row>
    <row r="29" ht="15" customHeight="1">
      <c r="A29" s="24" t="n"/>
      <c r="B29" s="18" t="n"/>
      <c r="C29" s="18" t="n"/>
      <c r="D29" s="18" t="n"/>
      <c r="E29" s="30" t="n"/>
      <c r="F29" s="18" t="n"/>
      <c r="G29" s="18" t="n"/>
    </row>
    <row r="30" ht="15" customHeight="1">
      <c r="A30" s="24" t="n"/>
      <c r="B30" s="18" t="n"/>
      <c r="C30" s="18" t="n"/>
      <c r="D30" s="18" t="n"/>
      <c r="E30" s="30" t="n"/>
      <c r="F30" s="18" t="n"/>
      <c r="G30" s="18" t="n"/>
    </row>
    <row r="31" ht="15" customHeight="1">
      <c r="A31" s="24" t="n"/>
      <c r="B31" s="18" t="n"/>
      <c r="C31" s="18" t="n"/>
      <c r="D31" s="18" t="n"/>
      <c r="E31" s="30" t="n"/>
      <c r="F31" s="18" t="n"/>
      <c r="G31" s="18" t="n"/>
    </row>
    <row r="32" ht="15" customHeight="1">
      <c r="A32" s="24" t="n"/>
      <c r="B32" s="18" t="n"/>
      <c r="C32" s="18" t="n"/>
      <c r="D32" s="18" t="n"/>
      <c r="E32" s="30" t="n"/>
      <c r="F32" s="18" t="n"/>
      <c r="G32" s="18" t="n"/>
    </row>
    <row r="33" ht="15" customHeight="1">
      <c r="A33" s="24" t="n"/>
      <c r="B33" s="18" t="n"/>
      <c r="C33" s="18" t="n"/>
      <c r="D33" s="18" t="n"/>
      <c r="E33" s="30" t="n"/>
      <c r="F33" s="18" t="n"/>
      <c r="G33" s="18" t="n"/>
    </row>
    <row r="34" ht="15" customHeight="1">
      <c r="A34" s="24" t="n"/>
      <c r="B34" s="18" t="n"/>
      <c r="C34" s="18" t="n"/>
      <c r="D34" s="18" t="n"/>
      <c r="E34" s="30" t="n"/>
      <c r="F34" s="18" t="n"/>
      <c r="G34" s="18" t="n"/>
    </row>
    <row r="35" ht="15" customHeight="1">
      <c r="A35" s="24" t="n"/>
      <c r="B35" s="18" t="n"/>
      <c r="C35" s="18" t="n"/>
      <c r="D35" s="18" t="n"/>
      <c r="E35" s="30" t="n"/>
      <c r="F35" s="18" t="n"/>
      <c r="G35" s="18" t="n"/>
    </row>
    <row r="36" ht="15" customHeight="1">
      <c r="A36" s="24" t="n"/>
      <c r="B36" s="18" t="n"/>
      <c r="C36" s="18" t="n"/>
      <c r="D36" s="18" t="n"/>
      <c r="E36" s="30" t="n"/>
      <c r="F36" s="18" t="n"/>
      <c r="G36" s="18" t="n"/>
    </row>
    <row r="37" ht="15" customHeight="1">
      <c r="A37" s="24" t="n"/>
      <c r="B37" s="18" t="n"/>
      <c r="C37" s="18" t="n"/>
      <c r="D37" s="18" t="n"/>
      <c r="E37" s="30" t="n"/>
      <c r="F37" s="18" t="n"/>
      <c r="G37" s="18" t="n"/>
    </row>
    <row r="38" ht="15" customHeight="1">
      <c r="A38" s="24" t="n"/>
      <c r="B38" s="18" t="n"/>
      <c r="C38" s="18" t="n"/>
      <c r="D38" s="18" t="n"/>
      <c r="E38" s="30" t="n"/>
      <c r="F38" s="18" t="n"/>
      <c r="G38" s="18" t="n"/>
    </row>
    <row r="39" ht="15" customHeight="1">
      <c r="A39" s="24" t="n"/>
      <c r="B39" s="18" t="n"/>
      <c r="C39" s="18" t="n"/>
      <c r="D39" s="18" t="n"/>
      <c r="E39" s="30" t="n"/>
      <c r="F39" s="18" t="n"/>
      <c r="G39" s="18" t="n"/>
    </row>
    <row r="40" ht="15" customHeight="1">
      <c r="A40" s="24" t="n"/>
      <c r="B40" s="18" t="n"/>
      <c r="C40" s="18" t="n"/>
      <c r="D40" s="18" t="n"/>
      <c r="E40" s="30" t="n"/>
      <c r="F40" s="18" t="n"/>
      <c r="G40" s="18" t="n"/>
    </row>
    <row r="41" ht="15" customHeight="1">
      <c r="A41" s="24" t="n"/>
      <c r="B41" s="18" t="n"/>
      <c r="C41" s="18" t="n"/>
      <c r="D41" s="18" t="n"/>
      <c r="E41" s="30" t="n"/>
      <c r="F41" s="18" t="n"/>
      <c r="G41" s="18" t="n"/>
    </row>
    <row r="42" ht="15" customHeight="1">
      <c r="A42" s="24" t="n"/>
      <c r="B42" s="18" t="n"/>
      <c r="C42" s="18" t="n"/>
      <c r="D42" s="18" t="n"/>
      <c r="E42" s="30" t="n"/>
      <c r="F42" s="18" t="n"/>
      <c r="G42" s="18" t="n"/>
    </row>
    <row r="43" ht="15" customHeight="1">
      <c r="A43" s="24" t="n"/>
      <c r="B43" s="18" t="n"/>
      <c r="C43" s="18" t="n"/>
      <c r="D43" s="18" t="n"/>
      <c r="E43" s="30" t="n"/>
      <c r="F43" s="18" t="n"/>
      <c r="G43" s="18" t="n"/>
    </row>
    <row r="44" ht="15" customHeight="1">
      <c r="A44" s="24" t="n"/>
      <c r="B44" s="18" t="n"/>
      <c r="C44" s="18" t="n"/>
      <c r="D44" s="18" t="n"/>
      <c r="E44" s="30" t="n"/>
      <c r="F44" s="18" t="n"/>
      <c r="G44" s="18" t="n"/>
    </row>
    <row r="45" ht="15" customHeight="1">
      <c r="A45" s="24" t="n"/>
      <c r="B45" s="18" t="n"/>
      <c r="C45" s="18" t="n"/>
      <c r="D45" s="18" t="n"/>
      <c r="E45" s="30" t="n"/>
      <c r="F45" s="18" t="n"/>
      <c r="G45" s="18" t="n"/>
    </row>
    <row r="46" ht="15" customHeight="1">
      <c r="A46" s="24" t="n"/>
      <c r="B46" s="18" t="n"/>
      <c r="C46" s="18" t="n"/>
      <c r="D46" s="18" t="n"/>
      <c r="E46" s="30" t="n"/>
      <c r="F46" s="18" t="n"/>
      <c r="G46" s="18" t="n"/>
    </row>
    <row r="47" ht="15" customHeight="1">
      <c r="A47" s="24" t="n"/>
      <c r="B47" s="18" t="n"/>
      <c r="C47" s="18" t="n"/>
      <c r="D47" s="18" t="n"/>
      <c r="E47" s="30" t="n"/>
      <c r="F47" s="18" t="n"/>
      <c r="G47" s="18" t="n"/>
    </row>
    <row r="48" ht="15" customHeight="1">
      <c r="A48" s="24" t="n"/>
      <c r="B48" s="18" t="n"/>
      <c r="C48" s="18" t="n"/>
      <c r="D48" s="18" t="n"/>
      <c r="E48" s="30" t="n"/>
      <c r="F48" s="18" t="n"/>
      <c r="G48" s="18" t="n"/>
    </row>
    <row r="49" ht="15" customHeight="1">
      <c r="A49" s="24" t="n"/>
      <c r="B49" s="18" t="n"/>
      <c r="C49" s="18" t="n"/>
      <c r="D49" s="18" t="n"/>
      <c r="E49" s="30" t="n"/>
      <c r="F49" s="18" t="n"/>
      <c r="G49" s="18" t="n"/>
    </row>
    <row r="50" ht="15" customHeight="1">
      <c r="A50" s="24" t="n"/>
      <c r="B50" s="18" t="n"/>
      <c r="C50" s="18" t="n"/>
      <c r="D50" s="18" t="n"/>
      <c r="E50" s="30" t="n"/>
      <c r="F50" s="18" t="n"/>
      <c r="G50" s="18" t="n"/>
    </row>
    <row r="51" ht="15" customHeight="1">
      <c r="A51" s="24" t="n"/>
      <c r="B51" s="18" t="n"/>
      <c r="C51" s="18" t="n"/>
      <c r="D51" s="18" t="n"/>
      <c r="E51" s="30" t="n"/>
      <c r="F51" s="18" t="n"/>
      <c r="G51" s="18" t="n"/>
    </row>
    <row r="52" ht="15" customHeight="1">
      <c r="A52" s="24" t="n"/>
      <c r="B52" s="18" t="n"/>
      <c r="C52" s="18" t="n"/>
      <c r="D52" s="18" t="n"/>
      <c r="E52" s="30" t="n"/>
      <c r="F52" s="18" t="n"/>
      <c r="G52" s="18" t="n"/>
    </row>
    <row r="53" ht="15" customHeight="1">
      <c r="A53" s="24" t="n"/>
      <c r="B53" s="18" t="n"/>
      <c r="C53" s="18" t="n"/>
      <c r="D53" s="18" t="n"/>
      <c r="E53" s="30" t="n"/>
      <c r="F53" s="18" t="n"/>
      <c r="G53" s="18" t="n"/>
    </row>
    <row r="54" ht="15" customHeight="1">
      <c r="A54" s="24" t="n"/>
      <c r="B54" s="18" t="n"/>
      <c r="C54" s="18" t="n"/>
      <c r="D54" s="18" t="n"/>
      <c r="E54" s="30" t="n"/>
      <c r="F54" s="18" t="n"/>
      <c r="G54" s="18" t="n"/>
    </row>
    <row r="55" ht="15" customHeight="1">
      <c r="A55" s="24" t="n"/>
      <c r="B55" s="18" t="n"/>
      <c r="C55" s="18" t="n"/>
      <c r="D55" s="18" t="n"/>
      <c r="E55" s="30" t="n"/>
      <c r="F55" s="18" t="n"/>
      <c r="G55" s="18" t="n"/>
    </row>
    <row r="56" ht="15" customHeight="1">
      <c r="A56" s="24" t="n"/>
      <c r="B56" s="18" t="n"/>
      <c r="C56" s="18" t="n"/>
      <c r="D56" s="18" t="n"/>
      <c r="E56" s="30" t="n"/>
      <c r="F56" s="18" t="n"/>
      <c r="G56" s="18" t="n"/>
    </row>
    <row r="57" ht="15" customHeight="1">
      <c r="A57" s="24" t="n"/>
      <c r="B57" s="18" t="n"/>
      <c r="C57" s="18" t="n"/>
      <c r="D57" s="18" t="n"/>
      <c r="E57" s="30" t="n"/>
      <c r="F57" s="18" t="n"/>
      <c r="G57" s="18" t="n"/>
    </row>
    <row r="58" ht="15" customHeight="1">
      <c r="A58" s="24" t="n"/>
      <c r="B58" s="18" t="n"/>
      <c r="C58" s="18" t="n"/>
      <c r="D58" s="18" t="n"/>
      <c r="E58" s="30" t="n"/>
      <c r="F58" s="18" t="n"/>
      <c r="G58" s="18" t="n"/>
    </row>
    <row r="59" ht="15" customHeight="1">
      <c r="A59" s="24" t="n"/>
      <c r="B59" s="18" t="n"/>
      <c r="C59" s="18" t="n"/>
      <c r="D59" s="18" t="n"/>
      <c r="E59" s="30" t="n"/>
      <c r="F59" s="18" t="n"/>
      <c r="G59" s="18" t="n"/>
    </row>
    <row r="60" ht="15" customHeight="1">
      <c r="A60" s="24" t="n"/>
      <c r="B60" s="18" t="n"/>
      <c r="C60" s="18" t="n"/>
      <c r="D60" s="18" t="n"/>
      <c r="E60" s="30" t="n"/>
      <c r="F60" s="18" t="n"/>
      <c r="G60" s="18" t="n"/>
    </row>
    <row r="61" ht="15" customHeight="1">
      <c r="A61" s="24" t="n"/>
      <c r="B61" s="18" t="n"/>
      <c r="C61" s="18" t="n"/>
      <c r="D61" s="18" t="n"/>
      <c r="E61" s="30" t="n"/>
      <c r="F61" s="18" t="n"/>
      <c r="G61" s="18" t="n"/>
    </row>
    <row r="62" ht="15" customHeight="1">
      <c r="A62" s="24" t="n"/>
      <c r="B62" s="18" t="n"/>
      <c r="C62" s="18" t="n"/>
      <c r="D62" s="18" t="n"/>
      <c r="E62" s="30" t="n"/>
      <c r="F62" s="18" t="n"/>
      <c r="G62" s="18" t="n"/>
    </row>
    <row r="63" ht="15" customHeight="1">
      <c r="A63" s="24" t="n"/>
      <c r="B63" s="18" t="n"/>
      <c r="C63" s="18" t="n"/>
      <c r="D63" s="18" t="n"/>
      <c r="E63" s="30" t="n"/>
      <c r="F63" s="18" t="n"/>
      <c r="G63" s="18" t="n"/>
    </row>
    <row r="64" ht="15" customHeight="1">
      <c r="A64" s="24" t="n"/>
      <c r="B64" s="18" t="n"/>
      <c r="C64" s="18" t="n"/>
      <c r="D64" s="18" t="n"/>
      <c r="E64" s="30" t="n"/>
      <c r="F64" s="18" t="n"/>
      <c r="G64" s="18" t="n"/>
    </row>
    <row r="65" ht="15" customHeight="1">
      <c r="A65" s="24" t="n"/>
      <c r="B65" s="18" t="n"/>
      <c r="C65" s="18" t="n"/>
      <c r="D65" s="18" t="n"/>
      <c r="E65" s="30" t="n"/>
      <c r="F65" s="18" t="n"/>
      <c r="G65" s="18" t="n"/>
    </row>
    <row r="66" ht="15" customHeight="1">
      <c r="A66" s="24" t="n"/>
      <c r="B66" s="18" t="n"/>
      <c r="C66" s="18" t="n"/>
      <c r="D66" s="18" t="n"/>
      <c r="E66" s="30" t="n"/>
      <c r="F66" s="18" t="n"/>
      <c r="G66" s="18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203864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8" customWidth="1" min="5" max="5"/>
    <col width="10" customWidth="1" min="6" max="6"/>
    <col width="14" customWidth="1" min="7" max="7"/>
  </cols>
  <sheetData>
    <row r="1" ht="26" customHeight="1">
      <c r="A1" s="1" t="inlineStr">
        <is>
          <t>INVENTORY</t>
        </is>
      </c>
    </row>
    <row r="2">
      <c r="A2" s="2" t="inlineStr">
        <is>
          <t>Dias, giro, estoque medio + Inventory Carrying Cost (capital + armazenagem + seguro + obsoles.).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ITEM_ID</t>
        </is>
      </c>
      <c r="B6" s="5" t="inlineStr">
        <is>
          <t>Tipo</t>
        </is>
      </c>
      <c r="C6" s="5" t="inlineStr">
        <is>
          <t>Estoque medio R$</t>
        </is>
      </c>
      <c r="D6" s="5" t="inlineStr">
        <is>
          <t>Dias</t>
        </is>
      </c>
      <c r="E6" s="5" t="inlineStr">
        <is>
          <t>Giro</t>
        </is>
      </c>
      <c r="F6" s="5" t="inlineStr">
        <is>
          <t>Armazenagem %</t>
        </is>
      </c>
      <c r="G6" s="5" t="inlineStr">
        <is>
          <t>Carrying cost R$</t>
        </is>
      </c>
    </row>
    <row r="7" ht="15" customHeight="1">
      <c r="A7" s="24" t="inlineStr">
        <is>
          <t>M001</t>
        </is>
      </c>
      <c r="B7" s="18" t="inlineStr">
        <is>
          <t>MP</t>
        </is>
      </c>
      <c r="C7" s="30" t="n">
        <v>64000</v>
      </c>
      <c r="D7" s="30" t="n">
        <v>30</v>
      </c>
      <c r="E7" s="30" t="n">
        <v>12</v>
      </c>
      <c r="F7" s="40" t="n">
        <v>0.03</v>
      </c>
      <c r="G7" s="33">
        <f>C7*(CUSTO_CAPITAL_ANO+F7)*D7/365</f>
        <v/>
      </c>
    </row>
    <row r="8" ht="15" customHeight="1">
      <c r="A8" s="24" t="inlineStr">
        <is>
          <t>P001</t>
        </is>
      </c>
      <c r="B8" s="18" t="inlineStr">
        <is>
          <t>PA</t>
        </is>
      </c>
      <c r="C8" s="30" t="n">
        <v>30000</v>
      </c>
      <c r="D8" s="30" t="n">
        <v>15</v>
      </c>
      <c r="E8" s="30" t="n">
        <v>24</v>
      </c>
      <c r="F8" s="40" t="n">
        <v>0.03</v>
      </c>
      <c r="G8" s="33">
        <f>C8*(CUSTO_CAPITAL_ANO+F8)*D8/365</f>
        <v/>
      </c>
    </row>
    <row r="9" ht="15" customHeight="1">
      <c r="A9" s="24" t="n"/>
      <c r="B9" s="18" t="n"/>
      <c r="C9" s="30" t="n"/>
      <c r="D9" s="30" t="n"/>
      <c r="E9" s="30" t="n"/>
      <c r="F9" s="40" t="n"/>
      <c r="G9" s="33" t="n"/>
    </row>
    <row r="10" ht="15" customHeight="1">
      <c r="A10" s="27" t="inlineStr">
        <is>
          <t>^ Linhas acima = dados DEMO (marcados). Abaixo: campos de entrada em branco para dados reais.</t>
        </is>
      </c>
      <c r="B10" s="18" t="n"/>
      <c r="C10" s="30" t="n"/>
      <c r="D10" s="30" t="n"/>
      <c r="E10" s="30" t="n"/>
      <c r="F10" s="40" t="n"/>
      <c r="G10" s="33" t="n"/>
    </row>
    <row r="11" ht="15" customHeight="1">
      <c r="A11" s="24" t="n"/>
      <c r="B11" s="18" t="n"/>
      <c r="C11" s="30" t="n"/>
      <c r="D11" s="30" t="n"/>
      <c r="E11" s="30" t="n"/>
      <c r="F11" s="40" t="n"/>
      <c r="G11" s="33" t="n"/>
    </row>
    <row r="12" ht="15" customHeight="1">
      <c r="A12" s="24" t="n"/>
      <c r="B12" s="18" t="n"/>
      <c r="C12" s="30" t="n"/>
      <c r="D12" s="30" t="n"/>
      <c r="E12" s="30" t="n"/>
      <c r="F12" s="40" t="n"/>
      <c r="G12" s="33" t="n"/>
    </row>
    <row r="13" ht="15" customHeight="1">
      <c r="A13" s="24" t="n"/>
      <c r="B13" s="18" t="n"/>
      <c r="C13" s="30" t="n"/>
      <c r="D13" s="30" t="n"/>
      <c r="E13" s="30" t="n"/>
      <c r="F13" s="40" t="n"/>
      <c r="G13" s="33" t="n"/>
    </row>
    <row r="14" ht="15" customHeight="1">
      <c r="A14" s="24" t="n"/>
      <c r="B14" s="18" t="n"/>
      <c r="C14" s="30" t="n"/>
      <c r="D14" s="30" t="n"/>
      <c r="E14" s="30" t="n"/>
      <c r="F14" s="40" t="n"/>
      <c r="G14" s="33" t="n"/>
    </row>
    <row r="15" ht="15" customHeight="1">
      <c r="A15" s="24" t="n"/>
      <c r="B15" s="18" t="n"/>
      <c r="C15" s="30" t="n"/>
      <c r="D15" s="30" t="n"/>
      <c r="E15" s="30" t="n"/>
      <c r="F15" s="40" t="n"/>
      <c r="G15" s="33" t="n"/>
    </row>
    <row r="16" ht="15" customHeight="1">
      <c r="A16" s="24" t="n"/>
      <c r="B16" s="18" t="n"/>
      <c r="C16" s="30" t="n"/>
      <c r="D16" s="30" t="n"/>
      <c r="E16" s="30" t="n"/>
      <c r="F16" s="40" t="n"/>
      <c r="G16" s="33" t="n"/>
    </row>
    <row r="17" ht="15" customHeight="1">
      <c r="A17" s="24" t="n"/>
      <c r="B17" s="18" t="n"/>
      <c r="C17" s="30" t="n"/>
      <c r="D17" s="30" t="n"/>
      <c r="E17" s="30" t="n"/>
      <c r="F17" s="40" t="n"/>
      <c r="G17" s="33" t="n"/>
    </row>
    <row r="18" ht="15" customHeight="1">
      <c r="A18" s="24" t="n"/>
      <c r="B18" s="18" t="n"/>
      <c r="C18" s="30" t="n"/>
      <c r="D18" s="30" t="n"/>
      <c r="E18" s="30" t="n"/>
      <c r="F18" s="40" t="n"/>
      <c r="G18" s="33" t="n"/>
    </row>
    <row r="19" ht="15" customHeight="1">
      <c r="A19" s="24" t="n"/>
      <c r="B19" s="18" t="n"/>
      <c r="C19" s="30" t="n"/>
      <c r="D19" s="30" t="n"/>
      <c r="E19" s="30" t="n"/>
      <c r="F19" s="40" t="n"/>
      <c r="G19" s="33" t="n"/>
    </row>
    <row r="20" ht="15" customHeight="1">
      <c r="A20" s="24" t="n"/>
      <c r="B20" s="18" t="n"/>
      <c r="C20" s="30" t="n"/>
      <c r="D20" s="30" t="n"/>
      <c r="E20" s="30" t="n"/>
      <c r="F20" s="40" t="n"/>
      <c r="G20" s="33" t="n"/>
    </row>
    <row r="21" ht="15" customHeight="1">
      <c r="A21" s="24" t="n"/>
      <c r="B21" s="18" t="n"/>
      <c r="C21" s="30" t="n"/>
      <c r="D21" s="30" t="n"/>
      <c r="E21" s="30" t="n"/>
      <c r="F21" s="40" t="n"/>
      <c r="G21" s="33" t="n"/>
    </row>
    <row r="22" ht="15" customHeight="1">
      <c r="A22" s="24" t="n"/>
      <c r="B22" s="18" t="n"/>
      <c r="C22" s="30" t="n"/>
      <c r="D22" s="30" t="n"/>
      <c r="E22" s="30" t="n"/>
      <c r="F22" s="40" t="n"/>
      <c r="G22" s="33" t="n"/>
    </row>
    <row r="23" ht="15" customHeight="1">
      <c r="A23" s="24" t="n"/>
      <c r="B23" s="18" t="n"/>
      <c r="C23" s="30" t="n"/>
      <c r="D23" s="30" t="n"/>
      <c r="E23" s="30" t="n"/>
      <c r="F23" s="40" t="n"/>
      <c r="G23" s="33" t="n"/>
    </row>
    <row r="24" ht="15" customHeight="1">
      <c r="A24" s="24" t="n"/>
      <c r="B24" s="18" t="n"/>
      <c r="C24" s="30" t="n"/>
      <c r="D24" s="30" t="n"/>
      <c r="E24" s="30" t="n"/>
      <c r="F24" s="40" t="n"/>
      <c r="G24" s="33" t="n"/>
    </row>
    <row r="25" ht="15" customHeight="1">
      <c r="A25" s="24" t="n"/>
      <c r="B25" s="18" t="n"/>
      <c r="C25" s="30" t="n"/>
      <c r="D25" s="30" t="n"/>
      <c r="E25" s="30" t="n"/>
      <c r="F25" s="40" t="n"/>
      <c r="G25" s="33" t="n"/>
    </row>
    <row r="26" ht="15" customHeight="1">
      <c r="A26" s="24" t="n"/>
      <c r="B26" s="18" t="n"/>
      <c r="C26" s="30" t="n"/>
      <c r="D26" s="30" t="n"/>
      <c r="E26" s="30" t="n"/>
      <c r="F26" s="40" t="n"/>
      <c r="G26" s="33" t="n"/>
    </row>
    <row r="27" ht="15" customHeight="1">
      <c r="A27" s="24" t="n"/>
      <c r="B27" s="18" t="n"/>
      <c r="C27" s="30" t="n"/>
      <c r="D27" s="30" t="n"/>
      <c r="E27" s="30" t="n"/>
      <c r="F27" s="40" t="n"/>
      <c r="G27" s="33" t="n"/>
    </row>
    <row r="28" ht="15" customHeight="1">
      <c r="A28" s="24" t="n"/>
      <c r="B28" s="18" t="n"/>
      <c r="C28" s="30" t="n"/>
      <c r="D28" s="30" t="n"/>
      <c r="E28" s="30" t="n"/>
      <c r="F28" s="40" t="n"/>
      <c r="G28" s="33" t="n"/>
    </row>
    <row r="29" ht="15" customHeight="1">
      <c r="A29" s="24" t="n"/>
      <c r="B29" s="18" t="n"/>
      <c r="C29" s="30" t="n"/>
      <c r="D29" s="30" t="n"/>
      <c r="E29" s="30" t="n"/>
      <c r="F29" s="40" t="n"/>
      <c r="G29" s="33" t="n"/>
    </row>
    <row r="30" ht="15" customHeight="1">
      <c r="A30" s="24" t="n"/>
      <c r="B30" s="18" t="n"/>
      <c r="C30" s="30" t="n"/>
      <c r="D30" s="30" t="n"/>
      <c r="E30" s="30" t="n"/>
      <c r="F30" s="40" t="n"/>
      <c r="G30" s="33" t="n"/>
    </row>
    <row r="31" ht="15" customHeight="1">
      <c r="A31" s="24" t="n"/>
      <c r="B31" s="18" t="n"/>
      <c r="C31" s="30" t="n"/>
      <c r="D31" s="30" t="n"/>
      <c r="E31" s="30" t="n"/>
      <c r="F31" s="40" t="n"/>
      <c r="G31" s="33" t="n"/>
    </row>
    <row r="32" ht="15" customHeight="1">
      <c r="A32" s="24" t="n"/>
      <c r="B32" s="18" t="n"/>
      <c r="C32" s="30" t="n"/>
      <c r="D32" s="30" t="n"/>
      <c r="E32" s="30" t="n"/>
      <c r="F32" s="40" t="n"/>
      <c r="G32" s="33" t="n"/>
    </row>
    <row r="33" ht="15" customHeight="1">
      <c r="A33" s="24" t="n"/>
      <c r="B33" s="18" t="n"/>
      <c r="C33" s="30" t="n"/>
      <c r="D33" s="30" t="n"/>
      <c r="E33" s="30" t="n"/>
      <c r="F33" s="40" t="n"/>
      <c r="G33" s="33" t="n"/>
    </row>
    <row r="34" ht="15" customHeight="1">
      <c r="A34" s="24" t="n"/>
      <c r="B34" s="18" t="n"/>
      <c r="C34" s="30" t="n"/>
      <c r="D34" s="30" t="n"/>
      <c r="E34" s="30" t="n"/>
      <c r="F34" s="40" t="n"/>
      <c r="G34" s="33" t="n"/>
    </row>
    <row r="35" ht="15" customHeight="1">
      <c r="A35" s="24" t="n"/>
      <c r="B35" s="18" t="n"/>
      <c r="C35" s="30" t="n"/>
      <c r="D35" s="30" t="n"/>
      <c r="E35" s="30" t="n"/>
      <c r="F35" s="40" t="n"/>
      <c r="G35" s="33" t="n"/>
    </row>
    <row r="36" ht="15" customHeight="1">
      <c r="A36" s="24" t="n"/>
      <c r="B36" s="18" t="n"/>
      <c r="C36" s="30" t="n"/>
      <c r="D36" s="30" t="n"/>
      <c r="E36" s="30" t="n"/>
      <c r="F36" s="40" t="n"/>
      <c r="G36" s="33" t="n"/>
    </row>
    <row r="37" ht="15" customHeight="1">
      <c r="A37" s="24" t="n"/>
      <c r="B37" s="18" t="n"/>
      <c r="C37" s="30" t="n"/>
      <c r="D37" s="30" t="n"/>
      <c r="E37" s="30" t="n"/>
      <c r="F37" s="40" t="n"/>
      <c r="G37" s="33" t="n"/>
    </row>
    <row r="38" ht="15" customHeight="1">
      <c r="A38" s="24" t="n"/>
      <c r="B38" s="18" t="n"/>
      <c r="C38" s="30" t="n"/>
      <c r="D38" s="30" t="n"/>
      <c r="E38" s="30" t="n"/>
      <c r="F38" s="40" t="n"/>
      <c r="G38" s="33" t="n"/>
    </row>
    <row r="39" ht="15" customHeight="1">
      <c r="A39" s="24" t="n"/>
      <c r="B39" s="18" t="n"/>
      <c r="C39" s="30" t="n"/>
      <c r="D39" s="30" t="n"/>
      <c r="E39" s="30" t="n"/>
      <c r="F39" s="40" t="n"/>
      <c r="G39" s="33" t="n"/>
    </row>
    <row r="40" ht="15" customHeight="1">
      <c r="A40" s="24" t="n"/>
      <c r="B40" s="18" t="n"/>
      <c r="C40" s="30" t="n"/>
      <c r="D40" s="30" t="n"/>
      <c r="E40" s="30" t="n"/>
      <c r="F40" s="40" t="n"/>
      <c r="G40" s="33" t="n"/>
    </row>
    <row r="41" ht="15" customHeight="1">
      <c r="A41" s="24" t="n"/>
      <c r="B41" s="18" t="n"/>
      <c r="C41" s="30" t="n"/>
      <c r="D41" s="30" t="n"/>
      <c r="E41" s="30" t="n"/>
      <c r="F41" s="40" t="n"/>
      <c r="G41" s="33" t="n"/>
    </row>
    <row r="42" ht="15" customHeight="1">
      <c r="A42" s="24" t="n"/>
      <c r="B42" s="18" t="n"/>
      <c r="C42" s="30" t="n"/>
      <c r="D42" s="30" t="n"/>
      <c r="E42" s="30" t="n"/>
      <c r="F42" s="40" t="n"/>
      <c r="G42" s="33" t="n"/>
    </row>
    <row r="43" ht="15" customHeight="1">
      <c r="A43" s="24" t="n"/>
      <c r="B43" s="18" t="n"/>
      <c r="C43" s="30" t="n"/>
      <c r="D43" s="30" t="n"/>
      <c r="E43" s="30" t="n"/>
      <c r="F43" s="40" t="n"/>
      <c r="G43" s="33" t="n"/>
    </row>
    <row r="44" ht="15" customHeight="1">
      <c r="A44" s="24" t="n"/>
      <c r="B44" s="18" t="n"/>
      <c r="C44" s="30" t="n"/>
      <c r="D44" s="30" t="n"/>
      <c r="E44" s="30" t="n"/>
      <c r="F44" s="40" t="n"/>
      <c r="G44" s="33" t="n"/>
    </row>
    <row r="45" ht="15" customHeight="1">
      <c r="A45" s="24" t="n"/>
      <c r="B45" s="18" t="n"/>
      <c r="C45" s="30" t="n"/>
      <c r="D45" s="30" t="n"/>
      <c r="E45" s="30" t="n"/>
      <c r="F45" s="40" t="n"/>
      <c r="G45" s="33" t="n"/>
    </row>
    <row r="46" ht="15" customHeight="1">
      <c r="A46" s="24" t="n"/>
      <c r="B46" s="18" t="n"/>
      <c r="C46" s="30" t="n"/>
      <c r="D46" s="30" t="n"/>
      <c r="E46" s="30" t="n"/>
      <c r="F46" s="40" t="n"/>
      <c r="G46" s="33" t="n"/>
    </row>
    <row r="47" ht="15" customHeight="1">
      <c r="A47" s="24" t="n"/>
      <c r="B47" s="18" t="n"/>
      <c r="C47" s="30" t="n"/>
      <c r="D47" s="30" t="n"/>
      <c r="E47" s="30" t="n"/>
      <c r="F47" s="40" t="n"/>
      <c r="G47" s="33" t="n"/>
    </row>
    <row r="48" ht="15" customHeight="1">
      <c r="A48" s="24" t="n"/>
      <c r="B48" s="18" t="n"/>
      <c r="C48" s="30" t="n"/>
      <c r="D48" s="30" t="n"/>
      <c r="E48" s="30" t="n"/>
      <c r="F48" s="40" t="n"/>
      <c r="G48" s="33" t="n"/>
    </row>
    <row r="49" ht="15" customHeight="1">
      <c r="A49" s="24" t="n"/>
      <c r="B49" s="18" t="n"/>
      <c r="C49" s="30" t="n"/>
      <c r="D49" s="30" t="n"/>
      <c r="E49" s="30" t="n"/>
      <c r="F49" s="40" t="n"/>
      <c r="G49" s="33" t="n"/>
    </row>
    <row r="50" ht="15" customHeight="1">
      <c r="A50" s="24" t="n"/>
      <c r="B50" s="18" t="n"/>
      <c r="C50" s="30" t="n"/>
      <c r="D50" s="30" t="n"/>
      <c r="E50" s="30" t="n"/>
      <c r="F50" s="40" t="n"/>
      <c r="G50" s="33" t="n"/>
    </row>
    <row r="51" ht="15" customHeight="1">
      <c r="A51" s="24" t="n"/>
      <c r="B51" s="18" t="n"/>
      <c r="C51" s="30" t="n"/>
      <c r="D51" s="30" t="n"/>
      <c r="E51" s="30" t="n"/>
      <c r="F51" s="40" t="n"/>
      <c r="G51" s="33" t="n"/>
    </row>
    <row r="52" ht="15" customHeight="1">
      <c r="A52" s="24" t="n"/>
      <c r="B52" s="18" t="n"/>
      <c r="C52" s="30" t="n"/>
      <c r="D52" s="30" t="n"/>
      <c r="E52" s="30" t="n"/>
      <c r="F52" s="40" t="n"/>
      <c r="G52" s="33" t="n"/>
    </row>
    <row r="53" ht="15" customHeight="1">
      <c r="A53" s="24" t="n"/>
      <c r="B53" s="18" t="n"/>
      <c r="C53" s="30" t="n"/>
      <c r="D53" s="30" t="n"/>
      <c r="E53" s="30" t="n"/>
      <c r="F53" s="40" t="n"/>
      <c r="G53" s="33" t="n"/>
    </row>
    <row r="54" ht="15" customHeight="1">
      <c r="A54" s="24" t="n"/>
      <c r="B54" s="18" t="n"/>
      <c r="C54" s="30" t="n"/>
      <c r="D54" s="30" t="n"/>
      <c r="E54" s="30" t="n"/>
      <c r="F54" s="40" t="n"/>
      <c r="G54" s="33" t="n"/>
    </row>
    <row r="55" ht="15" customHeight="1">
      <c r="A55" s="24" t="n"/>
      <c r="B55" s="18" t="n"/>
      <c r="C55" s="30" t="n"/>
      <c r="D55" s="30" t="n"/>
      <c r="E55" s="30" t="n"/>
      <c r="F55" s="40" t="n"/>
      <c r="G55" s="33" t="n"/>
    </row>
    <row r="56" ht="15" customHeight="1">
      <c r="A56" s="24" t="n"/>
      <c r="B56" s="18" t="n"/>
      <c r="C56" s="30" t="n"/>
      <c r="D56" s="30" t="n"/>
      <c r="E56" s="30" t="n"/>
      <c r="F56" s="40" t="n"/>
      <c r="G56" s="33" t="n"/>
    </row>
    <row r="57" ht="15" customHeight="1">
      <c r="A57" s="24" t="n"/>
      <c r="B57" s="18" t="n"/>
      <c r="C57" s="30" t="n"/>
      <c r="D57" s="30" t="n"/>
      <c r="E57" s="30" t="n"/>
      <c r="F57" s="40" t="n"/>
      <c r="G57" s="33" t="n"/>
    </row>
    <row r="58" ht="15" customHeight="1">
      <c r="A58" s="24" t="n"/>
      <c r="B58" s="18" t="n"/>
      <c r="C58" s="30" t="n"/>
      <c r="D58" s="30" t="n"/>
      <c r="E58" s="30" t="n"/>
      <c r="F58" s="40" t="n"/>
      <c r="G58" s="33" t="n"/>
    </row>
    <row r="59" ht="15" customHeight="1">
      <c r="A59" s="24" t="n"/>
      <c r="B59" s="18" t="n"/>
      <c r="C59" s="30" t="n"/>
      <c r="D59" s="30" t="n"/>
      <c r="E59" s="30" t="n"/>
      <c r="F59" s="40" t="n"/>
      <c r="G59" s="33" t="n"/>
    </row>
    <row r="60" ht="15" customHeight="1">
      <c r="A60" s="24" t="n"/>
      <c r="B60" s="18" t="n"/>
      <c r="C60" s="30" t="n"/>
      <c r="D60" s="30" t="n"/>
      <c r="E60" s="30" t="n"/>
      <c r="F60" s="40" t="n"/>
      <c r="G60" s="33" t="n"/>
    </row>
    <row r="61" ht="15" customHeight="1">
      <c r="A61" s="24" t="n"/>
      <c r="B61" s="18" t="n"/>
      <c r="C61" s="30" t="n"/>
      <c r="D61" s="30" t="n"/>
      <c r="E61" s="30" t="n"/>
      <c r="F61" s="40" t="n"/>
      <c r="G61" s="33" t="n"/>
    </row>
    <row r="62" ht="15" customHeight="1">
      <c r="A62" s="24" t="n"/>
      <c r="B62" s="18" t="n"/>
      <c r="C62" s="30" t="n"/>
      <c r="D62" s="30" t="n"/>
      <c r="E62" s="30" t="n"/>
      <c r="F62" s="40" t="n"/>
      <c r="G62" s="33" t="n"/>
    </row>
    <row r="63" ht="15" customHeight="1">
      <c r="A63" s="24" t="n"/>
      <c r="B63" s="18" t="n"/>
      <c r="C63" s="30" t="n"/>
      <c r="D63" s="30" t="n"/>
      <c r="E63" s="30" t="n"/>
      <c r="F63" s="40" t="n"/>
      <c r="G63" s="33" t="n"/>
    </row>
    <row r="64" ht="15" customHeight="1">
      <c r="A64" s="24" t="n"/>
      <c r="B64" s="18" t="n"/>
      <c r="C64" s="30" t="n"/>
      <c r="D64" s="30" t="n"/>
      <c r="E64" s="30" t="n"/>
      <c r="F64" s="40" t="n"/>
      <c r="G64" s="33" t="n"/>
    </row>
    <row r="65" ht="15" customHeight="1">
      <c r="A65" s="24" t="n"/>
      <c r="B65" s="18" t="n"/>
      <c r="C65" s="30" t="n"/>
      <c r="D65" s="30" t="n"/>
      <c r="E65" s="30" t="n"/>
      <c r="F65" s="40" t="n"/>
      <c r="G65" s="33" t="n"/>
    </row>
    <row r="66" ht="15" customHeight="1">
      <c r="A66" s="24" t="n"/>
      <c r="B66" s="18" t="n"/>
      <c r="C66" s="30" t="n"/>
      <c r="D66" s="30" t="n"/>
      <c r="E66" s="30" t="n"/>
      <c r="F66" s="40" t="n"/>
      <c r="G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203864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2" customWidth="1" min="5" max="5"/>
    <col width="16" customWidth="1" min="6" max="6"/>
  </cols>
  <sheetData>
    <row r="1" ht="26" customHeight="1">
      <c r="A1" s="1" t="inlineStr">
        <is>
          <t>CONSTRAINT</t>
        </is>
      </c>
    </row>
    <row r="2">
      <c r="A2" s="2" t="inlineStr">
        <is>
          <t>Identifica o CONSTRAINT RESOURCE e a Margem de Contribuicao/hora do gargalo (mix, pedidos especiais).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RESOURCE_ID</t>
        </is>
      </c>
      <c r="B6" s="5" t="inlineStr">
        <is>
          <t>E gargalo?</t>
        </is>
      </c>
      <c r="C6" s="5" t="inlineStr">
        <is>
          <t>PRODUCT_ID</t>
        </is>
      </c>
      <c r="D6" s="5" t="inlineStr">
        <is>
          <t>MC unit R$/t</t>
        </is>
      </c>
      <c r="E6" s="5" t="inlineStr">
        <is>
          <t>Tempo gargalo h/t</t>
        </is>
      </c>
      <c r="F6" s="5" t="inlineStr">
        <is>
          <t>MC / hora gargalo R$</t>
        </is>
      </c>
    </row>
    <row r="7" ht="15" customHeight="1">
      <c r="A7" s="24" t="inlineStr">
        <is>
          <t>RES-MIST1</t>
        </is>
      </c>
      <c r="B7" s="18" t="inlineStr">
        <is>
          <t>Sim</t>
        </is>
      </c>
      <c r="C7" s="18" t="inlineStr">
        <is>
          <t>P001</t>
        </is>
      </c>
      <c r="D7" s="30" t="n">
        <v>120</v>
      </c>
      <c r="E7" s="37" t="n">
        <v>0.21</v>
      </c>
      <c r="F7" s="33">
        <f>IFERROR(D7/E7,0)</f>
        <v/>
      </c>
    </row>
    <row r="8" ht="15" customHeight="1">
      <c r="A8" s="24" t="inlineStr">
        <is>
          <t>RES-MIST1</t>
        </is>
      </c>
      <c r="B8" s="18" t="inlineStr">
        <is>
          <t>Sim</t>
        </is>
      </c>
      <c r="C8" s="18" t="inlineStr">
        <is>
          <t>P002</t>
        </is>
      </c>
      <c r="D8" s="30" t="n">
        <v>140</v>
      </c>
      <c r="E8" s="37" t="n">
        <v>0.12</v>
      </c>
      <c r="F8" s="33">
        <f>IFERROR(D8/E8,0)</f>
        <v/>
      </c>
    </row>
    <row r="9" ht="15" customHeight="1">
      <c r="A9" s="24" t="n"/>
      <c r="B9" s="18" t="n"/>
      <c r="C9" s="18" t="n"/>
      <c r="D9" s="30" t="n"/>
      <c r="E9" s="37" t="n"/>
      <c r="F9" s="33" t="n"/>
    </row>
    <row r="10" ht="15" customHeight="1">
      <c r="A10" s="27" t="inlineStr">
        <is>
          <t>^ Linhas acima = dados DEMO (marcados). Abaixo: campos de entrada em branco para dados reais.</t>
        </is>
      </c>
      <c r="B10" s="18" t="n"/>
      <c r="C10" s="18" t="n"/>
      <c r="D10" s="30" t="n"/>
      <c r="E10" s="37" t="n"/>
      <c r="F10" s="33" t="n"/>
    </row>
    <row r="11" ht="15" customHeight="1">
      <c r="A11" s="24" t="n"/>
      <c r="B11" s="18" t="n"/>
      <c r="C11" s="18" t="n"/>
      <c r="D11" s="30" t="n"/>
      <c r="E11" s="37" t="n"/>
      <c r="F11" s="33" t="n"/>
    </row>
    <row r="12" ht="15" customHeight="1">
      <c r="A12" s="24" t="n"/>
      <c r="B12" s="18" t="n"/>
      <c r="C12" s="18" t="n"/>
      <c r="D12" s="30" t="n"/>
      <c r="E12" s="37" t="n"/>
      <c r="F12" s="33" t="n"/>
    </row>
    <row r="13" ht="15" customHeight="1">
      <c r="A13" s="24" t="n"/>
      <c r="B13" s="18" t="n"/>
      <c r="C13" s="18" t="n"/>
      <c r="D13" s="30" t="n"/>
      <c r="E13" s="37" t="n"/>
      <c r="F13" s="33" t="n"/>
    </row>
    <row r="14" ht="15" customHeight="1">
      <c r="A14" s="24" t="n"/>
      <c r="B14" s="18" t="n"/>
      <c r="C14" s="18" t="n"/>
      <c r="D14" s="30" t="n"/>
      <c r="E14" s="37" t="n"/>
      <c r="F14" s="33" t="n"/>
    </row>
    <row r="15" ht="15" customHeight="1">
      <c r="A15" s="24" t="n"/>
      <c r="B15" s="18" t="n"/>
      <c r="C15" s="18" t="n"/>
      <c r="D15" s="30" t="n"/>
      <c r="E15" s="37" t="n"/>
      <c r="F15" s="33" t="n"/>
    </row>
    <row r="16" ht="15" customHeight="1">
      <c r="A16" s="24" t="n"/>
      <c r="B16" s="18" t="n"/>
      <c r="C16" s="18" t="n"/>
      <c r="D16" s="30" t="n"/>
      <c r="E16" s="37" t="n"/>
      <c r="F16" s="33" t="n"/>
    </row>
    <row r="17" ht="15" customHeight="1">
      <c r="A17" s="24" t="n"/>
      <c r="B17" s="18" t="n"/>
      <c r="C17" s="18" t="n"/>
      <c r="D17" s="30" t="n"/>
      <c r="E17" s="37" t="n"/>
      <c r="F17" s="33" t="n"/>
    </row>
    <row r="18" ht="15" customHeight="1">
      <c r="A18" s="24" t="n"/>
      <c r="B18" s="18" t="n"/>
      <c r="C18" s="18" t="n"/>
      <c r="D18" s="30" t="n"/>
      <c r="E18" s="37" t="n"/>
      <c r="F18" s="33" t="n"/>
    </row>
    <row r="19" ht="15" customHeight="1">
      <c r="A19" s="24" t="n"/>
      <c r="B19" s="18" t="n"/>
      <c r="C19" s="18" t="n"/>
      <c r="D19" s="30" t="n"/>
      <c r="E19" s="37" t="n"/>
      <c r="F19" s="33" t="n"/>
    </row>
    <row r="20" ht="15" customHeight="1">
      <c r="A20" s="24" t="n"/>
      <c r="B20" s="18" t="n"/>
      <c r="C20" s="18" t="n"/>
      <c r="D20" s="30" t="n"/>
      <c r="E20" s="37" t="n"/>
      <c r="F20" s="33" t="n"/>
    </row>
    <row r="21" ht="15" customHeight="1">
      <c r="A21" s="24" t="n"/>
      <c r="B21" s="18" t="n"/>
      <c r="C21" s="18" t="n"/>
      <c r="D21" s="30" t="n"/>
      <c r="E21" s="37" t="n"/>
      <c r="F21" s="33" t="n"/>
    </row>
    <row r="22" ht="15" customHeight="1">
      <c r="A22" s="24" t="n"/>
      <c r="B22" s="18" t="n"/>
      <c r="C22" s="18" t="n"/>
      <c r="D22" s="30" t="n"/>
      <c r="E22" s="37" t="n"/>
      <c r="F22" s="33" t="n"/>
    </row>
    <row r="23" ht="15" customHeight="1">
      <c r="A23" s="24" t="n"/>
      <c r="B23" s="18" t="n"/>
      <c r="C23" s="18" t="n"/>
      <c r="D23" s="30" t="n"/>
      <c r="E23" s="37" t="n"/>
      <c r="F23" s="33" t="n"/>
    </row>
    <row r="24" ht="15" customHeight="1">
      <c r="A24" s="24" t="n"/>
      <c r="B24" s="18" t="n"/>
      <c r="C24" s="18" t="n"/>
      <c r="D24" s="30" t="n"/>
      <c r="E24" s="37" t="n"/>
      <c r="F24" s="33" t="n"/>
    </row>
    <row r="25" ht="15" customHeight="1">
      <c r="A25" s="24" t="n"/>
      <c r="B25" s="18" t="n"/>
      <c r="C25" s="18" t="n"/>
      <c r="D25" s="30" t="n"/>
      <c r="E25" s="37" t="n"/>
      <c r="F25" s="33" t="n"/>
    </row>
    <row r="26" ht="15" customHeight="1">
      <c r="A26" s="24" t="n"/>
      <c r="B26" s="18" t="n"/>
      <c r="C26" s="18" t="n"/>
      <c r="D26" s="30" t="n"/>
      <c r="E26" s="37" t="n"/>
      <c r="F26" s="33" t="n"/>
    </row>
    <row r="27" ht="15" customHeight="1">
      <c r="A27" s="24" t="n"/>
      <c r="B27" s="18" t="n"/>
      <c r="C27" s="18" t="n"/>
      <c r="D27" s="30" t="n"/>
      <c r="E27" s="37" t="n"/>
      <c r="F27" s="33" t="n"/>
    </row>
    <row r="28" ht="15" customHeight="1">
      <c r="A28" s="24" t="n"/>
      <c r="B28" s="18" t="n"/>
      <c r="C28" s="18" t="n"/>
      <c r="D28" s="30" t="n"/>
      <c r="E28" s="37" t="n"/>
      <c r="F28" s="33" t="n"/>
    </row>
    <row r="29" ht="15" customHeight="1">
      <c r="A29" s="24" t="n"/>
      <c r="B29" s="18" t="n"/>
      <c r="C29" s="18" t="n"/>
      <c r="D29" s="30" t="n"/>
      <c r="E29" s="37" t="n"/>
      <c r="F29" s="33" t="n"/>
    </row>
    <row r="30" ht="15" customHeight="1">
      <c r="A30" s="24" t="n"/>
      <c r="B30" s="18" t="n"/>
      <c r="C30" s="18" t="n"/>
      <c r="D30" s="30" t="n"/>
      <c r="E30" s="37" t="n"/>
      <c r="F30" s="33" t="n"/>
    </row>
    <row r="31" ht="15" customHeight="1">
      <c r="A31" s="24" t="n"/>
      <c r="B31" s="18" t="n"/>
      <c r="C31" s="18" t="n"/>
      <c r="D31" s="30" t="n"/>
      <c r="E31" s="37" t="n"/>
      <c r="F31" s="33" t="n"/>
    </row>
    <row r="32" ht="15" customHeight="1">
      <c r="A32" s="24" t="n"/>
      <c r="B32" s="18" t="n"/>
      <c r="C32" s="18" t="n"/>
      <c r="D32" s="30" t="n"/>
      <c r="E32" s="37" t="n"/>
      <c r="F32" s="33" t="n"/>
    </row>
    <row r="33" ht="15" customHeight="1">
      <c r="A33" s="24" t="n"/>
      <c r="B33" s="18" t="n"/>
      <c r="C33" s="18" t="n"/>
      <c r="D33" s="30" t="n"/>
      <c r="E33" s="37" t="n"/>
      <c r="F33" s="33" t="n"/>
    </row>
    <row r="34" ht="15" customHeight="1">
      <c r="A34" s="24" t="n"/>
      <c r="B34" s="18" t="n"/>
      <c r="C34" s="18" t="n"/>
      <c r="D34" s="30" t="n"/>
      <c r="E34" s="37" t="n"/>
      <c r="F34" s="33" t="n"/>
    </row>
    <row r="35" ht="15" customHeight="1">
      <c r="A35" s="24" t="n"/>
      <c r="B35" s="18" t="n"/>
      <c r="C35" s="18" t="n"/>
      <c r="D35" s="30" t="n"/>
      <c r="E35" s="37" t="n"/>
      <c r="F35" s="33" t="n"/>
    </row>
    <row r="36" ht="15" customHeight="1">
      <c r="A36" s="24" t="n"/>
      <c r="B36" s="18" t="n"/>
      <c r="C36" s="18" t="n"/>
      <c r="D36" s="30" t="n"/>
      <c r="E36" s="37" t="n"/>
      <c r="F36" s="33" t="n"/>
    </row>
    <row r="37" ht="15" customHeight="1">
      <c r="A37" s="24" t="n"/>
      <c r="B37" s="18" t="n"/>
      <c r="C37" s="18" t="n"/>
      <c r="D37" s="30" t="n"/>
      <c r="E37" s="37" t="n"/>
      <c r="F37" s="33" t="n"/>
    </row>
    <row r="38" ht="15" customHeight="1">
      <c r="A38" s="24" t="n"/>
      <c r="B38" s="18" t="n"/>
      <c r="C38" s="18" t="n"/>
      <c r="D38" s="30" t="n"/>
      <c r="E38" s="37" t="n"/>
      <c r="F38" s="33" t="n"/>
    </row>
    <row r="39" ht="15" customHeight="1">
      <c r="A39" s="24" t="n"/>
      <c r="B39" s="18" t="n"/>
      <c r="C39" s="18" t="n"/>
      <c r="D39" s="30" t="n"/>
      <c r="E39" s="37" t="n"/>
      <c r="F39" s="33" t="n"/>
    </row>
    <row r="40" ht="15" customHeight="1">
      <c r="A40" s="24" t="n"/>
      <c r="B40" s="18" t="n"/>
      <c r="C40" s="18" t="n"/>
      <c r="D40" s="30" t="n"/>
      <c r="E40" s="37" t="n"/>
      <c r="F40" s="33" t="n"/>
    </row>
    <row r="41" ht="15" customHeight="1">
      <c r="A41" s="24" t="n"/>
      <c r="B41" s="18" t="n"/>
      <c r="C41" s="18" t="n"/>
      <c r="D41" s="30" t="n"/>
      <c r="E41" s="37" t="n"/>
      <c r="F41" s="33" t="n"/>
    </row>
    <row r="42" ht="15" customHeight="1">
      <c r="A42" s="24" t="n"/>
      <c r="B42" s="18" t="n"/>
      <c r="C42" s="18" t="n"/>
      <c r="D42" s="30" t="n"/>
      <c r="E42" s="37" t="n"/>
      <c r="F42" s="33" t="n"/>
    </row>
    <row r="43" ht="15" customHeight="1">
      <c r="A43" s="24" t="n"/>
      <c r="B43" s="18" t="n"/>
      <c r="C43" s="18" t="n"/>
      <c r="D43" s="30" t="n"/>
      <c r="E43" s="37" t="n"/>
      <c r="F43" s="33" t="n"/>
    </row>
    <row r="44" ht="15" customHeight="1">
      <c r="A44" s="24" t="n"/>
      <c r="B44" s="18" t="n"/>
      <c r="C44" s="18" t="n"/>
      <c r="D44" s="30" t="n"/>
      <c r="E44" s="37" t="n"/>
      <c r="F44" s="33" t="n"/>
    </row>
    <row r="45" ht="15" customHeight="1">
      <c r="A45" s="24" t="n"/>
      <c r="B45" s="18" t="n"/>
      <c r="C45" s="18" t="n"/>
      <c r="D45" s="30" t="n"/>
      <c r="E45" s="37" t="n"/>
      <c r="F45" s="33" t="n"/>
    </row>
    <row r="46" ht="15" customHeight="1">
      <c r="A46" s="24" t="n"/>
      <c r="B46" s="18" t="n"/>
      <c r="C46" s="18" t="n"/>
      <c r="D46" s="30" t="n"/>
      <c r="E46" s="37" t="n"/>
      <c r="F46" s="33" t="n"/>
    </row>
    <row r="47" ht="15" customHeight="1">
      <c r="A47" s="24" t="n"/>
      <c r="B47" s="18" t="n"/>
      <c r="C47" s="18" t="n"/>
      <c r="D47" s="30" t="n"/>
      <c r="E47" s="37" t="n"/>
      <c r="F47" s="33" t="n"/>
    </row>
    <row r="48" ht="15" customHeight="1">
      <c r="A48" s="24" t="n"/>
      <c r="B48" s="18" t="n"/>
      <c r="C48" s="18" t="n"/>
      <c r="D48" s="30" t="n"/>
      <c r="E48" s="37" t="n"/>
      <c r="F48" s="33" t="n"/>
    </row>
    <row r="49" ht="15" customHeight="1">
      <c r="A49" s="24" t="n"/>
      <c r="B49" s="18" t="n"/>
      <c r="C49" s="18" t="n"/>
      <c r="D49" s="30" t="n"/>
      <c r="E49" s="37" t="n"/>
      <c r="F49" s="33" t="n"/>
    </row>
    <row r="50" ht="15" customHeight="1">
      <c r="A50" s="24" t="n"/>
      <c r="B50" s="18" t="n"/>
      <c r="C50" s="18" t="n"/>
      <c r="D50" s="30" t="n"/>
      <c r="E50" s="37" t="n"/>
      <c r="F50" s="33" t="n"/>
    </row>
    <row r="51" ht="15" customHeight="1">
      <c r="A51" s="24" t="n"/>
      <c r="B51" s="18" t="n"/>
      <c r="C51" s="18" t="n"/>
      <c r="D51" s="30" t="n"/>
      <c r="E51" s="37" t="n"/>
      <c r="F51" s="33" t="n"/>
    </row>
    <row r="52" ht="15" customHeight="1">
      <c r="A52" s="24" t="n"/>
      <c r="B52" s="18" t="n"/>
      <c r="C52" s="18" t="n"/>
      <c r="D52" s="30" t="n"/>
      <c r="E52" s="37" t="n"/>
      <c r="F52" s="33" t="n"/>
    </row>
    <row r="53" ht="15" customHeight="1">
      <c r="A53" s="24" t="n"/>
      <c r="B53" s="18" t="n"/>
      <c r="C53" s="18" t="n"/>
      <c r="D53" s="30" t="n"/>
      <c r="E53" s="37" t="n"/>
      <c r="F53" s="33" t="n"/>
    </row>
    <row r="54" ht="15" customHeight="1">
      <c r="A54" s="24" t="n"/>
      <c r="B54" s="18" t="n"/>
      <c r="C54" s="18" t="n"/>
      <c r="D54" s="30" t="n"/>
      <c r="E54" s="37" t="n"/>
      <c r="F54" s="33" t="n"/>
    </row>
    <row r="55" ht="15" customHeight="1">
      <c r="A55" s="24" t="n"/>
      <c r="B55" s="18" t="n"/>
      <c r="C55" s="18" t="n"/>
      <c r="D55" s="30" t="n"/>
      <c r="E55" s="37" t="n"/>
      <c r="F55" s="33" t="n"/>
    </row>
    <row r="56" ht="15" customHeight="1">
      <c r="A56" s="24" t="n"/>
      <c r="B56" s="18" t="n"/>
      <c r="C56" s="18" t="n"/>
      <c r="D56" s="30" t="n"/>
      <c r="E56" s="37" t="n"/>
      <c r="F56" s="33" t="n"/>
    </row>
    <row r="57" ht="15" customHeight="1">
      <c r="A57" s="24" t="n"/>
      <c r="B57" s="18" t="n"/>
      <c r="C57" s="18" t="n"/>
      <c r="D57" s="30" t="n"/>
      <c r="E57" s="37" t="n"/>
      <c r="F57" s="33" t="n"/>
    </row>
    <row r="58" ht="15" customHeight="1">
      <c r="A58" s="24" t="n"/>
      <c r="B58" s="18" t="n"/>
      <c r="C58" s="18" t="n"/>
      <c r="D58" s="30" t="n"/>
      <c r="E58" s="37" t="n"/>
      <c r="F58" s="33" t="n"/>
    </row>
    <row r="59" ht="15" customHeight="1">
      <c r="A59" s="24" t="n"/>
      <c r="B59" s="18" t="n"/>
      <c r="C59" s="18" t="n"/>
      <c r="D59" s="30" t="n"/>
      <c r="E59" s="37" t="n"/>
      <c r="F59" s="33" t="n"/>
    </row>
    <row r="60" ht="15" customHeight="1">
      <c r="A60" s="24" t="n"/>
      <c r="B60" s="18" t="n"/>
      <c r="C60" s="18" t="n"/>
      <c r="D60" s="30" t="n"/>
      <c r="E60" s="37" t="n"/>
      <c r="F60" s="33" t="n"/>
    </row>
    <row r="61" ht="15" customHeight="1">
      <c r="A61" s="24" t="n"/>
      <c r="B61" s="18" t="n"/>
      <c r="C61" s="18" t="n"/>
      <c r="D61" s="30" t="n"/>
      <c r="E61" s="37" t="n"/>
      <c r="F61" s="33" t="n"/>
    </row>
    <row r="62" ht="15" customHeight="1">
      <c r="A62" s="24" t="n"/>
      <c r="B62" s="18" t="n"/>
      <c r="C62" s="18" t="n"/>
      <c r="D62" s="30" t="n"/>
      <c r="E62" s="37" t="n"/>
      <c r="F62" s="33" t="n"/>
    </row>
    <row r="63" ht="15" customHeight="1">
      <c r="A63" s="24" t="n"/>
      <c r="B63" s="18" t="n"/>
      <c r="C63" s="18" t="n"/>
      <c r="D63" s="30" t="n"/>
      <c r="E63" s="37" t="n"/>
      <c r="F63" s="33" t="n"/>
    </row>
    <row r="64" ht="15" customHeight="1">
      <c r="A64" s="24" t="n"/>
      <c r="B64" s="18" t="n"/>
      <c r="C64" s="18" t="n"/>
      <c r="D64" s="30" t="n"/>
      <c r="E64" s="37" t="n"/>
      <c r="F64" s="33" t="n"/>
    </row>
    <row r="65" ht="15" customHeight="1">
      <c r="A65" s="24" t="n"/>
      <c r="B65" s="18" t="n"/>
      <c r="C65" s="18" t="n"/>
      <c r="D65" s="30" t="n"/>
      <c r="E65" s="37" t="n"/>
      <c r="F65" s="33" t="n"/>
    </row>
    <row r="66" ht="15" customHeight="1">
      <c r="A66" s="24" t="n"/>
      <c r="B66" s="18" t="n"/>
      <c r="C66" s="18" t="n"/>
      <c r="D66" s="30" t="n"/>
      <c r="E66" s="37" t="n"/>
      <c r="F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548235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8" customWidth="1" min="5" max="5"/>
    <col width="12" customWidth="1" min="6" max="6"/>
    <col width="10" customWidth="1" min="7" max="7"/>
    <col width="10" customWidth="1" min="8" max="8"/>
    <col width="8" customWidth="1" min="9" max="9"/>
    <col width="8" customWidth="1" min="10" max="10"/>
  </cols>
  <sheetData>
    <row r="1" ht="26" customHeight="1">
      <c r="A1" s="1" t="inlineStr">
        <is>
          <t>SALES</t>
        </is>
      </c>
    </row>
    <row r="2">
      <c r="A2" s="2" t="inlineStr">
        <is>
          <t>Unidade minima de rentabilidade: CLIENTE x SKU.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SALE_ID</t>
        </is>
      </c>
      <c r="B6" s="5" t="inlineStr">
        <is>
          <t>CUSTOMER_ID</t>
        </is>
      </c>
      <c r="C6" s="5" t="inlineStr">
        <is>
          <t>PRODUCT_ID</t>
        </is>
      </c>
      <c r="D6" s="5" t="inlineStr">
        <is>
          <t>Data</t>
        </is>
      </c>
      <c r="E6" s="5" t="inlineStr">
        <is>
          <t>Qtd t</t>
        </is>
      </c>
      <c r="F6" s="5" t="inlineStr">
        <is>
          <t>Preco tabela R$/t</t>
        </is>
      </c>
      <c r="G6" s="5" t="inlineStr">
        <is>
          <t>Desconto R$/t</t>
        </is>
      </c>
      <c r="H6" s="5" t="inlineStr">
        <is>
          <t>Bonific R$/t</t>
        </is>
      </c>
      <c r="I6" s="5" t="inlineStr">
        <is>
          <t>Comissao %</t>
        </is>
      </c>
      <c r="J6" s="5" t="inlineStr">
        <is>
          <t>Prazo dias</t>
        </is>
      </c>
    </row>
    <row r="7" ht="15" customHeight="1">
      <c r="A7" s="24" t="inlineStr">
        <is>
          <t>V-001</t>
        </is>
      </c>
      <c r="B7" s="18" t="inlineStr">
        <is>
          <t>C001</t>
        </is>
      </c>
      <c r="C7" s="18" t="inlineStr">
        <is>
          <t>P001</t>
        </is>
      </c>
      <c r="D7" s="26" t="inlineStr">
        <is>
          <t>2026-03-10</t>
        </is>
      </c>
      <c r="E7" s="30" t="n">
        <v>20</v>
      </c>
      <c r="F7" s="30" t="n">
        <v>520</v>
      </c>
      <c r="G7" s="30" t="n">
        <v>10</v>
      </c>
      <c r="H7" s="30" t="n">
        <v>5</v>
      </c>
      <c r="I7" s="40" t="n">
        <v>0.02</v>
      </c>
      <c r="J7" s="25" t="n">
        <v>30</v>
      </c>
    </row>
    <row r="8" ht="15" customHeight="1">
      <c r="A8" s="24" t="inlineStr">
        <is>
          <t>V-002</t>
        </is>
      </c>
      <c r="B8" s="18" t="inlineStr">
        <is>
          <t>C002</t>
        </is>
      </c>
      <c r="C8" s="18" t="inlineStr">
        <is>
          <t>P002</t>
        </is>
      </c>
      <c r="D8" s="26" t="inlineStr">
        <is>
          <t>2026-03-11</t>
        </is>
      </c>
      <c r="E8" s="30" t="n">
        <v>15</v>
      </c>
      <c r="F8" s="30" t="n">
        <v>560</v>
      </c>
      <c r="G8" s="30" t="n">
        <v>20</v>
      </c>
      <c r="H8" s="30" t="n">
        <v>0</v>
      </c>
      <c r="I8" s="40" t="n">
        <v>0.02</v>
      </c>
      <c r="J8" s="25" t="n">
        <v>45</v>
      </c>
    </row>
    <row r="9" ht="15" customHeight="1">
      <c r="A9" s="24" t="inlineStr">
        <is>
          <t>V-003</t>
        </is>
      </c>
      <c r="B9" s="18" t="inlineStr">
        <is>
          <t>C003</t>
        </is>
      </c>
      <c r="C9" s="18" t="inlineStr">
        <is>
          <t>P003</t>
        </is>
      </c>
      <c r="D9" s="26" t="inlineStr">
        <is>
          <t>2026-03-12</t>
        </is>
      </c>
      <c r="E9" s="30" t="n">
        <v>5</v>
      </c>
      <c r="F9" s="30" t="n">
        <v>900</v>
      </c>
      <c r="G9" s="30" t="n">
        <v>0</v>
      </c>
      <c r="H9" s="30" t="n">
        <v>0</v>
      </c>
      <c r="I9" s="40" t="n">
        <v>0.03</v>
      </c>
      <c r="J9" s="25" t="n">
        <v>30</v>
      </c>
    </row>
    <row r="10" ht="15" customHeight="1">
      <c r="A10" s="24" t="n"/>
      <c r="B10" s="18" t="n"/>
      <c r="C10" s="18" t="n"/>
      <c r="D10" s="26" t="n"/>
      <c r="E10" s="30" t="n"/>
      <c r="F10" s="30" t="n"/>
      <c r="G10" s="30" t="n"/>
      <c r="H10" s="30" t="n"/>
      <c r="I10" s="40" t="n"/>
      <c r="J10" s="25" t="n"/>
    </row>
    <row r="11" ht="15" customHeight="1">
      <c r="A11" s="27" t="inlineStr">
        <is>
          <t>^ Linhas acima = dados DEMO (marcados). Abaixo: campos de entrada em branco para dados reais.</t>
        </is>
      </c>
      <c r="B11" s="18" t="n"/>
      <c r="C11" s="18" t="n"/>
      <c r="D11" s="26" t="n"/>
      <c r="E11" s="30" t="n"/>
      <c r="F11" s="30" t="n"/>
      <c r="G11" s="30" t="n"/>
      <c r="H11" s="30" t="n"/>
      <c r="I11" s="40" t="n"/>
      <c r="J11" s="25" t="n"/>
    </row>
    <row r="12" ht="15" customHeight="1">
      <c r="A12" s="24" t="n"/>
      <c r="B12" s="18" t="n"/>
      <c r="C12" s="18" t="n"/>
      <c r="D12" s="26" t="n"/>
      <c r="E12" s="30" t="n"/>
      <c r="F12" s="30" t="n"/>
      <c r="G12" s="30" t="n"/>
      <c r="H12" s="30" t="n"/>
      <c r="I12" s="40" t="n"/>
      <c r="J12" s="25" t="n"/>
    </row>
    <row r="13" ht="15" customHeight="1">
      <c r="A13" s="24" t="n"/>
      <c r="B13" s="18" t="n"/>
      <c r="C13" s="18" t="n"/>
      <c r="D13" s="26" t="n"/>
      <c r="E13" s="30" t="n"/>
      <c r="F13" s="30" t="n"/>
      <c r="G13" s="30" t="n"/>
      <c r="H13" s="30" t="n"/>
      <c r="I13" s="40" t="n"/>
      <c r="J13" s="25" t="n"/>
    </row>
    <row r="14" ht="15" customHeight="1">
      <c r="A14" s="24" t="n"/>
      <c r="B14" s="18" t="n"/>
      <c r="C14" s="18" t="n"/>
      <c r="D14" s="26" t="n"/>
      <c r="E14" s="30" t="n"/>
      <c r="F14" s="30" t="n"/>
      <c r="G14" s="30" t="n"/>
      <c r="H14" s="30" t="n"/>
      <c r="I14" s="40" t="n"/>
      <c r="J14" s="25" t="n"/>
    </row>
    <row r="15" ht="15" customHeight="1">
      <c r="A15" s="24" t="n"/>
      <c r="B15" s="18" t="n"/>
      <c r="C15" s="18" t="n"/>
      <c r="D15" s="26" t="n"/>
      <c r="E15" s="30" t="n"/>
      <c r="F15" s="30" t="n"/>
      <c r="G15" s="30" t="n"/>
      <c r="H15" s="30" t="n"/>
      <c r="I15" s="40" t="n"/>
      <c r="J15" s="25" t="n"/>
    </row>
    <row r="16" ht="15" customHeight="1">
      <c r="A16" s="24" t="n"/>
      <c r="B16" s="18" t="n"/>
      <c r="C16" s="18" t="n"/>
      <c r="D16" s="26" t="n"/>
      <c r="E16" s="30" t="n"/>
      <c r="F16" s="30" t="n"/>
      <c r="G16" s="30" t="n"/>
      <c r="H16" s="30" t="n"/>
      <c r="I16" s="40" t="n"/>
      <c r="J16" s="25" t="n"/>
    </row>
    <row r="17" ht="15" customHeight="1">
      <c r="A17" s="24" t="n"/>
      <c r="B17" s="18" t="n"/>
      <c r="C17" s="18" t="n"/>
      <c r="D17" s="26" t="n"/>
      <c r="E17" s="30" t="n"/>
      <c r="F17" s="30" t="n"/>
      <c r="G17" s="30" t="n"/>
      <c r="H17" s="30" t="n"/>
      <c r="I17" s="40" t="n"/>
      <c r="J17" s="25" t="n"/>
    </row>
    <row r="18" ht="15" customHeight="1">
      <c r="A18" s="24" t="n"/>
      <c r="B18" s="18" t="n"/>
      <c r="C18" s="18" t="n"/>
      <c r="D18" s="26" t="n"/>
      <c r="E18" s="30" t="n"/>
      <c r="F18" s="30" t="n"/>
      <c r="G18" s="30" t="n"/>
      <c r="H18" s="30" t="n"/>
      <c r="I18" s="40" t="n"/>
      <c r="J18" s="25" t="n"/>
    </row>
    <row r="19" ht="15" customHeight="1">
      <c r="A19" s="24" t="n"/>
      <c r="B19" s="18" t="n"/>
      <c r="C19" s="18" t="n"/>
      <c r="D19" s="26" t="n"/>
      <c r="E19" s="30" t="n"/>
      <c r="F19" s="30" t="n"/>
      <c r="G19" s="30" t="n"/>
      <c r="H19" s="30" t="n"/>
      <c r="I19" s="40" t="n"/>
      <c r="J19" s="25" t="n"/>
    </row>
    <row r="20" ht="15" customHeight="1">
      <c r="A20" s="24" t="n"/>
      <c r="B20" s="18" t="n"/>
      <c r="C20" s="18" t="n"/>
      <c r="D20" s="26" t="n"/>
      <c r="E20" s="30" t="n"/>
      <c r="F20" s="30" t="n"/>
      <c r="G20" s="30" t="n"/>
      <c r="H20" s="30" t="n"/>
      <c r="I20" s="40" t="n"/>
      <c r="J20" s="25" t="n"/>
    </row>
    <row r="21" ht="15" customHeight="1">
      <c r="A21" s="24" t="n"/>
      <c r="B21" s="18" t="n"/>
      <c r="C21" s="18" t="n"/>
      <c r="D21" s="26" t="n"/>
      <c r="E21" s="30" t="n"/>
      <c r="F21" s="30" t="n"/>
      <c r="G21" s="30" t="n"/>
      <c r="H21" s="30" t="n"/>
      <c r="I21" s="40" t="n"/>
      <c r="J21" s="25" t="n"/>
    </row>
    <row r="22" ht="15" customHeight="1">
      <c r="A22" s="24" t="n"/>
      <c r="B22" s="18" t="n"/>
      <c r="C22" s="18" t="n"/>
      <c r="D22" s="26" t="n"/>
      <c r="E22" s="30" t="n"/>
      <c r="F22" s="30" t="n"/>
      <c r="G22" s="30" t="n"/>
      <c r="H22" s="30" t="n"/>
      <c r="I22" s="40" t="n"/>
      <c r="J22" s="25" t="n"/>
    </row>
    <row r="23" ht="15" customHeight="1">
      <c r="A23" s="24" t="n"/>
      <c r="B23" s="18" t="n"/>
      <c r="C23" s="18" t="n"/>
      <c r="D23" s="26" t="n"/>
      <c r="E23" s="30" t="n"/>
      <c r="F23" s="30" t="n"/>
      <c r="G23" s="30" t="n"/>
      <c r="H23" s="30" t="n"/>
      <c r="I23" s="40" t="n"/>
      <c r="J23" s="25" t="n"/>
    </row>
    <row r="24" ht="15" customHeight="1">
      <c r="A24" s="24" t="n"/>
      <c r="B24" s="18" t="n"/>
      <c r="C24" s="18" t="n"/>
      <c r="D24" s="26" t="n"/>
      <c r="E24" s="30" t="n"/>
      <c r="F24" s="30" t="n"/>
      <c r="G24" s="30" t="n"/>
      <c r="H24" s="30" t="n"/>
      <c r="I24" s="40" t="n"/>
      <c r="J24" s="25" t="n"/>
    </row>
    <row r="25" ht="15" customHeight="1">
      <c r="A25" s="24" t="n"/>
      <c r="B25" s="18" t="n"/>
      <c r="C25" s="18" t="n"/>
      <c r="D25" s="26" t="n"/>
      <c r="E25" s="30" t="n"/>
      <c r="F25" s="30" t="n"/>
      <c r="G25" s="30" t="n"/>
      <c r="H25" s="30" t="n"/>
      <c r="I25" s="40" t="n"/>
      <c r="J25" s="25" t="n"/>
    </row>
    <row r="26" ht="15" customHeight="1">
      <c r="A26" s="24" t="n"/>
      <c r="B26" s="18" t="n"/>
      <c r="C26" s="18" t="n"/>
      <c r="D26" s="26" t="n"/>
      <c r="E26" s="30" t="n"/>
      <c r="F26" s="30" t="n"/>
      <c r="G26" s="30" t="n"/>
      <c r="H26" s="30" t="n"/>
      <c r="I26" s="40" t="n"/>
      <c r="J26" s="25" t="n"/>
    </row>
    <row r="27" ht="15" customHeight="1">
      <c r="A27" s="24" t="n"/>
      <c r="B27" s="18" t="n"/>
      <c r="C27" s="18" t="n"/>
      <c r="D27" s="26" t="n"/>
      <c r="E27" s="30" t="n"/>
      <c r="F27" s="30" t="n"/>
      <c r="G27" s="30" t="n"/>
      <c r="H27" s="30" t="n"/>
      <c r="I27" s="40" t="n"/>
      <c r="J27" s="25" t="n"/>
    </row>
    <row r="28" ht="15" customHeight="1">
      <c r="A28" s="24" t="n"/>
      <c r="B28" s="18" t="n"/>
      <c r="C28" s="18" t="n"/>
      <c r="D28" s="26" t="n"/>
      <c r="E28" s="30" t="n"/>
      <c r="F28" s="30" t="n"/>
      <c r="G28" s="30" t="n"/>
      <c r="H28" s="30" t="n"/>
      <c r="I28" s="40" t="n"/>
      <c r="J28" s="25" t="n"/>
    </row>
    <row r="29" ht="15" customHeight="1">
      <c r="A29" s="24" t="n"/>
      <c r="B29" s="18" t="n"/>
      <c r="C29" s="18" t="n"/>
      <c r="D29" s="26" t="n"/>
      <c r="E29" s="30" t="n"/>
      <c r="F29" s="30" t="n"/>
      <c r="G29" s="30" t="n"/>
      <c r="H29" s="30" t="n"/>
      <c r="I29" s="40" t="n"/>
      <c r="J29" s="25" t="n"/>
    </row>
    <row r="30" ht="15" customHeight="1">
      <c r="A30" s="24" t="n"/>
      <c r="B30" s="18" t="n"/>
      <c r="C30" s="18" t="n"/>
      <c r="D30" s="26" t="n"/>
      <c r="E30" s="30" t="n"/>
      <c r="F30" s="30" t="n"/>
      <c r="G30" s="30" t="n"/>
      <c r="H30" s="30" t="n"/>
      <c r="I30" s="40" t="n"/>
      <c r="J30" s="25" t="n"/>
    </row>
    <row r="31" ht="15" customHeight="1">
      <c r="A31" s="24" t="n"/>
      <c r="B31" s="18" t="n"/>
      <c r="C31" s="18" t="n"/>
      <c r="D31" s="26" t="n"/>
      <c r="E31" s="30" t="n"/>
      <c r="F31" s="30" t="n"/>
      <c r="G31" s="30" t="n"/>
      <c r="H31" s="30" t="n"/>
      <c r="I31" s="40" t="n"/>
      <c r="J31" s="25" t="n"/>
    </row>
    <row r="32" ht="15" customHeight="1">
      <c r="A32" s="24" t="n"/>
      <c r="B32" s="18" t="n"/>
      <c r="C32" s="18" t="n"/>
      <c r="D32" s="26" t="n"/>
      <c r="E32" s="30" t="n"/>
      <c r="F32" s="30" t="n"/>
      <c r="G32" s="30" t="n"/>
      <c r="H32" s="30" t="n"/>
      <c r="I32" s="40" t="n"/>
      <c r="J32" s="25" t="n"/>
    </row>
    <row r="33" ht="15" customHeight="1">
      <c r="A33" s="24" t="n"/>
      <c r="B33" s="18" t="n"/>
      <c r="C33" s="18" t="n"/>
      <c r="D33" s="26" t="n"/>
      <c r="E33" s="30" t="n"/>
      <c r="F33" s="30" t="n"/>
      <c r="G33" s="30" t="n"/>
      <c r="H33" s="30" t="n"/>
      <c r="I33" s="40" t="n"/>
      <c r="J33" s="25" t="n"/>
    </row>
    <row r="34" ht="15" customHeight="1">
      <c r="A34" s="24" t="n"/>
      <c r="B34" s="18" t="n"/>
      <c r="C34" s="18" t="n"/>
      <c r="D34" s="26" t="n"/>
      <c r="E34" s="30" t="n"/>
      <c r="F34" s="30" t="n"/>
      <c r="G34" s="30" t="n"/>
      <c r="H34" s="30" t="n"/>
      <c r="I34" s="40" t="n"/>
      <c r="J34" s="25" t="n"/>
    </row>
    <row r="35" ht="15" customHeight="1">
      <c r="A35" s="24" t="n"/>
      <c r="B35" s="18" t="n"/>
      <c r="C35" s="18" t="n"/>
      <c r="D35" s="26" t="n"/>
      <c r="E35" s="30" t="n"/>
      <c r="F35" s="30" t="n"/>
      <c r="G35" s="30" t="n"/>
      <c r="H35" s="30" t="n"/>
      <c r="I35" s="40" t="n"/>
      <c r="J35" s="25" t="n"/>
    </row>
    <row r="36" ht="15" customHeight="1">
      <c r="A36" s="24" t="n"/>
      <c r="B36" s="18" t="n"/>
      <c r="C36" s="18" t="n"/>
      <c r="D36" s="26" t="n"/>
      <c r="E36" s="30" t="n"/>
      <c r="F36" s="30" t="n"/>
      <c r="G36" s="30" t="n"/>
      <c r="H36" s="30" t="n"/>
      <c r="I36" s="40" t="n"/>
      <c r="J36" s="25" t="n"/>
    </row>
    <row r="37" ht="15" customHeight="1">
      <c r="A37" s="24" t="n"/>
      <c r="B37" s="18" t="n"/>
      <c r="C37" s="18" t="n"/>
      <c r="D37" s="26" t="n"/>
      <c r="E37" s="30" t="n"/>
      <c r="F37" s="30" t="n"/>
      <c r="G37" s="30" t="n"/>
      <c r="H37" s="30" t="n"/>
      <c r="I37" s="40" t="n"/>
      <c r="J37" s="25" t="n"/>
    </row>
    <row r="38" ht="15" customHeight="1">
      <c r="A38" s="24" t="n"/>
      <c r="B38" s="18" t="n"/>
      <c r="C38" s="18" t="n"/>
      <c r="D38" s="26" t="n"/>
      <c r="E38" s="30" t="n"/>
      <c r="F38" s="30" t="n"/>
      <c r="G38" s="30" t="n"/>
      <c r="H38" s="30" t="n"/>
      <c r="I38" s="40" t="n"/>
      <c r="J38" s="25" t="n"/>
    </row>
    <row r="39" ht="15" customHeight="1">
      <c r="A39" s="24" t="n"/>
      <c r="B39" s="18" t="n"/>
      <c r="C39" s="18" t="n"/>
      <c r="D39" s="26" t="n"/>
      <c r="E39" s="30" t="n"/>
      <c r="F39" s="30" t="n"/>
      <c r="G39" s="30" t="n"/>
      <c r="H39" s="30" t="n"/>
      <c r="I39" s="40" t="n"/>
      <c r="J39" s="25" t="n"/>
    </row>
    <row r="40" ht="15" customHeight="1">
      <c r="A40" s="24" t="n"/>
      <c r="B40" s="18" t="n"/>
      <c r="C40" s="18" t="n"/>
      <c r="D40" s="26" t="n"/>
      <c r="E40" s="30" t="n"/>
      <c r="F40" s="30" t="n"/>
      <c r="G40" s="30" t="n"/>
      <c r="H40" s="30" t="n"/>
      <c r="I40" s="40" t="n"/>
      <c r="J40" s="25" t="n"/>
    </row>
    <row r="41" ht="15" customHeight="1">
      <c r="A41" s="24" t="n"/>
      <c r="B41" s="18" t="n"/>
      <c r="C41" s="18" t="n"/>
      <c r="D41" s="26" t="n"/>
      <c r="E41" s="30" t="n"/>
      <c r="F41" s="30" t="n"/>
      <c r="G41" s="30" t="n"/>
      <c r="H41" s="30" t="n"/>
      <c r="I41" s="40" t="n"/>
      <c r="J41" s="25" t="n"/>
    </row>
    <row r="42" ht="15" customHeight="1">
      <c r="A42" s="24" t="n"/>
      <c r="B42" s="18" t="n"/>
      <c r="C42" s="18" t="n"/>
      <c r="D42" s="26" t="n"/>
      <c r="E42" s="30" t="n"/>
      <c r="F42" s="30" t="n"/>
      <c r="G42" s="30" t="n"/>
      <c r="H42" s="30" t="n"/>
      <c r="I42" s="40" t="n"/>
      <c r="J42" s="25" t="n"/>
    </row>
    <row r="43" ht="15" customHeight="1">
      <c r="A43" s="24" t="n"/>
      <c r="B43" s="18" t="n"/>
      <c r="C43" s="18" t="n"/>
      <c r="D43" s="26" t="n"/>
      <c r="E43" s="30" t="n"/>
      <c r="F43" s="30" t="n"/>
      <c r="G43" s="30" t="n"/>
      <c r="H43" s="30" t="n"/>
      <c r="I43" s="40" t="n"/>
      <c r="J43" s="25" t="n"/>
    </row>
    <row r="44" ht="15" customHeight="1">
      <c r="A44" s="24" t="n"/>
      <c r="B44" s="18" t="n"/>
      <c r="C44" s="18" t="n"/>
      <c r="D44" s="26" t="n"/>
      <c r="E44" s="30" t="n"/>
      <c r="F44" s="30" t="n"/>
      <c r="G44" s="30" t="n"/>
      <c r="H44" s="30" t="n"/>
      <c r="I44" s="40" t="n"/>
      <c r="J44" s="25" t="n"/>
    </row>
    <row r="45" ht="15" customHeight="1">
      <c r="A45" s="24" t="n"/>
      <c r="B45" s="18" t="n"/>
      <c r="C45" s="18" t="n"/>
      <c r="D45" s="26" t="n"/>
      <c r="E45" s="30" t="n"/>
      <c r="F45" s="30" t="n"/>
      <c r="G45" s="30" t="n"/>
      <c r="H45" s="30" t="n"/>
      <c r="I45" s="40" t="n"/>
      <c r="J45" s="25" t="n"/>
    </row>
    <row r="46" ht="15" customHeight="1">
      <c r="A46" s="24" t="n"/>
      <c r="B46" s="18" t="n"/>
      <c r="C46" s="18" t="n"/>
      <c r="D46" s="26" t="n"/>
      <c r="E46" s="30" t="n"/>
      <c r="F46" s="30" t="n"/>
      <c r="G46" s="30" t="n"/>
      <c r="H46" s="30" t="n"/>
      <c r="I46" s="40" t="n"/>
      <c r="J46" s="25" t="n"/>
    </row>
    <row r="47" ht="15" customHeight="1">
      <c r="A47" s="24" t="n"/>
      <c r="B47" s="18" t="n"/>
      <c r="C47" s="18" t="n"/>
      <c r="D47" s="26" t="n"/>
      <c r="E47" s="30" t="n"/>
      <c r="F47" s="30" t="n"/>
      <c r="G47" s="30" t="n"/>
      <c r="H47" s="30" t="n"/>
      <c r="I47" s="40" t="n"/>
      <c r="J47" s="25" t="n"/>
    </row>
    <row r="48" ht="15" customHeight="1">
      <c r="A48" s="24" t="n"/>
      <c r="B48" s="18" t="n"/>
      <c r="C48" s="18" t="n"/>
      <c r="D48" s="26" t="n"/>
      <c r="E48" s="30" t="n"/>
      <c r="F48" s="30" t="n"/>
      <c r="G48" s="30" t="n"/>
      <c r="H48" s="30" t="n"/>
      <c r="I48" s="40" t="n"/>
      <c r="J48" s="25" t="n"/>
    </row>
    <row r="49" ht="15" customHeight="1">
      <c r="A49" s="24" t="n"/>
      <c r="B49" s="18" t="n"/>
      <c r="C49" s="18" t="n"/>
      <c r="D49" s="26" t="n"/>
      <c r="E49" s="30" t="n"/>
      <c r="F49" s="30" t="n"/>
      <c r="G49" s="30" t="n"/>
      <c r="H49" s="30" t="n"/>
      <c r="I49" s="40" t="n"/>
      <c r="J49" s="25" t="n"/>
    </row>
    <row r="50" ht="15" customHeight="1">
      <c r="A50" s="24" t="n"/>
      <c r="B50" s="18" t="n"/>
      <c r="C50" s="18" t="n"/>
      <c r="D50" s="26" t="n"/>
      <c r="E50" s="30" t="n"/>
      <c r="F50" s="30" t="n"/>
      <c r="G50" s="30" t="n"/>
      <c r="H50" s="30" t="n"/>
      <c r="I50" s="40" t="n"/>
      <c r="J50" s="25" t="n"/>
    </row>
    <row r="51" ht="15" customHeight="1">
      <c r="A51" s="24" t="n"/>
      <c r="B51" s="18" t="n"/>
      <c r="C51" s="18" t="n"/>
      <c r="D51" s="26" t="n"/>
      <c r="E51" s="30" t="n"/>
      <c r="F51" s="30" t="n"/>
      <c r="G51" s="30" t="n"/>
      <c r="H51" s="30" t="n"/>
      <c r="I51" s="40" t="n"/>
      <c r="J51" s="25" t="n"/>
    </row>
    <row r="52" ht="15" customHeight="1">
      <c r="A52" s="24" t="n"/>
      <c r="B52" s="18" t="n"/>
      <c r="C52" s="18" t="n"/>
      <c r="D52" s="26" t="n"/>
      <c r="E52" s="30" t="n"/>
      <c r="F52" s="30" t="n"/>
      <c r="G52" s="30" t="n"/>
      <c r="H52" s="30" t="n"/>
      <c r="I52" s="40" t="n"/>
      <c r="J52" s="25" t="n"/>
    </row>
    <row r="53" ht="15" customHeight="1">
      <c r="A53" s="24" t="n"/>
      <c r="B53" s="18" t="n"/>
      <c r="C53" s="18" t="n"/>
      <c r="D53" s="26" t="n"/>
      <c r="E53" s="30" t="n"/>
      <c r="F53" s="30" t="n"/>
      <c r="G53" s="30" t="n"/>
      <c r="H53" s="30" t="n"/>
      <c r="I53" s="40" t="n"/>
      <c r="J53" s="25" t="n"/>
    </row>
    <row r="54" ht="15" customHeight="1">
      <c r="A54" s="24" t="n"/>
      <c r="B54" s="18" t="n"/>
      <c r="C54" s="18" t="n"/>
      <c r="D54" s="26" t="n"/>
      <c r="E54" s="30" t="n"/>
      <c r="F54" s="30" t="n"/>
      <c r="G54" s="30" t="n"/>
      <c r="H54" s="30" t="n"/>
      <c r="I54" s="40" t="n"/>
      <c r="J54" s="25" t="n"/>
    </row>
    <row r="55" ht="15" customHeight="1">
      <c r="A55" s="24" t="n"/>
      <c r="B55" s="18" t="n"/>
      <c r="C55" s="18" t="n"/>
      <c r="D55" s="26" t="n"/>
      <c r="E55" s="30" t="n"/>
      <c r="F55" s="30" t="n"/>
      <c r="G55" s="30" t="n"/>
      <c r="H55" s="30" t="n"/>
      <c r="I55" s="40" t="n"/>
      <c r="J55" s="25" t="n"/>
    </row>
    <row r="56" ht="15" customHeight="1">
      <c r="A56" s="24" t="n"/>
      <c r="B56" s="18" t="n"/>
      <c r="C56" s="18" t="n"/>
      <c r="D56" s="26" t="n"/>
      <c r="E56" s="30" t="n"/>
      <c r="F56" s="30" t="n"/>
      <c r="G56" s="30" t="n"/>
      <c r="H56" s="30" t="n"/>
      <c r="I56" s="40" t="n"/>
      <c r="J56" s="25" t="n"/>
    </row>
    <row r="57" ht="15" customHeight="1">
      <c r="A57" s="24" t="n"/>
      <c r="B57" s="18" t="n"/>
      <c r="C57" s="18" t="n"/>
      <c r="D57" s="26" t="n"/>
      <c r="E57" s="30" t="n"/>
      <c r="F57" s="30" t="n"/>
      <c r="G57" s="30" t="n"/>
      <c r="H57" s="30" t="n"/>
      <c r="I57" s="40" t="n"/>
      <c r="J57" s="25" t="n"/>
    </row>
    <row r="58" ht="15" customHeight="1">
      <c r="A58" s="24" t="n"/>
      <c r="B58" s="18" t="n"/>
      <c r="C58" s="18" t="n"/>
      <c r="D58" s="26" t="n"/>
      <c r="E58" s="30" t="n"/>
      <c r="F58" s="30" t="n"/>
      <c r="G58" s="30" t="n"/>
      <c r="H58" s="30" t="n"/>
      <c r="I58" s="40" t="n"/>
      <c r="J58" s="25" t="n"/>
    </row>
    <row r="59" ht="15" customHeight="1">
      <c r="A59" s="24" t="n"/>
      <c r="B59" s="18" t="n"/>
      <c r="C59" s="18" t="n"/>
      <c r="D59" s="26" t="n"/>
      <c r="E59" s="30" t="n"/>
      <c r="F59" s="30" t="n"/>
      <c r="G59" s="30" t="n"/>
      <c r="H59" s="30" t="n"/>
      <c r="I59" s="40" t="n"/>
      <c r="J59" s="25" t="n"/>
    </row>
    <row r="60" ht="15" customHeight="1">
      <c r="A60" s="24" t="n"/>
      <c r="B60" s="18" t="n"/>
      <c r="C60" s="18" t="n"/>
      <c r="D60" s="26" t="n"/>
      <c r="E60" s="30" t="n"/>
      <c r="F60" s="30" t="n"/>
      <c r="G60" s="30" t="n"/>
      <c r="H60" s="30" t="n"/>
      <c r="I60" s="40" t="n"/>
      <c r="J60" s="25" t="n"/>
    </row>
    <row r="61" ht="15" customHeight="1">
      <c r="A61" s="24" t="n"/>
      <c r="B61" s="18" t="n"/>
      <c r="C61" s="18" t="n"/>
      <c r="D61" s="26" t="n"/>
      <c r="E61" s="30" t="n"/>
      <c r="F61" s="30" t="n"/>
      <c r="G61" s="30" t="n"/>
      <c r="H61" s="30" t="n"/>
      <c r="I61" s="40" t="n"/>
      <c r="J61" s="25" t="n"/>
    </row>
    <row r="62" ht="15" customHeight="1">
      <c r="A62" s="24" t="n"/>
      <c r="B62" s="18" t="n"/>
      <c r="C62" s="18" t="n"/>
      <c r="D62" s="26" t="n"/>
      <c r="E62" s="30" t="n"/>
      <c r="F62" s="30" t="n"/>
      <c r="G62" s="30" t="n"/>
      <c r="H62" s="30" t="n"/>
      <c r="I62" s="40" t="n"/>
      <c r="J62" s="25" t="n"/>
    </row>
    <row r="63" ht="15" customHeight="1">
      <c r="A63" s="24" t="n"/>
      <c r="B63" s="18" t="n"/>
      <c r="C63" s="18" t="n"/>
      <c r="D63" s="26" t="n"/>
      <c r="E63" s="30" t="n"/>
      <c r="F63" s="30" t="n"/>
      <c r="G63" s="30" t="n"/>
      <c r="H63" s="30" t="n"/>
      <c r="I63" s="40" t="n"/>
      <c r="J63" s="25" t="n"/>
    </row>
    <row r="64" ht="15" customHeight="1">
      <c r="A64" s="24" t="n"/>
      <c r="B64" s="18" t="n"/>
      <c r="C64" s="18" t="n"/>
      <c r="D64" s="26" t="n"/>
      <c r="E64" s="30" t="n"/>
      <c r="F64" s="30" t="n"/>
      <c r="G64" s="30" t="n"/>
      <c r="H64" s="30" t="n"/>
      <c r="I64" s="40" t="n"/>
      <c r="J64" s="25" t="n"/>
    </row>
    <row r="65" ht="15" customHeight="1">
      <c r="A65" s="24" t="n"/>
      <c r="B65" s="18" t="n"/>
      <c r="C65" s="18" t="n"/>
      <c r="D65" s="26" t="n"/>
      <c r="E65" s="30" t="n"/>
      <c r="F65" s="30" t="n"/>
      <c r="G65" s="30" t="n"/>
      <c r="H65" s="30" t="n"/>
      <c r="I65" s="40" t="n"/>
      <c r="J65" s="25" t="n"/>
    </row>
    <row r="66" ht="15" customHeight="1">
      <c r="A66" s="24" t="n"/>
      <c r="B66" s="18" t="n"/>
      <c r="C66" s="18" t="n"/>
      <c r="D66" s="26" t="n"/>
      <c r="E66" s="30" t="n"/>
      <c r="F66" s="30" t="n"/>
      <c r="G66" s="30" t="n"/>
      <c r="H66" s="30" t="n"/>
      <c r="I66" s="40" t="n"/>
      <c r="J66" s="25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548235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0" customWidth="1" min="5" max="5"/>
  </cols>
  <sheetData>
    <row r="1" ht="26" customHeight="1">
      <c r="A1" s="1" t="inlineStr">
        <is>
          <t>FREIGHT OUT</t>
        </is>
      </c>
    </row>
    <row r="2">
      <c r="A2" s="2" t="inlineStr">
        <is>
          <t>Frete absorvido entra no Cost to Serve e no Price Waterfall.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SALE_ID</t>
        </is>
      </c>
      <c r="B6" s="5" t="inlineStr">
        <is>
          <t>CUSTOMER_ID</t>
        </is>
      </c>
      <c r="C6" s="5" t="inlineStr">
        <is>
          <t>Frete total R$</t>
        </is>
      </c>
      <c r="D6" s="5" t="inlineStr">
        <is>
          <t>Absorvido pela SKAL?</t>
        </is>
      </c>
      <c r="E6" s="5" t="inlineStr">
        <is>
          <t>R$/t</t>
        </is>
      </c>
    </row>
    <row r="7" ht="15" customHeight="1">
      <c r="A7" s="24" t="inlineStr">
        <is>
          <t>V-001</t>
        </is>
      </c>
      <c r="B7" s="18" t="inlineStr">
        <is>
          <t>C001</t>
        </is>
      </c>
      <c r="C7" s="30" t="n">
        <v>800</v>
      </c>
      <c r="D7" s="18" t="inlineStr">
        <is>
          <t>Sim</t>
        </is>
      </c>
      <c r="E7" s="33">
        <f>IFERROR(C7/INDEX('33_SALES'!$E$7:$E$40,MATCH(A7,'33_SALES'!$A$7:$A$40,0)),0)</f>
        <v/>
      </c>
    </row>
    <row r="8" ht="15" customHeight="1">
      <c r="A8" s="24" t="n"/>
      <c r="B8" s="18" t="n"/>
      <c r="C8" s="30" t="n"/>
      <c r="D8" s="18" t="n"/>
      <c r="E8" s="33" t="n"/>
    </row>
    <row r="9" ht="15" customHeight="1">
      <c r="A9" s="27" t="inlineStr">
        <is>
          <t>^ Linhas acima = dados DEMO (marcados). Abaixo: campos de entrada em branco para dados reais.</t>
        </is>
      </c>
      <c r="B9" s="18" t="n"/>
      <c r="C9" s="30" t="n"/>
      <c r="D9" s="18" t="n"/>
      <c r="E9" s="33" t="n"/>
    </row>
    <row r="10" ht="15" customHeight="1">
      <c r="A10" s="24" t="n"/>
      <c r="B10" s="18" t="n"/>
      <c r="C10" s="30" t="n"/>
      <c r="D10" s="18" t="n"/>
      <c r="E10" s="33" t="n"/>
    </row>
    <row r="11" ht="15" customHeight="1">
      <c r="A11" s="24" t="n"/>
      <c r="B11" s="18" t="n"/>
      <c r="C11" s="30" t="n"/>
      <c r="D11" s="18" t="n"/>
      <c r="E11" s="33" t="n"/>
    </row>
    <row r="12" ht="15" customHeight="1">
      <c r="A12" s="24" t="n"/>
      <c r="B12" s="18" t="n"/>
      <c r="C12" s="30" t="n"/>
      <c r="D12" s="18" t="n"/>
      <c r="E12" s="33" t="n"/>
    </row>
    <row r="13" ht="15" customHeight="1">
      <c r="A13" s="24" t="n"/>
      <c r="B13" s="18" t="n"/>
      <c r="C13" s="30" t="n"/>
      <c r="D13" s="18" t="n"/>
      <c r="E13" s="33" t="n"/>
    </row>
    <row r="14" ht="15" customHeight="1">
      <c r="A14" s="24" t="n"/>
      <c r="B14" s="18" t="n"/>
      <c r="C14" s="30" t="n"/>
      <c r="D14" s="18" t="n"/>
      <c r="E14" s="33" t="n"/>
    </row>
    <row r="15" ht="15" customHeight="1">
      <c r="A15" s="24" t="n"/>
      <c r="B15" s="18" t="n"/>
      <c r="C15" s="30" t="n"/>
      <c r="D15" s="18" t="n"/>
      <c r="E15" s="33" t="n"/>
    </row>
    <row r="16" ht="15" customHeight="1">
      <c r="A16" s="24" t="n"/>
      <c r="B16" s="18" t="n"/>
      <c r="C16" s="30" t="n"/>
      <c r="D16" s="18" t="n"/>
      <c r="E16" s="33" t="n"/>
    </row>
    <row r="17" ht="15" customHeight="1">
      <c r="A17" s="24" t="n"/>
      <c r="B17" s="18" t="n"/>
      <c r="C17" s="30" t="n"/>
      <c r="D17" s="18" t="n"/>
      <c r="E17" s="33" t="n"/>
    </row>
    <row r="18" ht="15" customHeight="1">
      <c r="A18" s="24" t="n"/>
      <c r="B18" s="18" t="n"/>
      <c r="C18" s="30" t="n"/>
      <c r="D18" s="18" t="n"/>
      <c r="E18" s="33" t="n"/>
    </row>
    <row r="19" ht="15" customHeight="1">
      <c r="A19" s="24" t="n"/>
      <c r="B19" s="18" t="n"/>
      <c r="C19" s="30" t="n"/>
      <c r="D19" s="18" t="n"/>
      <c r="E19" s="33" t="n"/>
    </row>
    <row r="20" ht="15" customHeight="1">
      <c r="A20" s="24" t="n"/>
      <c r="B20" s="18" t="n"/>
      <c r="C20" s="30" t="n"/>
      <c r="D20" s="18" t="n"/>
      <c r="E20" s="33" t="n"/>
    </row>
    <row r="21" ht="15" customHeight="1">
      <c r="A21" s="24" t="n"/>
      <c r="B21" s="18" t="n"/>
      <c r="C21" s="30" t="n"/>
      <c r="D21" s="18" t="n"/>
      <c r="E21" s="33" t="n"/>
    </row>
    <row r="22" ht="15" customHeight="1">
      <c r="A22" s="24" t="n"/>
      <c r="B22" s="18" t="n"/>
      <c r="C22" s="30" t="n"/>
      <c r="D22" s="18" t="n"/>
      <c r="E22" s="33" t="n"/>
    </row>
    <row r="23" ht="15" customHeight="1">
      <c r="A23" s="24" t="n"/>
      <c r="B23" s="18" t="n"/>
      <c r="C23" s="30" t="n"/>
      <c r="D23" s="18" t="n"/>
      <c r="E23" s="33" t="n"/>
    </row>
    <row r="24" ht="15" customHeight="1">
      <c r="A24" s="24" t="n"/>
      <c r="B24" s="18" t="n"/>
      <c r="C24" s="30" t="n"/>
      <c r="D24" s="18" t="n"/>
      <c r="E24" s="33" t="n"/>
    </row>
    <row r="25" ht="15" customHeight="1">
      <c r="A25" s="24" t="n"/>
      <c r="B25" s="18" t="n"/>
      <c r="C25" s="30" t="n"/>
      <c r="D25" s="18" t="n"/>
      <c r="E25" s="33" t="n"/>
    </row>
    <row r="26" ht="15" customHeight="1">
      <c r="A26" s="24" t="n"/>
      <c r="B26" s="18" t="n"/>
      <c r="C26" s="30" t="n"/>
      <c r="D26" s="18" t="n"/>
      <c r="E26" s="33" t="n"/>
    </row>
    <row r="27" ht="15" customHeight="1">
      <c r="A27" s="24" t="n"/>
      <c r="B27" s="18" t="n"/>
      <c r="C27" s="30" t="n"/>
      <c r="D27" s="18" t="n"/>
      <c r="E27" s="33" t="n"/>
    </row>
    <row r="28" ht="15" customHeight="1">
      <c r="A28" s="24" t="n"/>
      <c r="B28" s="18" t="n"/>
      <c r="C28" s="30" t="n"/>
      <c r="D28" s="18" t="n"/>
      <c r="E28" s="33" t="n"/>
    </row>
    <row r="29" ht="15" customHeight="1">
      <c r="A29" s="24" t="n"/>
      <c r="B29" s="18" t="n"/>
      <c r="C29" s="30" t="n"/>
      <c r="D29" s="18" t="n"/>
      <c r="E29" s="33" t="n"/>
    </row>
    <row r="30" ht="15" customHeight="1">
      <c r="A30" s="24" t="n"/>
      <c r="B30" s="18" t="n"/>
      <c r="C30" s="30" t="n"/>
      <c r="D30" s="18" t="n"/>
      <c r="E30" s="33" t="n"/>
    </row>
    <row r="31" ht="15" customHeight="1">
      <c r="A31" s="24" t="n"/>
      <c r="B31" s="18" t="n"/>
      <c r="C31" s="30" t="n"/>
      <c r="D31" s="18" t="n"/>
      <c r="E31" s="33" t="n"/>
    </row>
    <row r="32" ht="15" customHeight="1">
      <c r="A32" s="24" t="n"/>
      <c r="B32" s="18" t="n"/>
      <c r="C32" s="30" t="n"/>
      <c r="D32" s="18" t="n"/>
      <c r="E32" s="33" t="n"/>
    </row>
    <row r="33" ht="15" customHeight="1">
      <c r="A33" s="24" t="n"/>
      <c r="B33" s="18" t="n"/>
      <c r="C33" s="30" t="n"/>
      <c r="D33" s="18" t="n"/>
      <c r="E33" s="33" t="n"/>
    </row>
    <row r="34" ht="15" customHeight="1">
      <c r="A34" s="24" t="n"/>
      <c r="B34" s="18" t="n"/>
      <c r="C34" s="30" t="n"/>
      <c r="D34" s="18" t="n"/>
      <c r="E34" s="33" t="n"/>
    </row>
    <row r="35" ht="15" customHeight="1">
      <c r="A35" s="24" t="n"/>
      <c r="B35" s="18" t="n"/>
      <c r="C35" s="30" t="n"/>
      <c r="D35" s="18" t="n"/>
      <c r="E35" s="33" t="n"/>
    </row>
    <row r="36" ht="15" customHeight="1">
      <c r="A36" s="24" t="n"/>
      <c r="B36" s="18" t="n"/>
      <c r="C36" s="30" t="n"/>
      <c r="D36" s="18" t="n"/>
      <c r="E36" s="33" t="n"/>
    </row>
    <row r="37" ht="15" customHeight="1">
      <c r="A37" s="24" t="n"/>
      <c r="B37" s="18" t="n"/>
      <c r="C37" s="30" t="n"/>
      <c r="D37" s="18" t="n"/>
      <c r="E37" s="33" t="n"/>
    </row>
    <row r="38" ht="15" customHeight="1">
      <c r="A38" s="24" t="n"/>
      <c r="B38" s="18" t="n"/>
      <c r="C38" s="30" t="n"/>
      <c r="D38" s="18" t="n"/>
      <c r="E38" s="33" t="n"/>
    </row>
    <row r="39" ht="15" customHeight="1">
      <c r="A39" s="24" t="n"/>
      <c r="B39" s="18" t="n"/>
      <c r="C39" s="30" t="n"/>
      <c r="D39" s="18" t="n"/>
      <c r="E39" s="33" t="n"/>
    </row>
    <row r="40" ht="15" customHeight="1">
      <c r="A40" s="24" t="n"/>
      <c r="B40" s="18" t="n"/>
      <c r="C40" s="30" t="n"/>
      <c r="D40" s="18" t="n"/>
      <c r="E40" s="33" t="n"/>
    </row>
    <row r="41" ht="15" customHeight="1">
      <c r="A41" s="24" t="n"/>
      <c r="B41" s="18" t="n"/>
      <c r="C41" s="30" t="n"/>
      <c r="D41" s="18" t="n"/>
      <c r="E41" s="33" t="n"/>
    </row>
    <row r="42" ht="15" customHeight="1">
      <c r="A42" s="24" t="n"/>
      <c r="B42" s="18" t="n"/>
      <c r="C42" s="30" t="n"/>
      <c r="D42" s="18" t="n"/>
      <c r="E42" s="33" t="n"/>
    </row>
    <row r="43" ht="15" customHeight="1">
      <c r="A43" s="24" t="n"/>
      <c r="B43" s="18" t="n"/>
      <c r="C43" s="30" t="n"/>
      <c r="D43" s="18" t="n"/>
      <c r="E43" s="33" t="n"/>
    </row>
    <row r="44" ht="15" customHeight="1">
      <c r="A44" s="24" t="n"/>
      <c r="B44" s="18" t="n"/>
      <c r="C44" s="30" t="n"/>
      <c r="D44" s="18" t="n"/>
      <c r="E44" s="33" t="n"/>
    </row>
    <row r="45" ht="15" customHeight="1">
      <c r="A45" s="24" t="n"/>
      <c r="B45" s="18" t="n"/>
      <c r="C45" s="30" t="n"/>
      <c r="D45" s="18" t="n"/>
      <c r="E45" s="33" t="n"/>
    </row>
    <row r="46" ht="15" customHeight="1">
      <c r="A46" s="24" t="n"/>
      <c r="B46" s="18" t="n"/>
      <c r="C46" s="30" t="n"/>
      <c r="D46" s="18" t="n"/>
      <c r="E46" s="33" t="n"/>
    </row>
    <row r="47" ht="15" customHeight="1">
      <c r="A47" s="24" t="n"/>
      <c r="B47" s="18" t="n"/>
      <c r="C47" s="30" t="n"/>
      <c r="D47" s="18" t="n"/>
      <c r="E47" s="33" t="n"/>
    </row>
    <row r="48" ht="15" customHeight="1">
      <c r="A48" s="24" t="n"/>
      <c r="B48" s="18" t="n"/>
      <c r="C48" s="30" t="n"/>
      <c r="D48" s="18" t="n"/>
      <c r="E48" s="33" t="n"/>
    </row>
    <row r="49" ht="15" customHeight="1">
      <c r="A49" s="24" t="n"/>
      <c r="B49" s="18" t="n"/>
      <c r="C49" s="30" t="n"/>
      <c r="D49" s="18" t="n"/>
      <c r="E49" s="33" t="n"/>
    </row>
    <row r="50" ht="15" customHeight="1">
      <c r="A50" s="24" t="n"/>
      <c r="B50" s="18" t="n"/>
      <c r="C50" s="30" t="n"/>
      <c r="D50" s="18" t="n"/>
      <c r="E50" s="33" t="n"/>
    </row>
    <row r="51" ht="15" customHeight="1">
      <c r="A51" s="24" t="n"/>
      <c r="B51" s="18" t="n"/>
      <c r="C51" s="30" t="n"/>
      <c r="D51" s="18" t="n"/>
      <c r="E51" s="33" t="n"/>
    </row>
    <row r="52" ht="15" customHeight="1">
      <c r="A52" s="24" t="n"/>
      <c r="B52" s="18" t="n"/>
      <c r="C52" s="30" t="n"/>
      <c r="D52" s="18" t="n"/>
      <c r="E52" s="33" t="n"/>
    </row>
    <row r="53" ht="15" customHeight="1">
      <c r="A53" s="24" t="n"/>
      <c r="B53" s="18" t="n"/>
      <c r="C53" s="30" t="n"/>
      <c r="D53" s="18" t="n"/>
      <c r="E53" s="33" t="n"/>
    </row>
    <row r="54" ht="15" customHeight="1">
      <c r="A54" s="24" t="n"/>
      <c r="B54" s="18" t="n"/>
      <c r="C54" s="30" t="n"/>
      <c r="D54" s="18" t="n"/>
      <c r="E54" s="33" t="n"/>
    </row>
    <row r="55" ht="15" customHeight="1">
      <c r="A55" s="24" t="n"/>
      <c r="B55" s="18" t="n"/>
      <c r="C55" s="30" t="n"/>
      <c r="D55" s="18" t="n"/>
      <c r="E55" s="33" t="n"/>
    </row>
    <row r="56" ht="15" customHeight="1">
      <c r="A56" s="24" t="n"/>
      <c r="B56" s="18" t="n"/>
      <c r="C56" s="30" t="n"/>
      <c r="D56" s="18" t="n"/>
      <c r="E56" s="33" t="n"/>
    </row>
    <row r="57" ht="15" customHeight="1">
      <c r="A57" s="24" t="n"/>
      <c r="B57" s="18" t="n"/>
      <c r="C57" s="30" t="n"/>
      <c r="D57" s="18" t="n"/>
      <c r="E57" s="33" t="n"/>
    </row>
    <row r="58" ht="15" customHeight="1">
      <c r="A58" s="24" t="n"/>
      <c r="B58" s="18" t="n"/>
      <c r="C58" s="30" t="n"/>
      <c r="D58" s="18" t="n"/>
      <c r="E58" s="33" t="n"/>
    </row>
    <row r="59" ht="15" customHeight="1">
      <c r="A59" s="24" t="n"/>
      <c r="B59" s="18" t="n"/>
      <c r="C59" s="30" t="n"/>
      <c r="D59" s="18" t="n"/>
      <c r="E59" s="33" t="n"/>
    </row>
    <row r="60" ht="15" customHeight="1">
      <c r="A60" s="24" t="n"/>
      <c r="B60" s="18" t="n"/>
      <c r="C60" s="30" t="n"/>
      <c r="D60" s="18" t="n"/>
      <c r="E60" s="33" t="n"/>
    </row>
    <row r="61" ht="15" customHeight="1">
      <c r="A61" s="24" t="n"/>
      <c r="B61" s="18" t="n"/>
      <c r="C61" s="30" t="n"/>
      <c r="D61" s="18" t="n"/>
      <c r="E61" s="33" t="n"/>
    </row>
    <row r="62" ht="15" customHeight="1">
      <c r="A62" s="24" t="n"/>
      <c r="B62" s="18" t="n"/>
      <c r="C62" s="30" t="n"/>
      <c r="D62" s="18" t="n"/>
      <c r="E62" s="33" t="n"/>
    </row>
    <row r="63" ht="15" customHeight="1">
      <c r="A63" s="24" t="n"/>
      <c r="B63" s="18" t="n"/>
      <c r="C63" s="30" t="n"/>
      <c r="D63" s="18" t="n"/>
      <c r="E63" s="33" t="n"/>
    </row>
    <row r="64" ht="15" customHeight="1">
      <c r="A64" s="24" t="n"/>
      <c r="B64" s="18" t="n"/>
      <c r="C64" s="30" t="n"/>
      <c r="D64" s="18" t="n"/>
      <c r="E64" s="33" t="n"/>
    </row>
    <row r="65" ht="15" customHeight="1">
      <c r="A65" s="24" t="n"/>
      <c r="B65" s="18" t="n"/>
      <c r="C65" s="30" t="n"/>
      <c r="D65" s="18" t="n"/>
      <c r="E65" s="33" t="n"/>
    </row>
    <row r="66" ht="15" customHeight="1">
      <c r="A66" s="24" t="n"/>
      <c r="B66" s="18" t="n"/>
      <c r="C66" s="30" t="n"/>
      <c r="D66" s="18" t="n"/>
      <c r="E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548235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</cols>
  <sheetData>
    <row r="1" ht="26" customHeight="1">
      <c r="A1" s="1" t="inlineStr">
        <is>
          <t>COMMISSIONS</t>
        </is>
      </c>
    </row>
    <row r="2">
      <c r="A2" s="2" t="inlineStr">
        <is>
          <t>Comissao por venda; entra no Cost to Serve.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SALE_ID</t>
        </is>
      </c>
      <c r="B6" s="5" t="inlineStr">
        <is>
          <t>Vendedor</t>
        </is>
      </c>
      <c r="C6" s="5" t="inlineStr">
        <is>
          <t>% comissao</t>
        </is>
      </c>
      <c r="D6" s="5" t="inlineStr">
        <is>
          <t>Base R$</t>
        </is>
      </c>
      <c r="E6" s="5" t="inlineStr">
        <is>
          <t>Comissao R$</t>
        </is>
      </c>
    </row>
    <row r="7" ht="15" customHeight="1">
      <c r="A7" s="24" t="inlineStr">
        <is>
          <t>V-001</t>
        </is>
      </c>
      <c r="B7" s="18" t="inlineStr">
        <is>
          <t>Rep 1</t>
        </is>
      </c>
      <c r="C7" s="40" t="n">
        <v>0.02</v>
      </c>
      <c r="D7" s="30" t="n">
        <v>7200</v>
      </c>
      <c r="E7" s="33">
        <f>C7*D7</f>
        <v/>
      </c>
    </row>
    <row r="8" ht="15" customHeight="1">
      <c r="A8" s="24" t="n"/>
      <c r="B8" s="18" t="n"/>
      <c r="C8" s="40" t="n"/>
      <c r="D8" s="30" t="n"/>
      <c r="E8" s="33" t="n"/>
    </row>
    <row r="9" ht="15" customHeight="1">
      <c r="A9" s="27" t="inlineStr">
        <is>
          <t>^ Linhas acima = dados DEMO (marcados). Abaixo: campos de entrada em branco para dados reais.</t>
        </is>
      </c>
      <c r="B9" s="18" t="n"/>
      <c r="C9" s="40" t="n"/>
      <c r="D9" s="30" t="n"/>
      <c r="E9" s="33" t="n"/>
    </row>
    <row r="10" ht="15" customHeight="1">
      <c r="A10" s="24" t="n"/>
      <c r="B10" s="18" t="n"/>
      <c r="C10" s="40" t="n"/>
      <c r="D10" s="30" t="n"/>
      <c r="E10" s="33" t="n"/>
    </row>
    <row r="11" ht="15" customHeight="1">
      <c r="A11" s="24" t="n"/>
      <c r="B11" s="18" t="n"/>
      <c r="C11" s="40" t="n"/>
      <c r="D11" s="30" t="n"/>
      <c r="E11" s="33" t="n"/>
    </row>
    <row r="12" ht="15" customHeight="1">
      <c r="A12" s="24" t="n"/>
      <c r="B12" s="18" t="n"/>
      <c r="C12" s="40" t="n"/>
      <c r="D12" s="30" t="n"/>
      <c r="E12" s="33" t="n"/>
    </row>
    <row r="13" ht="15" customHeight="1">
      <c r="A13" s="24" t="n"/>
      <c r="B13" s="18" t="n"/>
      <c r="C13" s="40" t="n"/>
      <c r="D13" s="30" t="n"/>
      <c r="E13" s="33" t="n"/>
    </row>
    <row r="14" ht="15" customHeight="1">
      <c r="A14" s="24" t="n"/>
      <c r="B14" s="18" t="n"/>
      <c r="C14" s="40" t="n"/>
      <c r="D14" s="30" t="n"/>
      <c r="E14" s="33" t="n"/>
    </row>
    <row r="15" ht="15" customHeight="1">
      <c r="A15" s="24" t="n"/>
      <c r="B15" s="18" t="n"/>
      <c r="C15" s="40" t="n"/>
      <c r="D15" s="30" t="n"/>
      <c r="E15" s="33" t="n"/>
    </row>
    <row r="16" ht="15" customHeight="1">
      <c r="A16" s="24" t="n"/>
      <c r="B16" s="18" t="n"/>
      <c r="C16" s="40" t="n"/>
      <c r="D16" s="30" t="n"/>
      <c r="E16" s="33" t="n"/>
    </row>
    <row r="17" ht="15" customHeight="1">
      <c r="A17" s="24" t="n"/>
      <c r="B17" s="18" t="n"/>
      <c r="C17" s="40" t="n"/>
      <c r="D17" s="30" t="n"/>
      <c r="E17" s="33" t="n"/>
    </row>
    <row r="18" ht="15" customHeight="1">
      <c r="A18" s="24" t="n"/>
      <c r="B18" s="18" t="n"/>
      <c r="C18" s="40" t="n"/>
      <c r="D18" s="30" t="n"/>
      <c r="E18" s="33" t="n"/>
    </row>
    <row r="19" ht="15" customHeight="1">
      <c r="A19" s="24" t="n"/>
      <c r="B19" s="18" t="n"/>
      <c r="C19" s="40" t="n"/>
      <c r="D19" s="30" t="n"/>
      <c r="E19" s="33" t="n"/>
    </row>
    <row r="20" ht="15" customHeight="1">
      <c r="A20" s="24" t="n"/>
      <c r="B20" s="18" t="n"/>
      <c r="C20" s="40" t="n"/>
      <c r="D20" s="30" t="n"/>
      <c r="E20" s="33" t="n"/>
    </row>
    <row r="21" ht="15" customHeight="1">
      <c r="A21" s="24" t="n"/>
      <c r="B21" s="18" t="n"/>
      <c r="C21" s="40" t="n"/>
      <c r="D21" s="30" t="n"/>
      <c r="E21" s="33" t="n"/>
    </row>
    <row r="22" ht="15" customHeight="1">
      <c r="A22" s="24" t="n"/>
      <c r="B22" s="18" t="n"/>
      <c r="C22" s="40" t="n"/>
      <c r="D22" s="30" t="n"/>
      <c r="E22" s="33" t="n"/>
    </row>
    <row r="23" ht="15" customHeight="1">
      <c r="A23" s="24" t="n"/>
      <c r="B23" s="18" t="n"/>
      <c r="C23" s="40" t="n"/>
      <c r="D23" s="30" t="n"/>
      <c r="E23" s="33" t="n"/>
    </row>
    <row r="24" ht="15" customHeight="1">
      <c r="A24" s="24" t="n"/>
      <c r="B24" s="18" t="n"/>
      <c r="C24" s="40" t="n"/>
      <c r="D24" s="30" t="n"/>
      <c r="E24" s="33" t="n"/>
    </row>
    <row r="25" ht="15" customHeight="1">
      <c r="A25" s="24" t="n"/>
      <c r="B25" s="18" t="n"/>
      <c r="C25" s="40" t="n"/>
      <c r="D25" s="30" t="n"/>
      <c r="E25" s="33" t="n"/>
    </row>
    <row r="26" ht="15" customHeight="1">
      <c r="A26" s="24" t="n"/>
      <c r="B26" s="18" t="n"/>
      <c r="C26" s="40" t="n"/>
      <c r="D26" s="30" t="n"/>
      <c r="E26" s="33" t="n"/>
    </row>
    <row r="27" ht="15" customHeight="1">
      <c r="A27" s="24" t="n"/>
      <c r="B27" s="18" t="n"/>
      <c r="C27" s="40" t="n"/>
      <c r="D27" s="30" t="n"/>
      <c r="E27" s="33" t="n"/>
    </row>
    <row r="28" ht="15" customHeight="1">
      <c r="A28" s="24" t="n"/>
      <c r="B28" s="18" t="n"/>
      <c r="C28" s="40" t="n"/>
      <c r="D28" s="30" t="n"/>
      <c r="E28" s="33" t="n"/>
    </row>
    <row r="29" ht="15" customHeight="1">
      <c r="A29" s="24" t="n"/>
      <c r="B29" s="18" t="n"/>
      <c r="C29" s="40" t="n"/>
      <c r="D29" s="30" t="n"/>
      <c r="E29" s="33" t="n"/>
    </row>
    <row r="30" ht="15" customHeight="1">
      <c r="A30" s="24" t="n"/>
      <c r="B30" s="18" t="n"/>
      <c r="C30" s="40" t="n"/>
      <c r="D30" s="30" t="n"/>
      <c r="E30" s="33" t="n"/>
    </row>
    <row r="31" ht="15" customHeight="1">
      <c r="A31" s="24" t="n"/>
      <c r="B31" s="18" t="n"/>
      <c r="C31" s="40" t="n"/>
      <c r="D31" s="30" t="n"/>
      <c r="E31" s="33" t="n"/>
    </row>
    <row r="32" ht="15" customHeight="1">
      <c r="A32" s="24" t="n"/>
      <c r="B32" s="18" t="n"/>
      <c r="C32" s="40" t="n"/>
      <c r="D32" s="30" t="n"/>
      <c r="E32" s="33" t="n"/>
    </row>
    <row r="33" ht="15" customHeight="1">
      <c r="A33" s="24" t="n"/>
      <c r="B33" s="18" t="n"/>
      <c r="C33" s="40" t="n"/>
      <c r="D33" s="30" t="n"/>
      <c r="E33" s="33" t="n"/>
    </row>
    <row r="34" ht="15" customHeight="1">
      <c r="A34" s="24" t="n"/>
      <c r="B34" s="18" t="n"/>
      <c r="C34" s="40" t="n"/>
      <c r="D34" s="30" t="n"/>
      <c r="E34" s="33" t="n"/>
    </row>
    <row r="35" ht="15" customHeight="1">
      <c r="A35" s="24" t="n"/>
      <c r="B35" s="18" t="n"/>
      <c r="C35" s="40" t="n"/>
      <c r="D35" s="30" t="n"/>
      <c r="E35" s="33" t="n"/>
    </row>
    <row r="36" ht="15" customHeight="1">
      <c r="A36" s="24" t="n"/>
      <c r="B36" s="18" t="n"/>
      <c r="C36" s="40" t="n"/>
      <c r="D36" s="30" t="n"/>
      <c r="E36" s="33" t="n"/>
    </row>
    <row r="37" ht="15" customHeight="1">
      <c r="A37" s="24" t="n"/>
      <c r="B37" s="18" t="n"/>
      <c r="C37" s="40" t="n"/>
      <c r="D37" s="30" t="n"/>
      <c r="E37" s="33" t="n"/>
    </row>
    <row r="38" ht="15" customHeight="1">
      <c r="A38" s="24" t="n"/>
      <c r="B38" s="18" t="n"/>
      <c r="C38" s="40" t="n"/>
      <c r="D38" s="30" t="n"/>
      <c r="E38" s="33" t="n"/>
    </row>
    <row r="39" ht="15" customHeight="1">
      <c r="A39" s="24" t="n"/>
      <c r="B39" s="18" t="n"/>
      <c r="C39" s="40" t="n"/>
      <c r="D39" s="30" t="n"/>
      <c r="E39" s="33" t="n"/>
    </row>
    <row r="40" ht="15" customHeight="1">
      <c r="A40" s="24" t="n"/>
      <c r="B40" s="18" t="n"/>
      <c r="C40" s="40" t="n"/>
      <c r="D40" s="30" t="n"/>
      <c r="E40" s="33" t="n"/>
    </row>
    <row r="41" ht="15" customHeight="1">
      <c r="A41" s="24" t="n"/>
      <c r="B41" s="18" t="n"/>
      <c r="C41" s="40" t="n"/>
      <c r="D41" s="30" t="n"/>
      <c r="E41" s="33" t="n"/>
    </row>
    <row r="42" ht="15" customHeight="1">
      <c r="A42" s="24" t="n"/>
      <c r="B42" s="18" t="n"/>
      <c r="C42" s="40" t="n"/>
      <c r="D42" s="30" t="n"/>
      <c r="E42" s="33" t="n"/>
    </row>
    <row r="43" ht="15" customHeight="1">
      <c r="A43" s="24" t="n"/>
      <c r="B43" s="18" t="n"/>
      <c r="C43" s="40" t="n"/>
      <c r="D43" s="30" t="n"/>
      <c r="E43" s="33" t="n"/>
    </row>
    <row r="44" ht="15" customHeight="1">
      <c r="A44" s="24" t="n"/>
      <c r="B44" s="18" t="n"/>
      <c r="C44" s="40" t="n"/>
      <c r="D44" s="30" t="n"/>
      <c r="E44" s="33" t="n"/>
    </row>
    <row r="45" ht="15" customHeight="1">
      <c r="A45" s="24" t="n"/>
      <c r="B45" s="18" t="n"/>
      <c r="C45" s="40" t="n"/>
      <c r="D45" s="30" t="n"/>
      <c r="E45" s="33" t="n"/>
    </row>
    <row r="46" ht="15" customHeight="1">
      <c r="A46" s="24" t="n"/>
      <c r="B46" s="18" t="n"/>
      <c r="C46" s="40" t="n"/>
      <c r="D46" s="30" t="n"/>
      <c r="E46" s="33" t="n"/>
    </row>
    <row r="47" ht="15" customHeight="1">
      <c r="A47" s="24" t="n"/>
      <c r="B47" s="18" t="n"/>
      <c r="C47" s="40" t="n"/>
      <c r="D47" s="30" t="n"/>
      <c r="E47" s="33" t="n"/>
    </row>
    <row r="48" ht="15" customHeight="1">
      <c r="A48" s="24" t="n"/>
      <c r="B48" s="18" t="n"/>
      <c r="C48" s="40" t="n"/>
      <c r="D48" s="30" t="n"/>
      <c r="E48" s="33" t="n"/>
    </row>
    <row r="49" ht="15" customHeight="1">
      <c r="A49" s="24" t="n"/>
      <c r="B49" s="18" t="n"/>
      <c r="C49" s="40" t="n"/>
      <c r="D49" s="30" t="n"/>
      <c r="E49" s="33" t="n"/>
    </row>
    <row r="50" ht="15" customHeight="1">
      <c r="A50" s="24" t="n"/>
      <c r="B50" s="18" t="n"/>
      <c r="C50" s="40" t="n"/>
      <c r="D50" s="30" t="n"/>
      <c r="E50" s="33" t="n"/>
    </row>
    <row r="51" ht="15" customHeight="1">
      <c r="A51" s="24" t="n"/>
      <c r="B51" s="18" t="n"/>
      <c r="C51" s="40" t="n"/>
      <c r="D51" s="30" t="n"/>
      <c r="E51" s="33" t="n"/>
    </row>
    <row r="52" ht="15" customHeight="1">
      <c r="A52" s="24" t="n"/>
      <c r="B52" s="18" t="n"/>
      <c r="C52" s="40" t="n"/>
      <c r="D52" s="30" t="n"/>
      <c r="E52" s="33" t="n"/>
    </row>
    <row r="53" ht="15" customHeight="1">
      <c r="A53" s="24" t="n"/>
      <c r="B53" s="18" t="n"/>
      <c r="C53" s="40" t="n"/>
      <c r="D53" s="30" t="n"/>
      <c r="E53" s="33" t="n"/>
    </row>
    <row r="54" ht="15" customHeight="1">
      <c r="A54" s="24" t="n"/>
      <c r="B54" s="18" t="n"/>
      <c r="C54" s="40" t="n"/>
      <c r="D54" s="30" t="n"/>
      <c r="E54" s="33" t="n"/>
    </row>
    <row r="55" ht="15" customHeight="1">
      <c r="A55" s="24" t="n"/>
      <c r="B55" s="18" t="n"/>
      <c r="C55" s="40" t="n"/>
      <c r="D55" s="30" t="n"/>
      <c r="E55" s="33" t="n"/>
    </row>
    <row r="56" ht="15" customHeight="1">
      <c r="A56" s="24" t="n"/>
      <c r="B56" s="18" t="n"/>
      <c r="C56" s="40" t="n"/>
      <c r="D56" s="30" t="n"/>
      <c r="E56" s="33" t="n"/>
    </row>
    <row r="57" ht="15" customHeight="1">
      <c r="A57" s="24" t="n"/>
      <c r="B57" s="18" t="n"/>
      <c r="C57" s="40" t="n"/>
      <c r="D57" s="30" t="n"/>
      <c r="E57" s="33" t="n"/>
    </row>
    <row r="58" ht="15" customHeight="1">
      <c r="A58" s="24" t="n"/>
      <c r="B58" s="18" t="n"/>
      <c r="C58" s="40" t="n"/>
      <c r="D58" s="30" t="n"/>
      <c r="E58" s="33" t="n"/>
    </row>
    <row r="59" ht="15" customHeight="1">
      <c r="A59" s="24" t="n"/>
      <c r="B59" s="18" t="n"/>
      <c r="C59" s="40" t="n"/>
      <c r="D59" s="30" t="n"/>
      <c r="E59" s="33" t="n"/>
    </row>
    <row r="60" ht="15" customHeight="1">
      <c r="A60" s="24" t="n"/>
      <c r="B60" s="18" t="n"/>
      <c r="C60" s="40" t="n"/>
      <c r="D60" s="30" t="n"/>
      <c r="E60" s="33" t="n"/>
    </row>
    <row r="61" ht="15" customHeight="1">
      <c r="A61" s="24" t="n"/>
      <c r="B61" s="18" t="n"/>
      <c r="C61" s="40" t="n"/>
      <c r="D61" s="30" t="n"/>
      <c r="E61" s="33" t="n"/>
    </row>
    <row r="62" ht="15" customHeight="1">
      <c r="A62" s="24" t="n"/>
      <c r="B62" s="18" t="n"/>
      <c r="C62" s="40" t="n"/>
      <c r="D62" s="30" t="n"/>
      <c r="E62" s="33" t="n"/>
    </row>
    <row r="63" ht="15" customHeight="1">
      <c r="A63" s="24" t="n"/>
      <c r="B63" s="18" t="n"/>
      <c r="C63" s="40" t="n"/>
      <c r="D63" s="30" t="n"/>
      <c r="E63" s="33" t="n"/>
    </row>
    <row r="64" ht="15" customHeight="1">
      <c r="A64" s="24" t="n"/>
      <c r="B64" s="18" t="n"/>
      <c r="C64" s="40" t="n"/>
      <c r="D64" s="30" t="n"/>
      <c r="E64" s="33" t="n"/>
    </row>
    <row r="65" ht="15" customHeight="1">
      <c r="A65" s="24" t="n"/>
      <c r="B65" s="18" t="n"/>
      <c r="C65" s="40" t="n"/>
      <c r="D65" s="30" t="n"/>
      <c r="E65" s="33" t="n"/>
    </row>
    <row r="66" ht="15" customHeight="1">
      <c r="A66" s="24" t="n"/>
      <c r="B66" s="18" t="n"/>
      <c r="C66" s="40" t="n"/>
      <c r="D66" s="30" t="n"/>
      <c r="E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548235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2" customWidth="1" min="4" max="4"/>
    <col width="8" customWidth="1" min="5" max="5"/>
    <col width="8" customWidth="1" min="6" max="6"/>
    <col width="16" customWidth="1" min="7" max="7"/>
  </cols>
  <sheetData>
    <row r="1" ht="26" customHeight="1">
      <c r="A1" s="1" t="inlineStr">
        <is>
          <t>RECEIVABLES</t>
        </is>
      </c>
    </row>
    <row r="2">
      <c r="A2" s="2" t="inlineStr">
        <is>
          <t>Receivable Financing Cost = valor x taxa x dias/365. Expected Credit Loss = PD x exposicao x LGD.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SALE_ID</t>
        </is>
      </c>
      <c r="B6" s="5" t="inlineStr">
        <is>
          <t>Valor a receber R$</t>
        </is>
      </c>
      <c r="C6" s="5" t="inlineStr">
        <is>
          <t>Dias</t>
        </is>
      </c>
      <c r="D6" s="5" t="inlineStr">
        <is>
          <t>Custo prazo R$</t>
        </is>
      </c>
      <c r="E6" s="5" t="inlineStr">
        <is>
          <t>PD %</t>
        </is>
      </c>
      <c r="F6" s="5" t="inlineStr">
        <is>
          <t>LGD %</t>
        </is>
      </c>
      <c r="G6" s="5" t="inlineStr">
        <is>
          <t>Expected credit loss R$</t>
        </is>
      </c>
    </row>
    <row r="7" ht="15" customHeight="1">
      <c r="A7" s="24" t="inlineStr">
        <is>
          <t>V-001</t>
        </is>
      </c>
      <c r="B7" s="30" t="n">
        <v>7000</v>
      </c>
      <c r="C7" s="25" t="n">
        <v>30</v>
      </c>
      <c r="D7" s="33">
        <f>B7*CUSTO_CAPITAL_ANO*C7/DIAS_ANO</f>
        <v/>
      </c>
      <c r="E7" s="40" t="n">
        <v>0.015</v>
      </c>
      <c r="F7" s="40" t="n">
        <v>0.6</v>
      </c>
      <c r="G7" s="33">
        <f>B7*E7*F7</f>
        <v/>
      </c>
    </row>
    <row r="8" ht="15" customHeight="1">
      <c r="A8" s="24" t="n"/>
      <c r="B8" s="30" t="n"/>
      <c r="C8" s="25" t="n"/>
      <c r="D8" s="33" t="n"/>
      <c r="E8" s="40" t="n"/>
      <c r="F8" s="40" t="n"/>
      <c r="G8" s="33" t="n"/>
    </row>
    <row r="9" ht="15" customHeight="1">
      <c r="A9" s="27" t="inlineStr">
        <is>
          <t>^ Linhas acima = dados DEMO (marcados). Abaixo: campos de entrada em branco para dados reais.</t>
        </is>
      </c>
      <c r="B9" s="30" t="n"/>
      <c r="C9" s="25" t="n"/>
      <c r="D9" s="33" t="n"/>
      <c r="E9" s="40" t="n"/>
      <c r="F9" s="40" t="n"/>
      <c r="G9" s="33" t="n"/>
    </row>
    <row r="10" ht="15" customHeight="1">
      <c r="A10" s="24" t="n"/>
      <c r="B10" s="30" t="n"/>
      <c r="C10" s="25" t="n"/>
      <c r="D10" s="33" t="n"/>
      <c r="E10" s="40" t="n"/>
      <c r="F10" s="40" t="n"/>
      <c r="G10" s="33" t="n"/>
    </row>
    <row r="11" ht="15" customHeight="1">
      <c r="A11" s="24" t="n"/>
      <c r="B11" s="30" t="n"/>
      <c r="C11" s="25" t="n"/>
      <c r="D11" s="33" t="n"/>
      <c r="E11" s="40" t="n"/>
      <c r="F11" s="40" t="n"/>
      <c r="G11" s="33" t="n"/>
    </row>
    <row r="12" ht="15" customHeight="1">
      <c r="A12" s="24" t="n"/>
      <c r="B12" s="30" t="n"/>
      <c r="C12" s="25" t="n"/>
      <c r="D12" s="33" t="n"/>
      <c r="E12" s="40" t="n"/>
      <c r="F12" s="40" t="n"/>
      <c r="G12" s="33" t="n"/>
    </row>
    <row r="13" ht="15" customHeight="1">
      <c r="A13" s="24" t="n"/>
      <c r="B13" s="30" t="n"/>
      <c r="C13" s="25" t="n"/>
      <c r="D13" s="33" t="n"/>
      <c r="E13" s="40" t="n"/>
      <c r="F13" s="40" t="n"/>
      <c r="G13" s="33" t="n"/>
    </row>
    <row r="14" ht="15" customHeight="1">
      <c r="A14" s="24" t="n"/>
      <c r="B14" s="30" t="n"/>
      <c r="C14" s="25" t="n"/>
      <c r="D14" s="33" t="n"/>
      <c r="E14" s="40" t="n"/>
      <c r="F14" s="40" t="n"/>
      <c r="G14" s="33" t="n"/>
    </row>
    <row r="15" ht="15" customHeight="1">
      <c r="A15" s="24" t="n"/>
      <c r="B15" s="30" t="n"/>
      <c r="C15" s="25" t="n"/>
      <c r="D15" s="33" t="n"/>
      <c r="E15" s="40" t="n"/>
      <c r="F15" s="40" t="n"/>
      <c r="G15" s="33" t="n"/>
    </row>
    <row r="16" ht="15" customHeight="1">
      <c r="A16" s="24" t="n"/>
      <c r="B16" s="30" t="n"/>
      <c r="C16" s="25" t="n"/>
      <c r="D16" s="33" t="n"/>
      <c r="E16" s="40" t="n"/>
      <c r="F16" s="40" t="n"/>
      <c r="G16" s="33" t="n"/>
    </row>
    <row r="17" ht="15" customHeight="1">
      <c r="A17" s="24" t="n"/>
      <c r="B17" s="30" t="n"/>
      <c r="C17" s="25" t="n"/>
      <c r="D17" s="33" t="n"/>
      <c r="E17" s="40" t="n"/>
      <c r="F17" s="40" t="n"/>
      <c r="G17" s="33" t="n"/>
    </row>
    <row r="18" ht="15" customHeight="1">
      <c r="A18" s="24" t="n"/>
      <c r="B18" s="30" t="n"/>
      <c r="C18" s="25" t="n"/>
      <c r="D18" s="33" t="n"/>
      <c r="E18" s="40" t="n"/>
      <c r="F18" s="40" t="n"/>
      <c r="G18" s="33" t="n"/>
    </row>
    <row r="19" ht="15" customHeight="1">
      <c r="A19" s="24" t="n"/>
      <c r="B19" s="30" t="n"/>
      <c r="C19" s="25" t="n"/>
      <c r="D19" s="33" t="n"/>
      <c r="E19" s="40" t="n"/>
      <c r="F19" s="40" t="n"/>
      <c r="G19" s="33" t="n"/>
    </row>
    <row r="20" ht="15" customHeight="1">
      <c r="A20" s="24" t="n"/>
      <c r="B20" s="30" t="n"/>
      <c r="C20" s="25" t="n"/>
      <c r="D20" s="33" t="n"/>
      <c r="E20" s="40" t="n"/>
      <c r="F20" s="40" t="n"/>
      <c r="G20" s="33" t="n"/>
    </row>
    <row r="21" ht="15" customHeight="1">
      <c r="A21" s="24" t="n"/>
      <c r="B21" s="30" t="n"/>
      <c r="C21" s="25" t="n"/>
      <c r="D21" s="33" t="n"/>
      <c r="E21" s="40" t="n"/>
      <c r="F21" s="40" t="n"/>
      <c r="G21" s="33" t="n"/>
    </row>
    <row r="22" ht="15" customHeight="1">
      <c r="A22" s="24" t="n"/>
      <c r="B22" s="30" t="n"/>
      <c r="C22" s="25" t="n"/>
      <c r="D22" s="33" t="n"/>
      <c r="E22" s="40" t="n"/>
      <c r="F22" s="40" t="n"/>
      <c r="G22" s="33" t="n"/>
    </row>
    <row r="23" ht="15" customHeight="1">
      <c r="A23" s="24" t="n"/>
      <c r="B23" s="30" t="n"/>
      <c r="C23" s="25" t="n"/>
      <c r="D23" s="33" t="n"/>
      <c r="E23" s="40" t="n"/>
      <c r="F23" s="40" t="n"/>
      <c r="G23" s="33" t="n"/>
    </row>
    <row r="24" ht="15" customHeight="1">
      <c r="A24" s="24" t="n"/>
      <c r="B24" s="30" t="n"/>
      <c r="C24" s="25" t="n"/>
      <c r="D24" s="33" t="n"/>
      <c r="E24" s="40" t="n"/>
      <c r="F24" s="40" t="n"/>
      <c r="G24" s="33" t="n"/>
    </row>
    <row r="25" ht="15" customHeight="1">
      <c r="A25" s="24" t="n"/>
      <c r="B25" s="30" t="n"/>
      <c r="C25" s="25" t="n"/>
      <c r="D25" s="33" t="n"/>
      <c r="E25" s="40" t="n"/>
      <c r="F25" s="40" t="n"/>
      <c r="G25" s="33" t="n"/>
    </row>
    <row r="26" ht="15" customHeight="1">
      <c r="A26" s="24" t="n"/>
      <c r="B26" s="30" t="n"/>
      <c r="C26" s="25" t="n"/>
      <c r="D26" s="33" t="n"/>
      <c r="E26" s="40" t="n"/>
      <c r="F26" s="40" t="n"/>
      <c r="G26" s="33" t="n"/>
    </row>
    <row r="27" ht="15" customHeight="1">
      <c r="A27" s="24" t="n"/>
      <c r="B27" s="30" t="n"/>
      <c r="C27" s="25" t="n"/>
      <c r="D27" s="33" t="n"/>
      <c r="E27" s="40" t="n"/>
      <c r="F27" s="40" t="n"/>
      <c r="G27" s="33" t="n"/>
    </row>
    <row r="28" ht="15" customHeight="1">
      <c r="A28" s="24" t="n"/>
      <c r="B28" s="30" t="n"/>
      <c r="C28" s="25" t="n"/>
      <c r="D28" s="33" t="n"/>
      <c r="E28" s="40" t="n"/>
      <c r="F28" s="40" t="n"/>
      <c r="G28" s="33" t="n"/>
    </row>
    <row r="29" ht="15" customHeight="1">
      <c r="A29" s="24" t="n"/>
      <c r="B29" s="30" t="n"/>
      <c r="C29" s="25" t="n"/>
      <c r="D29" s="33" t="n"/>
      <c r="E29" s="40" t="n"/>
      <c r="F29" s="40" t="n"/>
      <c r="G29" s="33" t="n"/>
    </row>
    <row r="30" ht="15" customHeight="1">
      <c r="A30" s="24" t="n"/>
      <c r="B30" s="30" t="n"/>
      <c r="C30" s="25" t="n"/>
      <c r="D30" s="33" t="n"/>
      <c r="E30" s="40" t="n"/>
      <c r="F30" s="40" t="n"/>
      <c r="G30" s="33" t="n"/>
    </row>
    <row r="31" ht="15" customHeight="1">
      <c r="A31" s="24" t="n"/>
      <c r="B31" s="30" t="n"/>
      <c r="C31" s="25" t="n"/>
      <c r="D31" s="33" t="n"/>
      <c r="E31" s="40" t="n"/>
      <c r="F31" s="40" t="n"/>
      <c r="G31" s="33" t="n"/>
    </row>
    <row r="32" ht="15" customHeight="1">
      <c r="A32" s="24" t="n"/>
      <c r="B32" s="30" t="n"/>
      <c r="C32" s="25" t="n"/>
      <c r="D32" s="33" t="n"/>
      <c r="E32" s="40" t="n"/>
      <c r="F32" s="40" t="n"/>
      <c r="G32" s="33" t="n"/>
    </row>
    <row r="33" ht="15" customHeight="1">
      <c r="A33" s="24" t="n"/>
      <c r="B33" s="30" t="n"/>
      <c r="C33" s="25" t="n"/>
      <c r="D33" s="33" t="n"/>
      <c r="E33" s="40" t="n"/>
      <c r="F33" s="40" t="n"/>
      <c r="G33" s="33" t="n"/>
    </row>
    <row r="34" ht="15" customHeight="1">
      <c r="A34" s="24" t="n"/>
      <c r="B34" s="30" t="n"/>
      <c r="C34" s="25" t="n"/>
      <c r="D34" s="33" t="n"/>
      <c r="E34" s="40" t="n"/>
      <c r="F34" s="40" t="n"/>
      <c r="G34" s="33" t="n"/>
    </row>
    <row r="35" ht="15" customHeight="1">
      <c r="A35" s="24" t="n"/>
      <c r="B35" s="30" t="n"/>
      <c r="C35" s="25" t="n"/>
      <c r="D35" s="33" t="n"/>
      <c r="E35" s="40" t="n"/>
      <c r="F35" s="40" t="n"/>
      <c r="G35" s="33" t="n"/>
    </row>
    <row r="36" ht="15" customHeight="1">
      <c r="A36" s="24" t="n"/>
      <c r="B36" s="30" t="n"/>
      <c r="C36" s="25" t="n"/>
      <c r="D36" s="33" t="n"/>
      <c r="E36" s="40" t="n"/>
      <c r="F36" s="40" t="n"/>
      <c r="G36" s="33" t="n"/>
    </row>
    <row r="37" ht="15" customHeight="1">
      <c r="A37" s="24" t="n"/>
      <c r="B37" s="30" t="n"/>
      <c r="C37" s="25" t="n"/>
      <c r="D37" s="33" t="n"/>
      <c r="E37" s="40" t="n"/>
      <c r="F37" s="40" t="n"/>
      <c r="G37" s="33" t="n"/>
    </row>
    <row r="38" ht="15" customHeight="1">
      <c r="A38" s="24" t="n"/>
      <c r="B38" s="30" t="n"/>
      <c r="C38" s="25" t="n"/>
      <c r="D38" s="33" t="n"/>
      <c r="E38" s="40" t="n"/>
      <c r="F38" s="40" t="n"/>
      <c r="G38" s="33" t="n"/>
    </row>
    <row r="39" ht="15" customHeight="1">
      <c r="A39" s="24" t="n"/>
      <c r="B39" s="30" t="n"/>
      <c r="C39" s="25" t="n"/>
      <c r="D39" s="33" t="n"/>
      <c r="E39" s="40" t="n"/>
      <c r="F39" s="40" t="n"/>
      <c r="G39" s="33" t="n"/>
    </row>
    <row r="40" ht="15" customHeight="1">
      <c r="A40" s="24" t="n"/>
      <c r="B40" s="30" t="n"/>
      <c r="C40" s="25" t="n"/>
      <c r="D40" s="33" t="n"/>
      <c r="E40" s="40" t="n"/>
      <c r="F40" s="40" t="n"/>
      <c r="G40" s="33" t="n"/>
    </row>
    <row r="41" ht="15" customHeight="1">
      <c r="A41" s="24" t="n"/>
      <c r="B41" s="30" t="n"/>
      <c r="C41" s="25" t="n"/>
      <c r="D41" s="33" t="n"/>
      <c r="E41" s="40" t="n"/>
      <c r="F41" s="40" t="n"/>
      <c r="G41" s="33" t="n"/>
    </row>
    <row r="42" ht="15" customHeight="1">
      <c r="A42" s="24" t="n"/>
      <c r="B42" s="30" t="n"/>
      <c r="C42" s="25" t="n"/>
      <c r="D42" s="33" t="n"/>
      <c r="E42" s="40" t="n"/>
      <c r="F42" s="40" t="n"/>
      <c r="G42" s="33" t="n"/>
    </row>
    <row r="43" ht="15" customHeight="1">
      <c r="A43" s="24" t="n"/>
      <c r="B43" s="30" t="n"/>
      <c r="C43" s="25" t="n"/>
      <c r="D43" s="33" t="n"/>
      <c r="E43" s="40" t="n"/>
      <c r="F43" s="40" t="n"/>
      <c r="G43" s="33" t="n"/>
    </row>
    <row r="44" ht="15" customHeight="1">
      <c r="A44" s="24" t="n"/>
      <c r="B44" s="30" t="n"/>
      <c r="C44" s="25" t="n"/>
      <c r="D44" s="33" t="n"/>
      <c r="E44" s="40" t="n"/>
      <c r="F44" s="40" t="n"/>
      <c r="G44" s="33" t="n"/>
    </row>
    <row r="45" ht="15" customHeight="1">
      <c r="A45" s="24" t="n"/>
      <c r="B45" s="30" t="n"/>
      <c r="C45" s="25" t="n"/>
      <c r="D45" s="33" t="n"/>
      <c r="E45" s="40" t="n"/>
      <c r="F45" s="40" t="n"/>
      <c r="G45" s="33" t="n"/>
    </row>
    <row r="46" ht="15" customHeight="1">
      <c r="A46" s="24" t="n"/>
      <c r="B46" s="30" t="n"/>
      <c r="C46" s="25" t="n"/>
      <c r="D46" s="33" t="n"/>
      <c r="E46" s="40" t="n"/>
      <c r="F46" s="40" t="n"/>
      <c r="G46" s="33" t="n"/>
    </row>
    <row r="47" ht="15" customHeight="1">
      <c r="A47" s="24" t="n"/>
      <c r="B47" s="30" t="n"/>
      <c r="C47" s="25" t="n"/>
      <c r="D47" s="33" t="n"/>
      <c r="E47" s="40" t="n"/>
      <c r="F47" s="40" t="n"/>
      <c r="G47" s="33" t="n"/>
    </row>
    <row r="48" ht="15" customHeight="1">
      <c r="A48" s="24" t="n"/>
      <c r="B48" s="30" t="n"/>
      <c r="C48" s="25" t="n"/>
      <c r="D48" s="33" t="n"/>
      <c r="E48" s="40" t="n"/>
      <c r="F48" s="40" t="n"/>
      <c r="G48" s="33" t="n"/>
    </row>
    <row r="49" ht="15" customHeight="1">
      <c r="A49" s="24" t="n"/>
      <c r="B49" s="30" t="n"/>
      <c r="C49" s="25" t="n"/>
      <c r="D49" s="33" t="n"/>
      <c r="E49" s="40" t="n"/>
      <c r="F49" s="40" t="n"/>
      <c r="G49" s="33" t="n"/>
    </row>
    <row r="50" ht="15" customHeight="1">
      <c r="A50" s="24" t="n"/>
      <c r="B50" s="30" t="n"/>
      <c r="C50" s="25" t="n"/>
      <c r="D50" s="33" t="n"/>
      <c r="E50" s="40" t="n"/>
      <c r="F50" s="40" t="n"/>
      <c r="G50" s="33" t="n"/>
    </row>
    <row r="51" ht="15" customHeight="1">
      <c r="A51" s="24" t="n"/>
      <c r="B51" s="30" t="n"/>
      <c r="C51" s="25" t="n"/>
      <c r="D51" s="33" t="n"/>
      <c r="E51" s="40" t="n"/>
      <c r="F51" s="40" t="n"/>
      <c r="G51" s="33" t="n"/>
    </row>
    <row r="52" ht="15" customHeight="1">
      <c r="A52" s="24" t="n"/>
      <c r="B52" s="30" t="n"/>
      <c r="C52" s="25" t="n"/>
      <c r="D52" s="33" t="n"/>
      <c r="E52" s="40" t="n"/>
      <c r="F52" s="40" t="n"/>
      <c r="G52" s="33" t="n"/>
    </row>
    <row r="53" ht="15" customHeight="1">
      <c r="A53" s="24" t="n"/>
      <c r="B53" s="30" t="n"/>
      <c r="C53" s="25" t="n"/>
      <c r="D53" s="33" t="n"/>
      <c r="E53" s="40" t="n"/>
      <c r="F53" s="40" t="n"/>
      <c r="G53" s="33" t="n"/>
    </row>
    <row r="54" ht="15" customHeight="1">
      <c r="A54" s="24" t="n"/>
      <c r="B54" s="30" t="n"/>
      <c r="C54" s="25" t="n"/>
      <c r="D54" s="33" t="n"/>
      <c r="E54" s="40" t="n"/>
      <c r="F54" s="40" t="n"/>
      <c r="G54" s="33" t="n"/>
    </row>
    <row r="55" ht="15" customHeight="1">
      <c r="A55" s="24" t="n"/>
      <c r="B55" s="30" t="n"/>
      <c r="C55" s="25" t="n"/>
      <c r="D55" s="33" t="n"/>
      <c r="E55" s="40" t="n"/>
      <c r="F55" s="40" t="n"/>
      <c r="G55" s="33" t="n"/>
    </row>
    <row r="56" ht="15" customHeight="1">
      <c r="A56" s="24" t="n"/>
      <c r="B56" s="30" t="n"/>
      <c r="C56" s="25" t="n"/>
      <c r="D56" s="33" t="n"/>
      <c r="E56" s="40" t="n"/>
      <c r="F56" s="40" t="n"/>
      <c r="G56" s="33" t="n"/>
    </row>
    <row r="57" ht="15" customHeight="1">
      <c r="A57" s="24" t="n"/>
      <c r="B57" s="30" t="n"/>
      <c r="C57" s="25" t="n"/>
      <c r="D57" s="33" t="n"/>
      <c r="E57" s="40" t="n"/>
      <c r="F57" s="40" t="n"/>
      <c r="G57" s="33" t="n"/>
    </row>
    <row r="58" ht="15" customHeight="1">
      <c r="A58" s="24" t="n"/>
      <c r="B58" s="30" t="n"/>
      <c r="C58" s="25" t="n"/>
      <c r="D58" s="33" t="n"/>
      <c r="E58" s="40" t="n"/>
      <c r="F58" s="40" t="n"/>
      <c r="G58" s="33" t="n"/>
    </row>
    <row r="59" ht="15" customHeight="1">
      <c r="A59" s="24" t="n"/>
      <c r="B59" s="30" t="n"/>
      <c r="C59" s="25" t="n"/>
      <c r="D59" s="33" t="n"/>
      <c r="E59" s="40" t="n"/>
      <c r="F59" s="40" t="n"/>
      <c r="G59" s="33" t="n"/>
    </row>
    <row r="60" ht="15" customHeight="1">
      <c r="A60" s="24" t="n"/>
      <c r="B60" s="30" t="n"/>
      <c r="C60" s="25" t="n"/>
      <c r="D60" s="33" t="n"/>
      <c r="E60" s="40" t="n"/>
      <c r="F60" s="40" t="n"/>
      <c r="G60" s="33" t="n"/>
    </row>
    <row r="61" ht="15" customHeight="1">
      <c r="A61" s="24" t="n"/>
      <c r="B61" s="30" t="n"/>
      <c r="C61" s="25" t="n"/>
      <c r="D61" s="33" t="n"/>
      <c r="E61" s="40" t="n"/>
      <c r="F61" s="40" t="n"/>
      <c r="G61" s="33" t="n"/>
    </row>
    <row r="62" ht="15" customHeight="1">
      <c r="A62" s="24" t="n"/>
      <c r="B62" s="30" t="n"/>
      <c r="C62" s="25" t="n"/>
      <c r="D62" s="33" t="n"/>
      <c r="E62" s="40" t="n"/>
      <c r="F62" s="40" t="n"/>
      <c r="G62" s="33" t="n"/>
    </row>
    <row r="63" ht="15" customHeight="1">
      <c r="A63" s="24" t="n"/>
      <c r="B63" s="30" t="n"/>
      <c r="C63" s="25" t="n"/>
      <c r="D63" s="33" t="n"/>
      <c r="E63" s="40" t="n"/>
      <c r="F63" s="40" t="n"/>
      <c r="G63" s="33" t="n"/>
    </row>
    <row r="64" ht="15" customHeight="1">
      <c r="A64" s="24" t="n"/>
      <c r="B64" s="30" t="n"/>
      <c r="C64" s="25" t="n"/>
      <c r="D64" s="33" t="n"/>
      <c r="E64" s="40" t="n"/>
      <c r="F64" s="40" t="n"/>
      <c r="G64" s="33" t="n"/>
    </row>
    <row r="65" ht="15" customHeight="1">
      <c r="A65" s="24" t="n"/>
      <c r="B65" s="30" t="n"/>
      <c r="C65" s="25" t="n"/>
      <c r="D65" s="33" t="n"/>
      <c r="E65" s="40" t="n"/>
      <c r="F65" s="40" t="n"/>
      <c r="G65" s="33" t="n"/>
    </row>
    <row r="66" ht="15" customHeight="1">
      <c r="A66" s="24" t="n"/>
      <c r="B66" s="30" t="n"/>
      <c r="C66" s="25" t="n"/>
      <c r="D66" s="33" t="n"/>
      <c r="E66" s="40" t="n"/>
      <c r="F66" s="40" t="n"/>
      <c r="G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548235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2" customWidth="1" min="9" max="9"/>
  </cols>
  <sheetData>
    <row r="1" ht="26" customHeight="1">
      <c r="A1" s="1" t="inlineStr">
        <is>
          <t>BARTER</t>
        </is>
      </c>
    </row>
    <row r="2">
      <c r="A2" s="2" t="inlineStr">
        <is>
          <t>Nao tratar permuta pelo valor nominal. Liquido = valor econom. - monetizacao - custo fin. - risco - trib.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BARTER_ID</t>
        </is>
      </c>
      <c r="B6" s="5" t="inlineStr">
        <is>
          <t>Contraparte</t>
        </is>
      </c>
      <c r="C6" s="5" t="inlineStr">
        <is>
          <t>Valor nominal R$</t>
        </is>
      </c>
      <c r="D6" s="5" t="inlineStr">
        <is>
          <t>Valor economico R$</t>
        </is>
      </c>
      <c r="E6" s="5" t="inlineStr">
        <is>
          <t>Custo monetizacao R$</t>
        </is>
      </c>
      <c r="F6" s="5" t="inlineStr">
        <is>
          <t>Custo financeiro R$</t>
        </is>
      </c>
      <c r="G6" s="5" t="inlineStr">
        <is>
          <t>Risco R$</t>
        </is>
      </c>
      <c r="H6" s="5" t="inlineStr">
        <is>
          <t>Trib. adic R$</t>
        </is>
      </c>
      <c r="I6" s="5" t="inlineStr">
        <is>
          <t>Liquido R$</t>
        </is>
      </c>
    </row>
    <row r="7" ht="15" customHeight="1">
      <c r="A7" s="24" t="n"/>
      <c r="B7" s="18" t="n"/>
      <c r="C7" s="30" t="n"/>
      <c r="D7" s="30" t="n"/>
      <c r="E7" s="30" t="n"/>
      <c r="F7" s="30" t="n"/>
      <c r="G7" s="30" t="n"/>
      <c r="H7" s="30" t="n"/>
      <c r="I7" s="33" t="n"/>
    </row>
    <row r="8" ht="15" customHeight="1">
      <c r="A8" s="24" t="n"/>
      <c r="B8" s="18" t="n"/>
      <c r="C8" s="30" t="n"/>
      <c r="D8" s="30" t="n"/>
      <c r="E8" s="30" t="n"/>
      <c r="F8" s="30" t="n"/>
      <c r="G8" s="30" t="n"/>
      <c r="H8" s="30" t="n"/>
      <c r="I8" s="33" t="n"/>
    </row>
    <row r="9" ht="15" customHeight="1">
      <c r="A9" s="24" t="n"/>
      <c r="B9" s="18" t="n"/>
      <c r="C9" s="30" t="n"/>
      <c r="D9" s="30" t="n"/>
      <c r="E9" s="30" t="n"/>
      <c r="F9" s="30" t="n"/>
      <c r="G9" s="30" t="n"/>
      <c r="H9" s="30" t="n"/>
      <c r="I9" s="33" t="n"/>
    </row>
    <row r="10" ht="15" customHeight="1">
      <c r="A10" s="24" t="n"/>
      <c r="B10" s="18" t="n"/>
      <c r="C10" s="30" t="n"/>
      <c r="D10" s="30" t="n"/>
      <c r="E10" s="30" t="n"/>
      <c r="F10" s="30" t="n"/>
      <c r="G10" s="30" t="n"/>
      <c r="H10" s="30" t="n"/>
      <c r="I10" s="33" t="n"/>
    </row>
    <row r="11" ht="15" customHeight="1">
      <c r="A11" s="24" t="n"/>
      <c r="B11" s="18" t="n"/>
      <c r="C11" s="30" t="n"/>
      <c r="D11" s="30" t="n"/>
      <c r="E11" s="30" t="n"/>
      <c r="F11" s="30" t="n"/>
      <c r="G11" s="30" t="n"/>
      <c r="H11" s="30" t="n"/>
      <c r="I11" s="33" t="n"/>
    </row>
    <row r="12" ht="15" customHeight="1">
      <c r="A12" s="24" t="n"/>
      <c r="B12" s="18" t="n"/>
      <c r="C12" s="30" t="n"/>
      <c r="D12" s="30" t="n"/>
      <c r="E12" s="30" t="n"/>
      <c r="F12" s="30" t="n"/>
      <c r="G12" s="30" t="n"/>
      <c r="H12" s="30" t="n"/>
      <c r="I12" s="33" t="n"/>
    </row>
    <row r="13" ht="15" customHeight="1">
      <c r="A13" s="24" t="n"/>
      <c r="B13" s="18" t="n"/>
      <c r="C13" s="30" t="n"/>
      <c r="D13" s="30" t="n"/>
      <c r="E13" s="30" t="n"/>
      <c r="F13" s="30" t="n"/>
      <c r="G13" s="30" t="n"/>
      <c r="H13" s="30" t="n"/>
      <c r="I13" s="33" t="n"/>
    </row>
    <row r="14" ht="15" customHeight="1">
      <c r="A14" s="24" t="n"/>
      <c r="B14" s="18" t="n"/>
      <c r="C14" s="30" t="n"/>
      <c r="D14" s="30" t="n"/>
      <c r="E14" s="30" t="n"/>
      <c r="F14" s="30" t="n"/>
      <c r="G14" s="30" t="n"/>
      <c r="H14" s="30" t="n"/>
      <c r="I14" s="33" t="n"/>
    </row>
    <row r="15" ht="15" customHeight="1">
      <c r="A15" s="24" t="n"/>
      <c r="B15" s="18" t="n"/>
      <c r="C15" s="30" t="n"/>
      <c r="D15" s="30" t="n"/>
      <c r="E15" s="30" t="n"/>
      <c r="F15" s="30" t="n"/>
      <c r="G15" s="30" t="n"/>
      <c r="H15" s="30" t="n"/>
      <c r="I15" s="33" t="n"/>
    </row>
    <row r="16" ht="15" customHeight="1">
      <c r="A16" s="24" t="n"/>
      <c r="B16" s="18" t="n"/>
      <c r="C16" s="30" t="n"/>
      <c r="D16" s="30" t="n"/>
      <c r="E16" s="30" t="n"/>
      <c r="F16" s="30" t="n"/>
      <c r="G16" s="30" t="n"/>
      <c r="H16" s="30" t="n"/>
      <c r="I16" s="33" t="n"/>
    </row>
    <row r="17" ht="15" customHeight="1">
      <c r="A17" s="24" t="n"/>
      <c r="B17" s="18" t="n"/>
      <c r="C17" s="30" t="n"/>
      <c r="D17" s="30" t="n"/>
      <c r="E17" s="30" t="n"/>
      <c r="F17" s="30" t="n"/>
      <c r="G17" s="30" t="n"/>
      <c r="H17" s="30" t="n"/>
      <c r="I17" s="33" t="n"/>
    </row>
    <row r="18" ht="15" customHeight="1">
      <c r="A18" s="24" t="n"/>
      <c r="B18" s="18" t="n"/>
      <c r="C18" s="30" t="n"/>
      <c r="D18" s="30" t="n"/>
      <c r="E18" s="30" t="n"/>
      <c r="F18" s="30" t="n"/>
      <c r="G18" s="30" t="n"/>
      <c r="H18" s="30" t="n"/>
      <c r="I18" s="33" t="n"/>
    </row>
    <row r="19" ht="15" customHeight="1">
      <c r="A19" s="24" t="n"/>
      <c r="B19" s="18" t="n"/>
      <c r="C19" s="30" t="n"/>
      <c r="D19" s="30" t="n"/>
      <c r="E19" s="30" t="n"/>
      <c r="F19" s="30" t="n"/>
      <c r="G19" s="30" t="n"/>
      <c r="H19" s="30" t="n"/>
      <c r="I19" s="33" t="n"/>
    </row>
    <row r="20" ht="15" customHeight="1">
      <c r="A20" s="24" t="n"/>
      <c r="B20" s="18" t="n"/>
      <c r="C20" s="30" t="n"/>
      <c r="D20" s="30" t="n"/>
      <c r="E20" s="30" t="n"/>
      <c r="F20" s="30" t="n"/>
      <c r="G20" s="30" t="n"/>
      <c r="H20" s="30" t="n"/>
      <c r="I20" s="33" t="n"/>
    </row>
    <row r="21" ht="15" customHeight="1">
      <c r="A21" s="24" t="n"/>
      <c r="B21" s="18" t="n"/>
      <c r="C21" s="30" t="n"/>
      <c r="D21" s="30" t="n"/>
      <c r="E21" s="30" t="n"/>
      <c r="F21" s="30" t="n"/>
      <c r="G21" s="30" t="n"/>
      <c r="H21" s="30" t="n"/>
      <c r="I21" s="33" t="n"/>
    </row>
    <row r="22" ht="15" customHeight="1">
      <c r="A22" s="24" t="n"/>
      <c r="B22" s="18" t="n"/>
      <c r="C22" s="30" t="n"/>
      <c r="D22" s="30" t="n"/>
      <c r="E22" s="30" t="n"/>
      <c r="F22" s="30" t="n"/>
      <c r="G22" s="30" t="n"/>
      <c r="H22" s="30" t="n"/>
      <c r="I22" s="33" t="n"/>
    </row>
    <row r="23" ht="15" customHeight="1">
      <c r="A23" s="24" t="n"/>
      <c r="B23" s="18" t="n"/>
      <c r="C23" s="30" t="n"/>
      <c r="D23" s="30" t="n"/>
      <c r="E23" s="30" t="n"/>
      <c r="F23" s="30" t="n"/>
      <c r="G23" s="30" t="n"/>
      <c r="H23" s="30" t="n"/>
      <c r="I23" s="33" t="n"/>
    </row>
    <row r="24" ht="15" customHeight="1">
      <c r="A24" s="24" t="n"/>
      <c r="B24" s="18" t="n"/>
      <c r="C24" s="30" t="n"/>
      <c r="D24" s="30" t="n"/>
      <c r="E24" s="30" t="n"/>
      <c r="F24" s="30" t="n"/>
      <c r="G24" s="30" t="n"/>
      <c r="H24" s="30" t="n"/>
      <c r="I24" s="33" t="n"/>
    </row>
    <row r="25" ht="15" customHeight="1">
      <c r="A25" s="24" t="n"/>
      <c r="B25" s="18" t="n"/>
      <c r="C25" s="30" t="n"/>
      <c r="D25" s="30" t="n"/>
      <c r="E25" s="30" t="n"/>
      <c r="F25" s="30" t="n"/>
      <c r="G25" s="30" t="n"/>
      <c r="H25" s="30" t="n"/>
      <c r="I25" s="33" t="n"/>
    </row>
    <row r="26" ht="15" customHeight="1">
      <c r="A26" s="24" t="n"/>
      <c r="B26" s="18" t="n"/>
      <c r="C26" s="30" t="n"/>
      <c r="D26" s="30" t="n"/>
      <c r="E26" s="30" t="n"/>
      <c r="F26" s="30" t="n"/>
      <c r="G26" s="30" t="n"/>
      <c r="H26" s="30" t="n"/>
      <c r="I26" s="33" t="n"/>
    </row>
    <row r="27" ht="15" customHeight="1">
      <c r="A27" s="24" t="n"/>
      <c r="B27" s="18" t="n"/>
      <c r="C27" s="30" t="n"/>
      <c r="D27" s="30" t="n"/>
      <c r="E27" s="30" t="n"/>
      <c r="F27" s="30" t="n"/>
      <c r="G27" s="30" t="n"/>
      <c r="H27" s="30" t="n"/>
      <c r="I27" s="33" t="n"/>
    </row>
    <row r="28" ht="15" customHeight="1">
      <c r="A28" s="24" t="n"/>
      <c r="B28" s="18" t="n"/>
      <c r="C28" s="30" t="n"/>
      <c r="D28" s="30" t="n"/>
      <c r="E28" s="30" t="n"/>
      <c r="F28" s="30" t="n"/>
      <c r="G28" s="30" t="n"/>
      <c r="H28" s="30" t="n"/>
      <c r="I28" s="33" t="n"/>
    </row>
    <row r="29" ht="15" customHeight="1">
      <c r="A29" s="24" t="n"/>
      <c r="B29" s="18" t="n"/>
      <c r="C29" s="30" t="n"/>
      <c r="D29" s="30" t="n"/>
      <c r="E29" s="30" t="n"/>
      <c r="F29" s="30" t="n"/>
      <c r="G29" s="30" t="n"/>
      <c r="H29" s="30" t="n"/>
      <c r="I29" s="33" t="n"/>
    </row>
    <row r="30" ht="15" customHeight="1">
      <c r="A30" s="24" t="n"/>
      <c r="B30" s="18" t="n"/>
      <c r="C30" s="30" t="n"/>
      <c r="D30" s="30" t="n"/>
      <c r="E30" s="30" t="n"/>
      <c r="F30" s="30" t="n"/>
      <c r="G30" s="30" t="n"/>
      <c r="H30" s="30" t="n"/>
      <c r="I30" s="33" t="n"/>
    </row>
    <row r="31" ht="15" customHeight="1">
      <c r="A31" s="24" t="n"/>
      <c r="B31" s="18" t="n"/>
      <c r="C31" s="30" t="n"/>
      <c r="D31" s="30" t="n"/>
      <c r="E31" s="30" t="n"/>
      <c r="F31" s="30" t="n"/>
      <c r="G31" s="30" t="n"/>
      <c r="H31" s="30" t="n"/>
      <c r="I31" s="33" t="n"/>
    </row>
    <row r="32" ht="15" customHeight="1">
      <c r="A32" s="24" t="n"/>
      <c r="B32" s="18" t="n"/>
      <c r="C32" s="30" t="n"/>
      <c r="D32" s="30" t="n"/>
      <c r="E32" s="30" t="n"/>
      <c r="F32" s="30" t="n"/>
      <c r="G32" s="30" t="n"/>
      <c r="H32" s="30" t="n"/>
      <c r="I32" s="33" t="n"/>
    </row>
    <row r="33" ht="15" customHeight="1">
      <c r="A33" s="24" t="n"/>
      <c r="B33" s="18" t="n"/>
      <c r="C33" s="30" t="n"/>
      <c r="D33" s="30" t="n"/>
      <c r="E33" s="30" t="n"/>
      <c r="F33" s="30" t="n"/>
      <c r="G33" s="30" t="n"/>
      <c r="H33" s="30" t="n"/>
      <c r="I33" s="33" t="n"/>
    </row>
    <row r="34" ht="15" customHeight="1">
      <c r="A34" s="24" t="n"/>
      <c r="B34" s="18" t="n"/>
      <c r="C34" s="30" t="n"/>
      <c r="D34" s="30" t="n"/>
      <c r="E34" s="30" t="n"/>
      <c r="F34" s="30" t="n"/>
      <c r="G34" s="30" t="n"/>
      <c r="H34" s="30" t="n"/>
      <c r="I34" s="33" t="n"/>
    </row>
    <row r="35" ht="15" customHeight="1">
      <c r="A35" s="24" t="n"/>
      <c r="B35" s="18" t="n"/>
      <c r="C35" s="30" t="n"/>
      <c r="D35" s="30" t="n"/>
      <c r="E35" s="30" t="n"/>
      <c r="F35" s="30" t="n"/>
      <c r="G35" s="30" t="n"/>
      <c r="H35" s="30" t="n"/>
      <c r="I35" s="33" t="n"/>
    </row>
    <row r="36" ht="15" customHeight="1">
      <c r="A36" s="24" t="n"/>
      <c r="B36" s="18" t="n"/>
      <c r="C36" s="30" t="n"/>
      <c r="D36" s="30" t="n"/>
      <c r="E36" s="30" t="n"/>
      <c r="F36" s="30" t="n"/>
      <c r="G36" s="30" t="n"/>
      <c r="H36" s="30" t="n"/>
      <c r="I36" s="33" t="n"/>
    </row>
    <row r="37" ht="15" customHeight="1">
      <c r="A37" s="24" t="n"/>
      <c r="B37" s="18" t="n"/>
      <c r="C37" s="30" t="n"/>
      <c r="D37" s="30" t="n"/>
      <c r="E37" s="30" t="n"/>
      <c r="F37" s="30" t="n"/>
      <c r="G37" s="30" t="n"/>
      <c r="H37" s="30" t="n"/>
      <c r="I37" s="33" t="n"/>
    </row>
    <row r="38" ht="15" customHeight="1">
      <c r="A38" s="24" t="n"/>
      <c r="B38" s="18" t="n"/>
      <c r="C38" s="30" t="n"/>
      <c r="D38" s="30" t="n"/>
      <c r="E38" s="30" t="n"/>
      <c r="F38" s="30" t="n"/>
      <c r="G38" s="30" t="n"/>
      <c r="H38" s="30" t="n"/>
      <c r="I38" s="33" t="n"/>
    </row>
    <row r="39" ht="15" customHeight="1">
      <c r="A39" s="24" t="n"/>
      <c r="B39" s="18" t="n"/>
      <c r="C39" s="30" t="n"/>
      <c r="D39" s="30" t="n"/>
      <c r="E39" s="30" t="n"/>
      <c r="F39" s="30" t="n"/>
      <c r="G39" s="30" t="n"/>
      <c r="H39" s="30" t="n"/>
      <c r="I39" s="33" t="n"/>
    </row>
    <row r="40" ht="15" customHeight="1">
      <c r="A40" s="24" t="n"/>
      <c r="B40" s="18" t="n"/>
      <c r="C40" s="30" t="n"/>
      <c r="D40" s="30" t="n"/>
      <c r="E40" s="30" t="n"/>
      <c r="F40" s="30" t="n"/>
      <c r="G40" s="30" t="n"/>
      <c r="H40" s="30" t="n"/>
      <c r="I40" s="33" t="n"/>
    </row>
    <row r="41" ht="15" customHeight="1">
      <c r="A41" s="24" t="n"/>
      <c r="B41" s="18" t="n"/>
      <c r="C41" s="30" t="n"/>
      <c r="D41" s="30" t="n"/>
      <c r="E41" s="30" t="n"/>
      <c r="F41" s="30" t="n"/>
      <c r="G41" s="30" t="n"/>
      <c r="H41" s="30" t="n"/>
      <c r="I41" s="33" t="n"/>
    </row>
    <row r="42" ht="15" customHeight="1">
      <c r="A42" s="24" t="n"/>
      <c r="B42" s="18" t="n"/>
      <c r="C42" s="30" t="n"/>
      <c r="D42" s="30" t="n"/>
      <c r="E42" s="30" t="n"/>
      <c r="F42" s="30" t="n"/>
      <c r="G42" s="30" t="n"/>
      <c r="H42" s="30" t="n"/>
      <c r="I42" s="33" t="n"/>
    </row>
    <row r="43" ht="15" customHeight="1">
      <c r="A43" s="24" t="n"/>
      <c r="B43" s="18" t="n"/>
      <c r="C43" s="30" t="n"/>
      <c r="D43" s="30" t="n"/>
      <c r="E43" s="30" t="n"/>
      <c r="F43" s="30" t="n"/>
      <c r="G43" s="30" t="n"/>
      <c r="H43" s="30" t="n"/>
      <c r="I43" s="33" t="n"/>
    </row>
    <row r="44" ht="15" customHeight="1">
      <c r="A44" s="24" t="n"/>
      <c r="B44" s="18" t="n"/>
      <c r="C44" s="30" t="n"/>
      <c r="D44" s="30" t="n"/>
      <c r="E44" s="30" t="n"/>
      <c r="F44" s="30" t="n"/>
      <c r="G44" s="30" t="n"/>
      <c r="H44" s="30" t="n"/>
      <c r="I44" s="33" t="n"/>
    </row>
    <row r="45" ht="15" customHeight="1">
      <c r="A45" s="24" t="n"/>
      <c r="B45" s="18" t="n"/>
      <c r="C45" s="30" t="n"/>
      <c r="D45" s="30" t="n"/>
      <c r="E45" s="30" t="n"/>
      <c r="F45" s="30" t="n"/>
      <c r="G45" s="30" t="n"/>
      <c r="H45" s="30" t="n"/>
      <c r="I45" s="33" t="n"/>
    </row>
    <row r="46" ht="15" customHeight="1">
      <c r="A46" s="24" t="n"/>
      <c r="B46" s="18" t="n"/>
      <c r="C46" s="30" t="n"/>
      <c r="D46" s="30" t="n"/>
      <c r="E46" s="30" t="n"/>
      <c r="F46" s="30" t="n"/>
      <c r="G46" s="30" t="n"/>
      <c r="H46" s="30" t="n"/>
      <c r="I46" s="33" t="n"/>
    </row>
    <row r="47" ht="15" customHeight="1">
      <c r="A47" s="24" t="n"/>
      <c r="B47" s="18" t="n"/>
      <c r="C47" s="30" t="n"/>
      <c r="D47" s="30" t="n"/>
      <c r="E47" s="30" t="n"/>
      <c r="F47" s="30" t="n"/>
      <c r="G47" s="30" t="n"/>
      <c r="H47" s="30" t="n"/>
      <c r="I47" s="33" t="n"/>
    </row>
    <row r="48" ht="15" customHeight="1">
      <c r="A48" s="24" t="n"/>
      <c r="B48" s="18" t="n"/>
      <c r="C48" s="30" t="n"/>
      <c r="D48" s="30" t="n"/>
      <c r="E48" s="30" t="n"/>
      <c r="F48" s="30" t="n"/>
      <c r="G48" s="30" t="n"/>
      <c r="H48" s="30" t="n"/>
      <c r="I48" s="33" t="n"/>
    </row>
    <row r="49" ht="15" customHeight="1">
      <c r="A49" s="24" t="n"/>
      <c r="B49" s="18" t="n"/>
      <c r="C49" s="30" t="n"/>
      <c r="D49" s="30" t="n"/>
      <c r="E49" s="30" t="n"/>
      <c r="F49" s="30" t="n"/>
      <c r="G49" s="30" t="n"/>
      <c r="H49" s="30" t="n"/>
      <c r="I49" s="33" t="n"/>
    </row>
    <row r="50" ht="15" customHeight="1">
      <c r="A50" s="24" t="n"/>
      <c r="B50" s="18" t="n"/>
      <c r="C50" s="30" t="n"/>
      <c r="D50" s="30" t="n"/>
      <c r="E50" s="30" t="n"/>
      <c r="F50" s="30" t="n"/>
      <c r="G50" s="30" t="n"/>
      <c r="H50" s="30" t="n"/>
      <c r="I50" s="33" t="n"/>
    </row>
    <row r="51" ht="15" customHeight="1">
      <c r="A51" s="24" t="n"/>
      <c r="B51" s="18" t="n"/>
      <c r="C51" s="30" t="n"/>
      <c r="D51" s="30" t="n"/>
      <c r="E51" s="30" t="n"/>
      <c r="F51" s="30" t="n"/>
      <c r="G51" s="30" t="n"/>
      <c r="H51" s="30" t="n"/>
      <c r="I51" s="33" t="n"/>
    </row>
    <row r="52" ht="15" customHeight="1">
      <c r="A52" s="24" t="n"/>
      <c r="B52" s="18" t="n"/>
      <c r="C52" s="30" t="n"/>
      <c r="D52" s="30" t="n"/>
      <c r="E52" s="30" t="n"/>
      <c r="F52" s="30" t="n"/>
      <c r="G52" s="30" t="n"/>
      <c r="H52" s="30" t="n"/>
      <c r="I52" s="33" t="n"/>
    </row>
    <row r="53" ht="15" customHeight="1">
      <c r="A53" s="24" t="n"/>
      <c r="B53" s="18" t="n"/>
      <c r="C53" s="30" t="n"/>
      <c r="D53" s="30" t="n"/>
      <c r="E53" s="30" t="n"/>
      <c r="F53" s="30" t="n"/>
      <c r="G53" s="30" t="n"/>
      <c r="H53" s="30" t="n"/>
      <c r="I53" s="33" t="n"/>
    </row>
    <row r="54" ht="15" customHeight="1">
      <c r="A54" s="24" t="n"/>
      <c r="B54" s="18" t="n"/>
      <c r="C54" s="30" t="n"/>
      <c r="D54" s="30" t="n"/>
      <c r="E54" s="30" t="n"/>
      <c r="F54" s="30" t="n"/>
      <c r="G54" s="30" t="n"/>
      <c r="H54" s="30" t="n"/>
      <c r="I54" s="33" t="n"/>
    </row>
    <row r="55" ht="15" customHeight="1">
      <c r="A55" s="24" t="n"/>
      <c r="B55" s="18" t="n"/>
      <c r="C55" s="30" t="n"/>
      <c r="D55" s="30" t="n"/>
      <c r="E55" s="30" t="n"/>
      <c r="F55" s="30" t="n"/>
      <c r="G55" s="30" t="n"/>
      <c r="H55" s="30" t="n"/>
      <c r="I55" s="33" t="n"/>
    </row>
    <row r="56" ht="15" customHeight="1">
      <c r="A56" s="24" t="n"/>
      <c r="B56" s="18" t="n"/>
      <c r="C56" s="30" t="n"/>
      <c r="D56" s="30" t="n"/>
      <c r="E56" s="30" t="n"/>
      <c r="F56" s="30" t="n"/>
      <c r="G56" s="30" t="n"/>
      <c r="H56" s="30" t="n"/>
      <c r="I56" s="33" t="n"/>
    </row>
    <row r="57" ht="15" customHeight="1">
      <c r="A57" s="24" t="n"/>
      <c r="B57" s="18" t="n"/>
      <c r="C57" s="30" t="n"/>
      <c r="D57" s="30" t="n"/>
      <c r="E57" s="30" t="n"/>
      <c r="F57" s="30" t="n"/>
      <c r="G57" s="30" t="n"/>
      <c r="H57" s="30" t="n"/>
      <c r="I57" s="33" t="n"/>
    </row>
    <row r="58" ht="15" customHeight="1">
      <c r="A58" s="24" t="n"/>
      <c r="B58" s="18" t="n"/>
      <c r="C58" s="30" t="n"/>
      <c r="D58" s="30" t="n"/>
      <c r="E58" s="30" t="n"/>
      <c r="F58" s="30" t="n"/>
      <c r="G58" s="30" t="n"/>
      <c r="H58" s="30" t="n"/>
      <c r="I58" s="33" t="n"/>
    </row>
    <row r="59" ht="15" customHeight="1">
      <c r="A59" s="24" t="n"/>
      <c r="B59" s="18" t="n"/>
      <c r="C59" s="30" t="n"/>
      <c r="D59" s="30" t="n"/>
      <c r="E59" s="30" t="n"/>
      <c r="F59" s="30" t="n"/>
      <c r="G59" s="30" t="n"/>
      <c r="H59" s="30" t="n"/>
      <c r="I59" s="33" t="n"/>
    </row>
    <row r="60" ht="15" customHeight="1">
      <c r="A60" s="24" t="n"/>
      <c r="B60" s="18" t="n"/>
      <c r="C60" s="30" t="n"/>
      <c r="D60" s="30" t="n"/>
      <c r="E60" s="30" t="n"/>
      <c r="F60" s="30" t="n"/>
      <c r="G60" s="30" t="n"/>
      <c r="H60" s="30" t="n"/>
      <c r="I60" s="33" t="n"/>
    </row>
    <row r="61" ht="15" customHeight="1">
      <c r="A61" s="24" t="n"/>
      <c r="B61" s="18" t="n"/>
      <c r="C61" s="30" t="n"/>
      <c r="D61" s="30" t="n"/>
      <c r="E61" s="30" t="n"/>
      <c r="F61" s="30" t="n"/>
      <c r="G61" s="30" t="n"/>
      <c r="H61" s="30" t="n"/>
      <c r="I61" s="33" t="n"/>
    </row>
    <row r="62" ht="15" customHeight="1">
      <c r="A62" s="24" t="n"/>
      <c r="B62" s="18" t="n"/>
      <c r="C62" s="30" t="n"/>
      <c r="D62" s="30" t="n"/>
      <c r="E62" s="30" t="n"/>
      <c r="F62" s="30" t="n"/>
      <c r="G62" s="30" t="n"/>
      <c r="H62" s="30" t="n"/>
      <c r="I62" s="33" t="n"/>
    </row>
    <row r="63" ht="15" customHeight="1">
      <c r="A63" s="24" t="n"/>
      <c r="B63" s="18" t="n"/>
      <c r="C63" s="30" t="n"/>
      <c r="D63" s="30" t="n"/>
      <c r="E63" s="30" t="n"/>
      <c r="F63" s="30" t="n"/>
      <c r="G63" s="30" t="n"/>
      <c r="H63" s="30" t="n"/>
      <c r="I63" s="33" t="n"/>
    </row>
    <row r="64" ht="15" customHeight="1">
      <c r="A64" s="24" t="n"/>
      <c r="B64" s="18" t="n"/>
      <c r="C64" s="30" t="n"/>
      <c r="D64" s="30" t="n"/>
      <c r="E64" s="30" t="n"/>
      <c r="F64" s="30" t="n"/>
      <c r="G64" s="30" t="n"/>
      <c r="H64" s="30" t="n"/>
      <c r="I64" s="33" t="n"/>
    </row>
    <row r="65" ht="15" customHeight="1">
      <c r="A65" s="24" t="n"/>
      <c r="B65" s="18" t="n"/>
      <c r="C65" s="30" t="n"/>
      <c r="D65" s="30" t="n"/>
      <c r="E65" s="30" t="n"/>
      <c r="F65" s="30" t="n"/>
      <c r="G65" s="30" t="n"/>
      <c r="H65" s="30" t="n"/>
      <c r="I65" s="33" t="n"/>
    </row>
    <row r="66" ht="15" customHeight="1">
      <c r="A66" s="24" t="n"/>
      <c r="B66" s="18" t="n"/>
      <c r="C66" s="30" t="n"/>
      <c r="D66" s="30" t="n"/>
      <c r="E66" s="30" t="n"/>
      <c r="F66" s="30" t="n"/>
      <c r="G66" s="30" t="n"/>
      <c r="H66" s="30" t="n"/>
      <c r="I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203864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</cols>
  <sheetData>
    <row r="1" ht="26" customHeight="1">
      <c r="A1" s="1" t="inlineStr">
        <is>
          <t>RECON PHYSICAL</t>
        </is>
      </c>
    </row>
    <row r="2">
      <c r="A2" s="2" t="inlineStr">
        <is>
          <t>Est. inicial + compras - consumo - perdas +/- transf = est. final esperado; comparar com real.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MATERIAL_ID</t>
        </is>
      </c>
      <c r="B6" s="5" t="inlineStr">
        <is>
          <t>Est. inicial t</t>
        </is>
      </c>
      <c r="C6" s="5" t="inlineStr">
        <is>
          <t>Compras t</t>
        </is>
      </c>
      <c r="D6" s="5" t="inlineStr">
        <is>
          <t>Consumo t</t>
        </is>
      </c>
      <c r="E6" s="5" t="inlineStr">
        <is>
          <t>Perdas t</t>
        </is>
      </c>
      <c r="F6" s="5" t="inlineStr">
        <is>
          <t>Transf t</t>
        </is>
      </c>
      <c r="G6" s="5" t="inlineStr">
        <is>
          <t>Est. final esperado t</t>
        </is>
      </c>
      <c r="H6" s="5" t="inlineStr">
        <is>
          <t>Est. final real t</t>
        </is>
      </c>
      <c r="I6" s="5" t="inlineStr">
        <is>
          <t>Diferenca t</t>
        </is>
      </c>
    </row>
    <row r="7" ht="15" customHeight="1">
      <c r="A7" s="24" t="inlineStr">
        <is>
          <t>M001</t>
        </is>
      </c>
      <c r="B7" s="30" t="n">
        <v>100</v>
      </c>
      <c r="C7" s="30" t="n">
        <v>30</v>
      </c>
      <c r="D7" s="30" t="n">
        <v>90.15000000000001</v>
      </c>
      <c r="E7" s="30" t="n">
        <v>0</v>
      </c>
      <c r="F7" s="30" t="n">
        <v>0</v>
      </c>
      <c r="G7" s="33">
        <f>B7+C7-D7-E7+F7</f>
        <v/>
      </c>
      <c r="H7" s="30" t="n">
        <v>39.85</v>
      </c>
      <c r="I7" s="33">
        <f>H7-G7</f>
        <v/>
      </c>
    </row>
    <row r="8" ht="15" customHeight="1">
      <c r="A8" s="24" t="n"/>
      <c r="B8" s="30" t="n"/>
      <c r="C8" s="30" t="n"/>
      <c r="D8" s="30" t="n"/>
      <c r="E8" s="30" t="n"/>
      <c r="F8" s="30" t="n"/>
      <c r="G8" s="33" t="n"/>
      <c r="H8" s="30" t="n"/>
      <c r="I8" s="33" t="n"/>
    </row>
    <row r="9" ht="15" customHeight="1">
      <c r="A9" s="27" t="inlineStr">
        <is>
          <t>^ Linhas acima = dados DEMO (marcados). Abaixo: campos de entrada em branco para dados reais.</t>
        </is>
      </c>
      <c r="B9" s="30" t="n"/>
      <c r="C9" s="30" t="n"/>
      <c r="D9" s="30" t="n"/>
      <c r="E9" s="30" t="n"/>
      <c r="F9" s="30" t="n"/>
      <c r="G9" s="33" t="n"/>
      <c r="H9" s="30" t="n"/>
      <c r="I9" s="33" t="n"/>
    </row>
    <row r="10" ht="15" customHeight="1">
      <c r="A10" s="24" t="n"/>
      <c r="B10" s="30" t="n"/>
      <c r="C10" s="30" t="n"/>
      <c r="D10" s="30" t="n"/>
      <c r="E10" s="30" t="n"/>
      <c r="F10" s="30" t="n"/>
      <c r="G10" s="33" t="n"/>
      <c r="H10" s="30" t="n"/>
      <c r="I10" s="33" t="n"/>
    </row>
    <row r="11" ht="15" customHeight="1">
      <c r="A11" s="24" t="n"/>
      <c r="B11" s="30" t="n"/>
      <c r="C11" s="30" t="n"/>
      <c r="D11" s="30" t="n"/>
      <c r="E11" s="30" t="n"/>
      <c r="F11" s="30" t="n"/>
      <c r="G11" s="33" t="n"/>
      <c r="H11" s="30" t="n"/>
      <c r="I11" s="33" t="n"/>
    </row>
    <row r="12" ht="15" customHeight="1">
      <c r="A12" s="24" t="n"/>
      <c r="B12" s="30" t="n"/>
      <c r="C12" s="30" t="n"/>
      <c r="D12" s="30" t="n"/>
      <c r="E12" s="30" t="n"/>
      <c r="F12" s="30" t="n"/>
      <c r="G12" s="33" t="n"/>
      <c r="H12" s="30" t="n"/>
      <c r="I12" s="33" t="n"/>
    </row>
    <row r="13" ht="15" customHeight="1">
      <c r="A13" s="24" t="n"/>
      <c r="B13" s="30" t="n"/>
      <c r="C13" s="30" t="n"/>
      <c r="D13" s="30" t="n"/>
      <c r="E13" s="30" t="n"/>
      <c r="F13" s="30" t="n"/>
      <c r="G13" s="33" t="n"/>
      <c r="H13" s="30" t="n"/>
      <c r="I13" s="33" t="n"/>
    </row>
    <row r="14" ht="15" customHeight="1">
      <c r="A14" s="24" t="n"/>
      <c r="B14" s="30" t="n"/>
      <c r="C14" s="30" t="n"/>
      <c r="D14" s="30" t="n"/>
      <c r="E14" s="30" t="n"/>
      <c r="F14" s="30" t="n"/>
      <c r="G14" s="33" t="n"/>
      <c r="H14" s="30" t="n"/>
      <c r="I14" s="33" t="n"/>
    </row>
    <row r="15" ht="15" customHeight="1">
      <c r="A15" s="24" t="n"/>
      <c r="B15" s="30" t="n"/>
      <c r="C15" s="30" t="n"/>
      <c r="D15" s="30" t="n"/>
      <c r="E15" s="30" t="n"/>
      <c r="F15" s="30" t="n"/>
      <c r="G15" s="33" t="n"/>
      <c r="H15" s="30" t="n"/>
      <c r="I15" s="33" t="n"/>
    </row>
    <row r="16" ht="15" customHeight="1">
      <c r="A16" s="24" t="n"/>
      <c r="B16" s="30" t="n"/>
      <c r="C16" s="30" t="n"/>
      <c r="D16" s="30" t="n"/>
      <c r="E16" s="30" t="n"/>
      <c r="F16" s="30" t="n"/>
      <c r="G16" s="33" t="n"/>
      <c r="H16" s="30" t="n"/>
      <c r="I16" s="33" t="n"/>
    </row>
    <row r="17" ht="15" customHeight="1">
      <c r="A17" s="24" t="n"/>
      <c r="B17" s="30" t="n"/>
      <c r="C17" s="30" t="n"/>
      <c r="D17" s="30" t="n"/>
      <c r="E17" s="30" t="n"/>
      <c r="F17" s="30" t="n"/>
      <c r="G17" s="33" t="n"/>
      <c r="H17" s="30" t="n"/>
      <c r="I17" s="33" t="n"/>
    </row>
    <row r="18" ht="15" customHeight="1">
      <c r="A18" s="24" t="n"/>
      <c r="B18" s="30" t="n"/>
      <c r="C18" s="30" t="n"/>
      <c r="D18" s="30" t="n"/>
      <c r="E18" s="30" t="n"/>
      <c r="F18" s="30" t="n"/>
      <c r="G18" s="33" t="n"/>
      <c r="H18" s="30" t="n"/>
      <c r="I18" s="33" t="n"/>
    </row>
    <row r="19" ht="15" customHeight="1">
      <c r="A19" s="24" t="n"/>
      <c r="B19" s="30" t="n"/>
      <c r="C19" s="30" t="n"/>
      <c r="D19" s="30" t="n"/>
      <c r="E19" s="30" t="n"/>
      <c r="F19" s="30" t="n"/>
      <c r="G19" s="33" t="n"/>
      <c r="H19" s="30" t="n"/>
      <c r="I19" s="33" t="n"/>
    </row>
    <row r="20" ht="15" customHeight="1">
      <c r="A20" s="24" t="n"/>
      <c r="B20" s="30" t="n"/>
      <c r="C20" s="30" t="n"/>
      <c r="D20" s="30" t="n"/>
      <c r="E20" s="30" t="n"/>
      <c r="F20" s="30" t="n"/>
      <c r="G20" s="33" t="n"/>
      <c r="H20" s="30" t="n"/>
      <c r="I20" s="33" t="n"/>
    </row>
    <row r="21" ht="15" customHeight="1">
      <c r="A21" s="24" t="n"/>
      <c r="B21" s="30" t="n"/>
      <c r="C21" s="30" t="n"/>
      <c r="D21" s="30" t="n"/>
      <c r="E21" s="30" t="n"/>
      <c r="F21" s="30" t="n"/>
      <c r="G21" s="33" t="n"/>
      <c r="H21" s="30" t="n"/>
      <c r="I21" s="33" t="n"/>
    </row>
    <row r="22" ht="15" customHeight="1">
      <c r="A22" s="24" t="n"/>
      <c r="B22" s="30" t="n"/>
      <c r="C22" s="30" t="n"/>
      <c r="D22" s="30" t="n"/>
      <c r="E22" s="30" t="n"/>
      <c r="F22" s="30" t="n"/>
      <c r="G22" s="33" t="n"/>
      <c r="H22" s="30" t="n"/>
      <c r="I22" s="33" t="n"/>
    </row>
    <row r="23" ht="15" customHeight="1">
      <c r="A23" s="24" t="n"/>
      <c r="B23" s="30" t="n"/>
      <c r="C23" s="30" t="n"/>
      <c r="D23" s="30" t="n"/>
      <c r="E23" s="30" t="n"/>
      <c r="F23" s="30" t="n"/>
      <c r="G23" s="33" t="n"/>
      <c r="H23" s="30" t="n"/>
      <c r="I23" s="33" t="n"/>
    </row>
    <row r="24" ht="15" customHeight="1">
      <c r="A24" s="24" t="n"/>
      <c r="B24" s="30" t="n"/>
      <c r="C24" s="30" t="n"/>
      <c r="D24" s="30" t="n"/>
      <c r="E24" s="30" t="n"/>
      <c r="F24" s="30" t="n"/>
      <c r="G24" s="33" t="n"/>
      <c r="H24" s="30" t="n"/>
      <c r="I24" s="33" t="n"/>
    </row>
    <row r="25" ht="15" customHeight="1">
      <c r="A25" s="24" t="n"/>
      <c r="B25" s="30" t="n"/>
      <c r="C25" s="30" t="n"/>
      <c r="D25" s="30" t="n"/>
      <c r="E25" s="30" t="n"/>
      <c r="F25" s="30" t="n"/>
      <c r="G25" s="33" t="n"/>
      <c r="H25" s="30" t="n"/>
      <c r="I25" s="33" t="n"/>
    </row>
    <row r="26" ht="15" customHeight="1">
      <c r="A26" s="24" t="n"/>
      <c r="B26" s="30" t="n"/>
      <c r="C26" s="30" t="n"/>
      <c r="D26" s="30" t="n"/>
      <c r="E26" s="30" t="n"/>
      <c r="F26" s="30" t="n"/>
      <c r="G26" s="33" t="n"/>
      <c r="H26" s="30" t="n"/>
      <c r="I26" s="33" t="n"/>
    </row>
    <row r="27" ht="15" customHeight="1">
      <c r="A27" s="24" t="n"/>
      <c r="B27" s="30" t="n"/>
      <c r="C27" s="30" t="n"/>
      <c r="D27" s="30" t="n"/>
      <c r="E27" s="30" t="n"/>
      <c r="F27" s="30" t="n"/>
      <c r="G27" s="33" t="n"/>
      <c r="H27" s="30" t="n"/>
      <c r="I27" s="33" t="n"/>
    </row>
    <row r="28" ht="15" customHeight="1">
      <c r="A28" s="24" t="n"/>
      <c r="B28" s="30" t="n"/>
      <c r="C28" s="30" t="n"/>
      <c r="D28" s="30" t="n"/>
      <c r="E28" s="30" t="n"/>
      <c r="F28" s="30" t="n"/>
      <c r="G28" s="33" t="n"/>
      <c r="H28" s="30" t="n"/>
      <c r="I28" s="33" t="n"/>
    </row>
    <row r="29" ht="15" customHeight="1">
      <c r="A29" s="24" t="n"/>
      <c r="B29" s="30" t="n"/>
      <c r="C29" s="30" t="n"/>
      <c r="D29" s="30" t="n"/>
      <c r="E29" s="30" t="n"/>
      <c r="F29" s="30" t="n"/>
      <c r="G29" s="33" t="n"/>
      <c r="H29" s="30" t="n"/>
      <c r="I29" s="33" t="n"/>
    </row>
    <row r="30" ht="15" customHeight="1">
      <c r="A30" s="24" t="n"/>
      <c r="B30" s="30" t="n"/>
      <c r="C30" s="30" t="n"/>
      <c r="D30" s="30" t="n"/>
      <c r="E30" s="30" t="n"/>
      <c r="F30" s="30" t="n"/>
      <c r="G30" s="33" t="n"/>
      <c r="H30" s="30" t="n"/>
      <c r="I30" s="33" t="n"/>
    </row>
    <row r="31" ht="15" customHeight="1">
      <c r="A31" s="24" t="n"/>
      <c r="B31" s="30" t="n"/>
      <c r="C31" s="30" t="n"/>
      <c r="D31" s="30" t="n"/>
      <c r="E31" s="30" t="n"/>
      <c r="F31" s="30" t="n"/>
      <c r="G31" s="33" t="n"/>
      <c r="H31" s="30" t="n"/>
      <c r="I31" s="33" t="n"/>
    </row>
    <row r="32" ht="15" customHeight="1">
      <c r="A32" s="24" t="n"/>
      <c r="B32" s="30" t="n"/>
      <c r="C32" s="30" t="n"/>
      <c r="D32" s="30" t="n"/>
      <c r="E32" s="30" t="n"/>
      <c r="F32" s="30" t="n"/>
      <c r="G32" s="33" t="n"/>
      <c r="H32" s="30" t="n"/>
      <c r="I32" s="33" t="n"/>
    </row>
    <row r="33" ht="15" customHeight="1">
      <c r="A33" s="24" t="n"/>
      <c r="B33" s="30" t="n"/>
      <c r="C33" s="30" t="n"/>
      <c r="D33" s="30" t="n"/>
      <c r="E33" s="30" t="n"/>
      <c r="F33" s="30" t="n"/>
      <c r="G33" s="33" t="n"/>
      <c r="H33" s="30" t="n"/>
      <c r="I33" s="33" t="n"/>
    </row>
    <row r="34" ht="15" customHeight="1">
      <c r="A34" s="24" t="n"/>
      <c r="B34" s="30" t="n"/>
      <c r="C34" s="30" t="n"/>
      <c r="D34" s="30" t="n"/>
      <c r="E34" s="30" t="n"/>
      <c r="F34" s="30" t="n"/>
      <c r="G34" s="33" t="n"/>
      <c r="H34" s="30" t="n"/>
      <c r="I34" s="33" t="n"/>
    </row>
    <row r="35" ht="15" customHeight="1">
      <c r="A35" s="24" t="n"/>
      <c r="B35" s="30" t="n"/>
      <c r="C35" s="30" t="n"/>
      <c r="D35" s="30" t="n"/>
      <c r="E35" s="30" t="n"/>
      <c r="F35" s="30" t="n"/>
      <c r="G35" s="33" t="n"/>
      <c r="H35" s="30" t="n"/>
      <c r="I35" s="33" t="n"/>
    </row>
    <row r="36" ht="15" customHeight="1">
      <c r="A36" s="24" t="n"/>
      <c r="B36" s="30" t="n"/>
      <c r="C36" s="30" t="n"/>
      <c r="D36" s="30" t="n"/>
      <c r="E36" s="30" t="n"/>
      <c r="F36" s="30" t="n"/>
      <c r="G36" s="33" t="n"/>
      <c r="H36" s="30" t="n"/>
      <c r="I36" s="33" t="n"/>
    </row>
    <row r="37" ht="15" customHeight="1">
      <c r="A37" s="24" t="n"/>
      <c r="B37" s="30" t="n"/>
      <c r="C37" s="30" t="n"/>
      <c r="D37" s="30" t="n"/>
      <c r="E37" s="30" t="n"/>
      <c r="F37" s="30" t="n"/>
      <c r="G37" s="33" t="n"/>
      <c r="H37" s="30" t="n"/>
      <c r="I37" s="33" t="n"/>
    </row>
    <row r="38" ht="15" customHeight="1">
      <c r="A38" s="24" t="n"/>
      <c r="B38" s="30" t="n"/>
      <c r="C38" s="30" t="n"/>
      <c r="D38" s="30" t="n"/>
      <c r="E38" s="30" t="n"/>
      <c r="F38" s="30" t="n"/>
      <c r="G38" s="33" t="n"/>
      <c r="H38" s="30" t="n"/>
      <c r="I38" s="33" t="n"/>
    </row>
    <row r="39" ht="15" customHeight="1">
      <c r="A39" s="24" t="n"/>
      <c r="B39" s="30" t="n"/>
      <c r="C39" s="30" t="n"/>
      <c r="D39" s="30" t="n"/>
      <c r="E39" s="30" t="n"/>
      <c r="F39" s="30" t="n"/>
      <c r="G39" s="33" t="n"/>
      <c r="H39" s="30" t="n"/>
      <c r="I39" s="33" t="n"/>
    </row>
    <row r="40" ht="15" customHeight="1">
      <c r="A40" s="24" t="n"/>
      <c r="B40" s="30" t="n"/>
      <c r="C40" s="30" t="n"/>
      <c r="D40" s="30" t="n"/>
      <c r="E40" s="30" t="n"/>
      <c r="F40" s="30" t="n"/>
      <c r="G40" s="33" t="n"/>
      <c r="H40" s="30" t="n"/>
      <c r="I40" s="33" t="n"/>
    </row>
    <row r="41" ht="15" customHeight="1">
      <c r="A41" s="24" t="n"/>
      <c r="B41" s="30" t="n"/>
      <c r="C41" s="30" t="n"/>
      <c r="D41" s="30" t="n"/>
      <c r="E41" s="30" t="n"/>
      <c r="F41" s="30" t="n"/>
      <c r="G41" s="33" t="n"/>
      <c r="H41" s="30" t="n"/>
      <c r="I41" s="33" t="n"/>
    </row>
    <row r="42" ht="15" customHeight="1">
      <c r="A42" s="24" t="n"/>
      <c r="B42" s="30" t="n"/>
      <c r="C42" s="30" t="n"/>
      <c r="D42" s="30" t="n"/>
      <c r="E42" s="30" t="n"/>
      <c r="F42" s="30" t="n"/>
      <c r="G42" s="33" t="n"/>
      <c r="H42" s="30" t="n"/>
      <c r="I42" s="33" t="n"/>
    </row>
    <row r="43" ht="15" customHeight="1">
      <c r="A43" s="24" t="n"/>
      <c r="B43" s="30" t="n"/>
      <c r="C43" s="30" t="n"/>
      <c r="D43" s="30" t="n"/>
      <c r="E43" s="30" t="n"/>
      <c r="F43" s="30" t="n"/>
      <c r="G43" s="33" t="n"/>
      <c r="H43" s="30" t="n"/>
      <c r="I43" s="33" t="n"/>
    </row>
    <row r="44" ht="15" customHeight="1">
      <c r="A44" s="24" t="n"/>
      <c r="B44" s="30" t="n"/>
      <c r="C44" s="30" t="n"/>
      <c r="D44" s="30" t="n"/>
      <c r="E44" s="30" t="n"/>
      <c r="F44" s="30" t="n"/>
      <c r="G44" s="33" t="n"/>
      <c r="H44" s="30" t="n"/>
      <c r="I44" s="33" t="n"/>
    </row>
    <row r="45" ht="15" customHeight="1">
      <c r="A45" s="24" t="n"/>
      <c r="B45" s="30" t="n"/>
      <c r="C45" s="30" t="n"/>
      <c r="D45" s="30" t="n"/>
      <c r="E45" s="30" t="n"/>
      <c r="F45" s="30" t="n"/>
      <c r="G45" s="33" t="n"/>
      <c r="H45" s="30" t="n"/>
      <c r="I45" s="33" t="n"/>
    </row>
    <row r="46" ht="15" customHeight="1">
      <c r="A46" s="24" t="n"/>
      <c r="B46" s="30" t="n"/>
      <c r="C46" s="30" t="n"/>
      <c r="D46" s="30" t="n"/>
      <c r="E46" s="30" t="n"/>
      <c r="F46" s="30" t="n"/>
      <c r="G46" s="33" t="n"/>
      <c r="H46" s="30" t="n"/>
      <c r="I46" s="33" t="n"/>
    </row>
    <row r="47" ht="15" customHeight="1">
      <c r="A47" s="24" t="n"/>
      <c r="B47" s="30" t="n"/>
      <c r="C47" s="30" t="n"/>
      <c r="D47" s="30" t="n"/>
      <c r="E47" s="30" t="n"/>
      <c r="F47" s="30" t="n"/>
      <c r="G47" s="33" t="n"/>
      <c r="H47" s="30" t="n"/>
      <c r="I47" s="33" t="n"/>
    </row>
    <row r="48" ht="15" customHeight="1">
      <c r="A48" s="24" t="n"/>
      <c r="B48" s="30" t="n"/>
      <c r="C48" s="30" t="n"/>
      <c r="D48" s="30" t="n"/>
      <c r="E48" s="30" t="n"/>
      <c r="F48" s="30" t="n"/>
      <c r="G48" s="33" t="n"/>
      <c r="H48" s="30" t="n"/>
      <c r="I48" s="33" t="n"/>
    </row>
    <row r="49" ht="15" customHeight="1">
      <c r="A49" s="24" t="n"/>
      <c r="B49" s="30" t="n"/>
      <c r="C49" s="30" t="n"/>
      <c r="D49" s="30" t="n"/>
      <c r="E49" s="30" t="n"/>
      <c r="F49" s="30" t="n"/>
      <c r="G49" s="33" t="n"/>
      <c r="H49" s="30" t="n"/>
      <c r="I49" s="33" t="n"/>
    </row>
    <row r="50" ht="15" customHeight="1">
      <c r="A50" s="24" t="n"/>
      <c r="B50" s="30" t="n"/>
      <c r="C50" s="30" t="n"/>
      <c r="D50" s="30" t="n"/>
      <c r="E50" s="30" t="n"/>
      <c r="F50" s="30" t="n"/>
      <c r="G50" s="33" t="n"/>
      <c r="H50" s="30" t="n"/>
      <c r="I50" s="33" t="n"/>
    </row>
    <row r="51" ht="15" customHeight="1">
      <c r="A51" s="24" t="n"/>
      <c r="B51" s="30" t="n"/>
      <c r="C51" s="30" t="n"/>
      <c r="D51" s="30" t="n"/>
      <c r="E51" s="30" t="n"/>
      <c r="F51" s="30" t="n"/>
      <c r="G51" s="33" t="n"/>
      <c r="H51" s="30" t="n"/>
      <c r="I51" s="33" t="n"/>
    </row>
    <row r="52" ht="15" customHeight="1">
      <c r="A52" s="24" t="n"/>
      <c r="B52" s="30" t="n"/>
      <c r="C52" s="30" t="n"/>
      <c r="D52" s="30" t="n"/>
      <c r="E52" s="30" t="n"/>
      <c r="F52" s="30" t="n"/>
      <c r="G52" s="33" t="n"/>
      <c r="H52" s="30" t="n"/>
      <c r="I52" s="33" t="n"/>
    </row>
    <row r="53" ht="15" customHeight="1">
      <c r="A53" s="24" t="n"/>
      <c r="B53" s="30" t="n"/>
      <c r="C53" s="30" t="n"/>
      <c r="D53" s="30" t="n"/>
      <c r="E53" s="30" t="n"/>
      <c r="F53" s="30" t="n"/>
      <c r="G53" s="33" t="n"/>
      <c r="H53" s="30" t="n"/>
      <c r="I53" s="33" t="n"/>
    </row>
    <row r="54" ht="15" customHeight="1">
      <c r="A54" s="24" t="n"/>
      <c r="B54" s="30" t="n"/>
      <c r="C54" s="30" t="n"/>
      <c r="D54" s="30" t="n"/>
      <c r="E54" s="30" t="n"/>
      <c r="F54" s="30" t="n"/>
      <c r="G54" s="33" t="n"/>
      <c r="H54" s="30" t="n"/>
      <c r="I54" s="33" t="n"/>
    </row>
    <row r="55" ht="15" customHeight="1">
      <c r="A55" s="24" t="n"/>
      <c r="B55" s="30" t="n"/>
      <c r="C55" s="30" t="n"/>
      <c r="D55" s="30" t="n"/>
      <c r="E55" s="30" t="n"/>
      <c r="F55" s="30" t="n"/>
      <c r="G55" s="33" t="n"/>
      <c r="H55" s="30" t="n"/>
      <c r="I55" s="33" t="n"/>
    </row>
    <row r="56" ht="15" customHeight="1">
      <c r="A56" s="24" t="n"/>
      <c r="B56" s="30" t="n"/>
      <c r="C56" s="30" t="n"/>
      <c r="D56" s="30" t="n"/>
      <c r="E56" s="30" t="n"/>
      <c r="F56" s="30" t="n"/>
      <c r="G56" s="33" t="n"/>
      <c r="H56" s="30" t="n"/>
      <c r="I56" s="33" t="n"/>
    </row>
    <row r="57" ht="15" customHeight="1">
      <c r="A57" s="24" t="n"/>
      <c r="B57" s="30" t="n"/>
      <c r="C57" s="30" t="n"/>
      <c r="D57" s="30" t="n"/>
      <c r="E57" s="30" t="n"/>
      <c r="F57" s="30" t="n"/>
      <c r="G57" s="33" t="n"/>
      <c r="H57" s="30" t="n"/>
      <c r="I57" s="33" t="n"/>
    </row>
    <row r="58" ht="15" customHeight="1">
      <c r="A58" s="24" t="n"/>
      <c r="B58" s="30" t="n"/>
      <c r="C58" s="30" t="n"/>
      <c r="D58" s="30" t="n"/>
      <c r="E58" s="30" t="n"/>
      <c r="F58" s="30" t="n"/>
      <c r="G58" s="33" t="n"/>
      <c r="H58" s="30" t="n"/>
      <c r="I58" s="33" t="n"/>
    </row>
    <row r="59" ht="15" customHeight="1">
      <c r="A59" s="24" t="n"/>
      <c r="B59" s="30" t="n"/>
      <c r="C59" s="30" t="n"/>
      <c r="D59" s="30" t="n"/>
      <c r="E59" s="30" t="n"/>
      <c r="F59" s="30" t="n"/>
      <c r="G59" s="33" t="n"/>
      <c r="H59" s="30" t="n"/>
      <c r="I59" s="33" t="n"/>
    </row>
    <row r="60" ht="15" customHeight="1">
      <c r="A60" s="24" t="n"/>
      <c r="B60" s="30" t="n"/>
      <c r="C60" s="30" t="n"/>
      <c r="D60" s="30" t="n"/>
      <c r="E60" s="30" t="n"/>
      <c r="F60" s="30" t="n"/>
      <c r="G60" s="33" t="n"/>
      <c r="H60" s="30" t="n"/>
      <c r="I60" s="33" t="n"/>
    </row>
    <row r="61" ht="15" customHeight="1">
      <c r="A61" s="24" t="n"/>
      <c r="B61" s="30" t="n"/>
      <c r="C61" s="30" t="n"/>
      <c r="D61" s="30" t="n"/>
      <c r="E61" s="30" t="n"/>
      <c r="F61" s="30" t="n"/>
      <c r="G61" s="33" t="n"/>
      <c r="H61" s="30" t="n"/>
      <c r="I61" s="33" t="n"/>
    </row>
    <row r="62" ht="15" customHeight="1">
      <c r="A62" s="24" t="n"/>
      <c r="B62" s="30" t="n"/>
      <c r="C62" s="30" t="n"/>
      <c r="D62" s="30" t="n"/>
      <c r="E62" s="30" t="n"/>
      <c r="F62" s="30" t="n"/>
      <c r="G62" s="33" t="n"/>
      <c r="H62" s="30" t="n"/>
      <c r="I62" s="33" t="n"/>
    </row>
    <row r="63" ht="15" customHeight="1">
      <c r="A63" s="24" t="n"/>
      <c r="B63" s="30" t="n"/>
      <c r="C63" s="30" t="n"/>
      <c r="D63" s="30" t="n"/>
      <c r="E63" s="30" t="n"/>
      <c r="F63" s="30" t="n"/>
      <c r="G63" s="33" t="n"/>
      <c r="H63" s="30" t="n"/>
      <c r="I63" s="33" t="n"/>
    </row>
    <row r="64" ht="15" customHeight="1">
      <c r="A64" s="24" t="n"/>
      <c r="B64" s="30" t="n"/>
      <c r="C64" s="30" t="n"/>
      <c r="D64" s="30" t="n"/>
      <c r="E64" s="30" t="n"/>
      <c r="F64" s="30" t="n"/>
      <c r="G64" s="33" t="n"/>
      <c r="H64" s="30" t="n"/>
      <c r="I64" s="33" t="n"/>
    </row>
    <row r="65" ht="15" customHeight="1">
      <c r="A65" s="24" t="n"/>
      <c r="B65" s="30" t="n"/>
      <c r="C65" s="30" t="n"/>
      <c r="D65" s="30" t="n"/>
      <c r="E65" s="30" t="n"/>
      <c r="F65" s="30" t="n"/>
      <c r="G65" s="33" t="n"/>
      <c r="H65" s="30" t="n"/>
      <c r="I65" s="33" t="n"/>
    </row>
    <row r="66" ht="15" customHeight="1">
      <c r="A66" s="24" t="n"/>
      <c r="B66" s="30" t="n"/>
      <c r="C66" s="30" t="n"/>
      <c r="D66" s="30" t="n"/>
      <c r="E66" s="30" t="n"/>
      <c r="F66" s="30" t="n"/>
      <c r="G66" s="33" t="n"/>
      <c r="H66" s="30" t="n"/>
      <c r="I66" s="33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7030A0"/>
    <outlinePr summaryBelow="1" summaryRight="1"/>
    <pageSetUpPr/>
  </sheetPr>
  <dimension ref="A1:M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6" customHeight="1">
      <c r="A1" s="1" t="inlineStr">
        <is>
          <t>COST GAP</t>
        </is>
      </c>
    </row>
    <row r="2">
      <c r="A2" s="2" t="inlineStr">
        <is>
          <t>Actual -&gt; Current Std -&gt; Best Demonstrated -&gt; Entitlement -&gt; Theoretical. Controlavel/ano = (Actual - Entitlement) x volume anual. Amarelo = input (a preencher).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1.Actual
R$/t</t>
        </is>
      </c>
      <c r="C6" s="5" t="inlineStr">
        <is>
          <t>2.Frozen Std
R$/t</t>
        </is>
      </c>
      <c r="D6" s="5" t="inlineStr">
        <is>
          <t>3.Current Std
R$/t</t>
        </is>
      </c>
      <c r="E6" s="5" t="inlineStr">
        <is>
          <t>4.Replacement
R$/t</t>
        </is>
      </c>
      <c r="F6" s="5" t="inlineStr">
        <is>
          <t>5.Best Demonstr.
R$/t</t>
        </is>
      </c>
      <c r="G6" s="5" t="inlineStr">
        <is>
          <t>6.Entitlement
R$/t</t>
        </is>
      </c>
      <c r="H6" s="5" t="inlineStr">
        <is>
          <t>7.Theoretical
R$/t</t>
        </is>
      </c>
      <c r="I6" s="5" t="inlineStr">
        <is>
          <t>Gap Act-
CurStd</t>
        </is>
      </c>
      <c r="J6" s="5" t="inlineStr">
        <is>
          <t>Gap Act-
Best</t>
        </is>
      </c>
      <c r="K6" s="5" t="inlineStr">
        <is>
          <t>Gap Act-
Entitle</t>
        </is>
      </c>
      <c r="L6" s="5" t="inlineStr">
        <is>
          <t>Vol t/ano</t>
        </is>
      </c>
      <c r="M6" s="5" t="inlineStr">
        <is>
          <t>CONTROLAVEL
R$/ano</t>
        </is>
      </c>
    </row>
    <row r="7">
      <c r="A7" s="15" t="inlineStr">
        <is>
          <t>P001</t>
        </is>
      </c>
      <c r="B7" s="31">
        <f>IFERROR(INDEX('27_ACTUAL_COST'!$H$7:$H$9,MATCH(A7,'27_ACTUAL_COST'!$A$7:$A$9,0)),0)</f>
        <v/>
      </c>
      <c r="C7" s="21" t="n"/>
      <c r="D7" s="31">
        <f>IFERROR(INDEX('26_STANDARD_COST'!$F$7:$F$9,MATCH(A7,'26_STANDARD_COST'!$A$7:$A$9,0)),0)</f>
        <v/>
      </c>
      <c r="E7" s="21" t="n"/>
      <c r="F7" s="21" t="n"/>
      <c r="G7" s="21" t="n"/>
      <c r="H7" s="21" t="n"/>
      <c r="I7" s="31">
        <f>B7-D7</f>
        <v/>
      </c>
      <c r="J7" s="31">
        <f>IF(F7="","",B7-F7)</f>
        <v/>
      </c>
      <c r="K7" s="31">
        <f>IF(G7="","",B7-G7)</f>
        <v/>
      </c>
      <c r="L7" s="20" t="n"/>
      <c r="M7" s="47">
        <f>IF(OR(G7="",L7=""),"",(B7-G7)*L7)</f>
        <v/>
      </c>
    </row>
    <row r="8">
      <c r="A8" s="15" t="inlineStr">
        <is>
          <t>P002</t>
        </is>
      </c>
      <c r="B8" s="31">
        <f>IFERROR(INDEX('27_ACTUAL_COST'!$H$7:$H$9,MATCH(A8,'27_ACTUAL_COST'!$A$7:$A$9,0)),0)</f>
        <v/>
      </c>
      <c r="C8" s="21" t="n"/>
      <c r="D8" s="31">
        <f>IFERROR(INDEX('26_STANDARD_COST'!$F$7:$F$9,MATCH(A8,'26_STANDARD_COST'!$A$7:$A$9,0)),0)</f>
        <v/>
      </c>
      <c r="E8" s="21" t="n"/>
      <c r="F8" s="21" t="n"/>
      <c r="G8" s="21" t="n"/>
      <c r="H8" s="21" t="n"/>
      <c r="I8" s="31">
        <f>B8-D8</f>
        <v/>
      </c>
      <c r="J8" s="31">
        <f>IF(F8="","",B8-F8)</f>
        <v/>
      </c>
      <c r="K8" s="31">
        <f>IF(G8="","",B8-G8)</f>
        <v/>
      </c>
      <c r="L8" s="20" t="n"/>
      <c r="M8" s="47">
        <f>IF(OR(G8="",L8=""),"",(B8-G8)*L8)</f>
        <v/>
      </c>
    </row>
    <row r="9">
      <c r="A9" s="15" t="inlineStr">
        <is>
          <t>P003</t>
        </is>
      </c>
      <c r="B9" s="31">
        <f>IFERROR(INDEX('27_ACTUAL_COST'!$H$7:$H$9,MATCH(A9,'27_ACTUAL_COST'!$A$7:$A$9,0)),0)</f>
        <v/>
      </c>
      <c r="C9" s="21" t="n"/>
      <c r="D9" s="31">
        <f>IFERROR(INDEX('26_STANDARD_COST'!$F$7:$F$9,MATCH(A9,'26_STANDARD_COST'!$A$7:$A$9,0)),0)</f>
        <v/>
      </c>
      <c r="E9" s="21" t="n"/>
      <c r="F9" s="21" t="n"/>
      <c r="G9" s="21" t="n"/>
      <c r="H9" s="21" t="n"/>
      <c r="I9" s="31">
        <f>B9-D9</f>
        <v/>
      </c>
      <c r="J9" s="31">
        <f>IF(F9="","",B9-F9)</f>
        <v/>
      </c>
      <c r="K9" s="31">
        <f>IF(G9="","",B9-G9)</f>
        <v/>
      </c>
      <c r="L9" s="20" t="n"/>
      <c r="M9" s="47">
        <f>IF(OR(G9="",L9=""),"",(B9-G9)*L9)</f>
        <v/>
      </c>
    </row>
    <row r="11">
      <c r="A11" s="2" t="inlineStr">
        <is>
          <t>Preencha Frozen Std, Replacement, Best Demonstrated, Entitlement, Theoretical e Volume (ver DATA_GAPS). Actual e Current Std sao calculados.</t>
        </is>
      </c>
    </row>
  </sheetData>
  <mergeCells count="8">
    <mergeCell ref="F4:G4"/>
    <mergeCell ref="J4:K4"/>
    <mergeCell ref="A1:M1"/>
    <mergeCell ref="L4:M4"/>
    <mergeCell ref="D4:E4"/>
    <mergeCell ref="H4:I4"/>
    <mergeCell ref="A2:M2"/>
    <mergeCell ref="B4:C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C00000"/>
    <outlinePr summaryBelow="1" summaryRight="1"/>
    <pageSetUpPr/>
  </sheetPr>
  <dimension ref="A1:S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1" customWidth="1" min="4" max="4"/>
    <col width="12" customWidth="1" min="5" max="5"/>
    <col width="12" customWidth="1" min="6" max="6"/>
    <col width="10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4" customWidth="1" min="18" max="18"/>
    <col width="11" customWidth="1" min="19" max="19"/>
  </cols>
  <sheetData>
    <row r="1" ht="26" customHeight="1">
      <c r="A1" s="1" t="inlineStr">
        <is>
          <t>SAVINGS</t>
        </is>
      </c>
    </row>
    <row r="2">
      <c r="A2" s="2" t="inlineStr">
        <is>
          <t>8 estagios: Identificado-&gt;Sustentado. So e REALIZADO com evidencia operacional E confirmacao financeira E reconciliacao (sem transferir custo, sem perder qualidade). Priority score = impacto x prob x velocidade / investimento.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SAVING_ID</t>
        </is>
      </c>
      <c r="B6" s="5" t="inlineStr">
        <is>
          <t>Causa</t>
        </is>
      </c>
      <c r="C6" s="5" t="inlineStr">
        <is>
          <t>Processo</t>
        </is>
      </c>
      <c r="D6" s="5" t="inlineStr">
        <is>
          <t>PRODUCT_ID</t>
        </is>
      </c>
      <c r="E6" s="5" t="inlineStr">
        <is>
          <t>Baseline R$/t</t>
        </is>
      </c>
      <c r="F6" s="5" t="inlineStr">
        <is>
          <t>Target R$/t</t>
        </is>
      </c>
      <c r="G6" s="5" t="inlineStr">
        <is>
          <t>Gap R$/t</t>
        </is>
      </c>
      <c r="H6" s="5" t="inlineStr">
        <is>
          <t>Volume t/ano</t>
        </is>
      </c>
      <c r="I6" s="5" t="inlineStr">
        <is>
          <t>Saving bruto R$/ano</t>
        </is>
      </c>
      <c r="J6" s="5" t="inlineStr">
        <is>
          <t>Investimento R$</t>
        </is>
      </c>
      <c r="K6" s="5" t="inlineStr">
        <is>
          <t>Custo implem. R$</t>
        </is>
      </c>
      <c r="L6" s="5" t="inlineStr">
        <is>
          <t>Saving liq. R$/ano</t>
        </is>
      </c>
      <c r="M6" s="5" t="inlineStr">
        <is>
          <t>Estagio (1-8)</t>
        </is>
      </c>
      <c r="N6" s="5" t="inlineStr">
        <is>
          <t>Evidencia oper.?</t>
        </is>
      </c>
      <c r="O6" s="5" t="inlineStr">
        <is>
          <t>Confirm. financ.?</t>
        </is>
      </c>
      <c r="P6" s="5" t="inlineStr">
        <is>
          <t>Realizado?</t>
        </is>
      </c>
      <c r="Q6" s="5" t="inlineStr">
        <is>
          <t>Priority score</t>
        </is>
      </c>
      <c r="R6" s="5" t="inlineStr">
        <is>
          <t>Responsavel</t>
        </is>
      </c>
      <c r="S6" s="5" t="inlineStr">
        <is>
          <t>Prazo</t>
        </is>
      </c>
    </row>
    <row r="7" ht="15" customHeight="1">
      <c r="A7" s="24" t="inlineStr">
        <is>
          <t>SAV-001</t>
        </is>
      </c>
      <c r="B7" s="18" t="inlineStr">
        <is>
          <t>Reduzir consumo cimento</t>
        </is>
      </c>
      <c r="C7" s="18" t="inlineStr">
        <is>
          <t>Formulacao</t>
        </is>
      </c>
      <c r="D7" s="18" t="inlineStr">
        <is>
          <t>P001</t>
        </is>
      </c>
      <c r="E7" s="30" t="n">
        <v>160</v>
      </c>
      <c r="F7" s="30" t="n">
        <v>154</v>
      </c>
      <c r="G7" s="33">
        <f>E7-F7</f>
        <v/>
      </c>
      <c r="H7" s="25" t="n">
        <v>60000</v>
      </c>
      <c r="I7" s="39">
        <f>G7*H7</f>
        <v/>
      </c>
      <c r="J7" s="30" t="n">
        <v>5000</v>
      </c>
      <c r="K7" s="30" t="n">
        <v>2000</v>
      </c>
      <c r="L7" s="39">
        <f>I7-J7-K7</f>
        <v/>
      </c>
      <c r="M7" s="18" t="inlineStr">
        <is>
          <t>3.Validado tec.</t>
        </is>
      </c>
      <c r="N7" s="18" t="inlineStr">
        <is>
          <t>Nao</t>
        </is>
      </c>
      <c r="O7" s="18" t="inlineStr">
        <is>
          <t>Nao</t>
        </is>
      </c>
      <c r="P7" s="6">
        <f>IF(AND(N7="Sim",O7="Sim"),"SIM","NAO")</f>
        <v/>
      </c>
      <c r="Q7" s="33">
        <f>IFERROR(I7/1000*0.6*3/(J7/1000+1),0)</f>
        <v/>
      </c>
      <c r="R7" s="18" t="inlineStr">
        <is>
          <t>Eng. Tecnico</t>
        </is>
      </c>
      <c r="S7" s="26" t="inlineStr">
        <is>
          <t>2026-06-30</t>
        </is>
      </c>
    </row>
    <row r="8" ht="15" customHeight="1">
      <c r="A8" s="24" t="inlineStr">
        <is>
          <t>SAV-002</t>
        </is>
      </c>
      <c r="B8" s="18" t="inlineStr">
        <is>
          <t>Reduzir ociosidade MIST2</t>
        </is>
      </c>
      <c r="C8" s="18" t="inlineStr">
        <is>
          <t>Producao</t>
        </is>
      </c>
      <c r="D8" s="18" t="inlineStr">
        <is>
          <t>P003</t>
        </is>
      </c>
      <c r="E8" s="30" t="n">
        <v>58</v>
      </c>
      <c r="F8" s="30" t="n">
        <v>52</v>
      </c>
      <c r="G8" s="33">
        <f>E8-F8</f>
        <v/>
      </c>
      <c r="H8" s="25" t="n">
        <v>8000</v>
      </c>
      <c r="I8" s="39">
        <f>G8*H8</f>
        <v/>
      </c>
      <c r="J8" s="30" t="n">
        <v>0</v>
      </c>
      <c r="K8" s="30" t="n">
        <v>500</v>
      </c>
      <c r="L8" s="39">
        <f>I8-J8-K8</f>
        <v/>
      </c>
      <c r="M8" s="18" t="inlineStr">
        <is>
          <t>2.Em analise</t>
        </is>
      </c>
      <c r="N8" s="18" t="inlineStr">
        <is>
          <t>Nao</t>
        </is>
      </c>
      <c r="O8" s="18" t="inlineStr">
        <is>
          <t>Nao</t>
        </is>
      </c>
      <c r="P8" s="6">
        <f>IF(AND(N8="Sim",O8="Sim"),"SIM","NAO")</f>
        <v/>
      </c>
      <c r="Q8" s="33">
        <f>IFERROR(I8/1000*0.5*4/(J8/1000+1),0)</f>
        <v/>
      </c>
      <c r="R8" s="18" t="inlineStr">
        <is>
          <t>Producao</t>
        </is>
      </c>
      <c r="S8" s="26" t="inlineStr">
        <is>
          <t>2026-05-31</t>
        </is>
      </c>
    </row>
    <row r="9" ht="15" customHeight="1">
      <c r="A9" s="24" t="n"/>
      <c r="B9" s="18" t="n"/>
      <c r="C9" s="18" t="n"/>
      <c r="D9" s="18" t="n"/>
      <c r="E9" s="30" t="n"/>
      <c r="F9" s="30" t="n"/>
      <c r="G9" s="33" t="n"/>
      <c r="H9" s="25" t="n"/>
      <c r="I9" s="39" t="n"/>
      <c r="J9" s="30" t="n"/>
      <c r="K9" s="30" t="n"/>
      <c r="L9" s="39" t="n"/>
      <c r="M9" s="18" t="n"/>
      <c r="N9" s="18" t="n"/>
      <c r="O9" s="18" t="n"/>
      <c r="P9" s="6" t="n"/>
      <c r="Q9" s="33" t="n"/>
      <c r="R9" s="18" t="n"/>
      <c r="S9" s="26" t="n"/>
    </row>
    <row r="10" ht="15" customHeight="1">
      <c r="A10" s="27" t="inlineStr">
        <is>
          <t>^ Linhas acima = dados DEMO (marcados). Abaixo: campos de entrada em branco para dados reais.</t>
        </is>
      </c>
      <c r="B10" s="18" t="n"/>
      <c r="C10" s="18" t="n"/>
      <c r="D10" s="18" t="n"/>
      <c r="E10" s="30" t="n"/>
      <c r="F10" s="30" t="n"/>
      <c r="G10" s="33" t="n"/>
      <c r="H10" s="25" t="n"/>
      <c r="I10" s="39" t="n"/>
      <c r="J10" s="30" t="n"/>
      <c r="K10" s="30" t="n"/>
      <c r="L10" s="39" t="n"/>
      <c r="M10" s="18" t="n"/>
      <c r="N10" s="18" t="n"/>
      <c r="O10" s="18" t="n"/>
      <c r="P10" s="6" t="n"/>
      <c r="Q10" s="33" t="n"/>
      <c r="R10" s="18" t="n"/>
      <c r="S10" s="26" t="n"/>
    </row>
    <row r="11" ht="15" customHeight="1">
      <c r="A11" s="24" t="n"/>
      <c r="B11" s="18" t="n"/>
      <c r="C11" s="18" t="n"/>
      <c r="D11" s="18" t="n"/>
      <c r="E11" s="30" t="n"/>
      <c r="F11" s="30" t="n"/>
      <c r="G11" s="33" t="n"/>
      <c r="H11" s="25" t="n"/>
      <c r="I11" s="39" t="n"/>
      <c r="J11" s="30" t="n"/>
      <c r="K11" s="30" t="n"/>
      <c r="L11" s="39" t="n"/>
      <c r="M11" s="18" t="n"/>
      <c r="N11" s="18" t="n"/>
      <c r="O11" s="18" t="n"/>
      <c r="P11" s="6" t="n"/>
      <c r="Q11" s="33" t="n"/>
      <c r="R11" s="18" t="n"/>
      <c r="S11" s="26" t="n"/>
    </row>
    <row r="12" ht="15" customHeight="1">
      <c r="A12" s="24" t="n"/>
      <c r="B12" s="18" t="n"/>
      <c r="C12" s="18" t="n"/>
      <c r="D12" s="18" t="n"/>
      <c r="E12" s="30" t="n"/>
      <c r="F12" s="30" t="n"/>
      <c r="G12" s="33" t="n"/>
      <c r="H12" s="25" t="n"/>
      <c r="I12" s="39" t="n"/>
      <c r="J12" s="30" t="n"/>
      <c r="K12" s="30" t="n"/>
      <c r="L12" s="39" t="n"/>
      <c r="M12" s="18" t="n"/>
      <c r="N12" s="18" t="n"/>
      <c r="O12" s="18" t="n"/>
      <c r="P12" s="6" t="n"/>
      <c r="Q12" s="33" t="n"/>
      <c r="R12" s="18" t="n"/>
      <c r="S12" s="26" t="n"/>
    </row>
    <row r="13" ht="15" customHeight="1">
      <c r="A13" s="24" t="n"/>
      <c r="B13" s="18" t="n"/>
      <c r="C13" s="18" t="n"/>
      <c r="D13" s="18" t="n"/>
      <c r="E13" s="30" t="n"/>
      <c r="F13" s="30" t="n"/>
      <c r="G13" s="33" t="n"/>
      <c r="H13" s="25" t="n"/>
      <c r="I13" s="39" t="n"/>
      <c r="J13" s="30" t="n"/>
      <c r="K13" s="30" t="n"/>
      <c r="L13" s="39" t="n"/>
      <c r="M13" s="18" t="n"/>
      <c r="N13" s="18" t="n"/>
      <c r="O13" s="18" t="n"/>
      <c r="P13" s="6" t="n"/>
      <c r="Q13" s="33" t="n"/>
      <c r="R13" s="18" t="n"/>
      <c r="S13" s="26" t="n"/>
    </row>
    <row r="14" ht="15" customHeight="1">
      <c r="A14" s="24" t="n"/>
      <c r="B14" s="18" t="n"/>
      <c r="C14" s="18" t="n"/>
      <c r="D14" s="18" t="n"/>
      <c r="E14" s="30" t="n"/>
      <c r="F14" s="30" t="n"/>
      <c r="G14" s="33" t="n"/>
      <c r="H14" s="25" t="n"/>
      <c r="I14" s="39" t="n"/>
      <c r="J14" s="30" t="n"/>
      <c r="K14" s="30" t="n"/>
      <c r="L14" s="39" t="n"/>
      <c r="M14" s="18" t="n"/>
      <c r="N14" s="18" t="n"/>
      <c r="O14" s="18" t="n"/>
      <c r="P14" s="6" t="n"/>
      <c r="Q14" s="33" t="n"/>
      <c r="R14" s="18" t="n"/>
      <c r="S14" s="26" t="n"/>
    </row>
    <row r="15" ht="15" customHeight="1">
      <c r="A15" s="24" t="n"/>
      <c r="B15" s="18" t="n"/>
      <c r="C15" s="18" t="n"/>
      <c r="D15" s="18" t="n"/>
      <c r="E15" s="30" t="n"/>
      <c r="F15" s="30" t="n"/>
      <c r="G15" s="33" t="n"/>
      <c r="H15" s="25" t="n"/>
      <c r="I15" s="39" t="n"/>
      <c r="J15" s="30" t="n"/>
      <c r="K15" s="30" t="n"/>
      <c r="L15" s="39" t="n"/>
      <c r="M15" s="18" t="n"/>
      <c r="N15" s="18" t="n"/>
      <c r="O15" s="18" t="n"/>
      <c r="P15" s="6" t="n"/>
      <c r="Q15" s="33" t="n"/>
      <c r="R15" s="18" t="n"/>
      <c r="S15" s="26" t="n"/>
    </row>
    <row r="16" ht="15" customHeight="1">
      <c r="A16" s="24" t="n"/>
      <c r="B16" s="18" t="n"/>
      <c r="C16" s="18" t="n"/>
      <c r="D16" s="18" t="n"/>
      <c r="E16" s="30" t="n"/>
      <c r="F16" s="30" t="n"/>
      <c r="G16" s="33" t="n"/>
      <c r="H16" s="25" t="n"/>
      <c r="I16" s="39" t="n"/>
      <c r="J16" s="30" t="n"/>
      <c r="K16" s="30" t="n"/>
      <c r="L16" s="39" t="n"/>
      <c r="M16" s="18" t="n"/>
      <c r="N16" s="18" t="n"/>
      <c r="O16" s="18" t="n"/>
      <c r="P16" s="6" t="n"/>
      <c r="Q16" s="33" t="n"/>
      <c r="R16" s="18" t="n"/>
      <c r="S16" s="26" t="n"/>
    </row>
    <row r="17" ht="15" customHeight="1">
      <c r="A17" s="24" t="n"/>
      <c r="B17" s="18" t="n"/>
      <c r="C17" s="18" t="n"/>
      <c r="D17" s="18" t="n"/>
      <c r="E17" s="30" t="n"/>
      <c r="F17" s="30" t="n"/>
      <c r="G17" s="33" t="n"/>
      <c r="H17" s="25" t="n"/>
      <c r="I17" s="39" t="n"/>
      <c r="J17" s="30" t="n"/>
      <c r="K17" s="30" t="n"/>
      <c r="L17" s="39" t="n"/>
      <c r="M17" s="18" t="n"/>
      <c r="N17" s="18" t="n"/>
      <c r="O17" s="18" t="n"/>
      <c r="P17" s="6" t="n"/>
      <c r="Q17" s="33" t="n"/>
      <c r="R17" s="18" t="n"/>
      <c r="S17" s="26" t="n"/>
    </row>
    <row r="18" ht="15" customHeight="1">
      <c r="A18" s="24" t="n"/>
      <c r="B18" s="18" t="n"/>
      <c r="C18" s="18" t="n"/>
      <c r="D18" s="18" t="n"/>
      <c r="E18" s="30" t="n"/>
      <c r="F18" s="30" t="n"/>
      <c r="G18" s="33" t="n"/>
      <c r="H18" s="25" t="n"/>
      <c r="I18" s="39" t="n"/>
      <c r="J18" s="30" t="n"/>
      <c r="K18" s="30" t="n"/>
      <c r="L18" s="39" t="n"/>
      <c r="M18" s="18" t="n"/>
      <c r="N18" s="18" t="n"/>
      <c r="O18" s="18" t="n"/>
      <c r="P18" s="6" t="n"/>
      <c r="Q18" s="33" t="n"/>
      <c r="R18" s="18" t="n"/>
      <c r="S18" s="26" t="n"/>
    </row>
    <row r="19" ht="15" customHeight="1">
      <c r="A19" s="24" t="n"/>
      <c r="B19" s="18" t="n"/>
      <c r="C19" s="18" t="n"/>
      <c r="D19" s="18" t="n"/>
      <c r="E19" s="30" t="n"/>
      <c r="F19" s="30" t="n"/>
      <c r="G19" s="33" t="n"/>
      <c r="H19" s="25" t="n"/>
      <c r="I19" s="39" t="n"/>
      <c r="J19" s="30" t="n"/>
      <c r="K19" s="30" t="n"/>
      <c r="L19" s="39" t="n"/>
      <c r="M19" s="18" t="n"/>
      <c r="N19" s="18" t="n"/>
      <c r="O19" s="18" t="n"/>
      <c r="P19" s="6" t="n"/>
      <c r="Q19" s="33" t="n"/>
      <c r="R19" s="18" t="n"/>
      <c r="S19" s="26" t="n"/>
    </row>
    <row r="20" ht="15" customHeight="1">
      <c r="A20" s="24" t="n"/>
      <c r="B20" s="18" t="n"/>
      <c r="C20" s="18" t="n"/>
      <c r="D20" s="18" t="n"/>
      <c r="E20" s="30" t="n"/>
      <c r="F20" s="30" t="n"/>
      <c r="G20" s="33" t="n"/>
      <c r="H20" s="25" t="n"/>
      <c r="I20" s="39" t="n"/>
      <c r="J20" s="30" t="n"/>
      <c r="K20" s="30" t="n"/>
      <c r="L20" s="39" t="n"/>
      <c r="M20" s="18" t="n"/>
      <c r="N20" s="18" t="n"/>
      <c r="O20" s="18" t="n"/>
      <c r="P20" s="6" t="n"/>
      <c r="Q20" s="33" t="n"/>
      <c r="R20" s="18" t="n"/>
      <c r="S20" s="26" t="n"/>
    </row>
    <row r="21" ht="15" customHeight="1">
      <c r="A21" s="24" t="n"/>
      <c r="B21" s="18" t="n"/>
      <c r="C21" s="18" t="n"/>
      <c r="D21" s="18" t="n"/>
      <c r="E21" s="30" t="n"/>
      <c r="F21" s="30" t="n"/>
      <c r="G21" s="33" t="n"/>
      <c r="H21" s="25" t="n"/>
      <c r="I21" s="39" t="n"/>
      <c r="J21" s="30" t="n"/>
      <c r="K21" s="30" t="n"/>
      <c r="L21" s="39" t="n"/>
      <c r="M21" s="18" t="n"/>
      <c r="N21" s="18" t="n"/>
      <c r="O21" s="18" t="n"/>
      <c r="P21" s="6" t="n"/>
      <c r="Q21" s="33" t="n"/>
      <c r="R21" s="18" t="n"/>
      <c r="S21" s="26" t="n"/>
    </row>
    <row r="22" ht="15" customHeight="1">
      <c r="A22" s="24" t="n"/>
      <c r="B22" s="18" t="n"/>
      <c r="C22" s="18" t="n"/>
      <c r="D22" s="18" t="n"/>
      <c r="E22" s="30" t="n"/>
      <c r="F22" s="30" t="n"/>
      <c r="G22" s="33" t="n"/>
      <c r="H22" s="25" t="n"/>
      <c r="I22" s="39" t="n"/>
      <c r="J22" s="30" t="n"/>
      <c r="K22" s="30" t="n"/>
      <c r="L22" s="39" t="n"/>
      <c r="M22" s="18" t="n"/>
      <c r="N22" s="18" t="n"/>
      <c r="O22" s="18" t="n"/>
      <c r="P22" s="6" t="n"/>
      <c r="Q22" s="33" t="n"/>
      <c r="R22" s="18" t="n"/>
      <c r="S22" s="26" t="n"/>
    </row>
    <row r="23" ht="15" customHeight="1">
      <c r="A23" s="24" t="n"/>
      <c r="B23" s="18" t="n"/>
      <c r="C23" s="18" t="n"/>
      <c r="D23" s="18" t="n"/>
      <c r="E23" s="30" t="n"/>
      <c r="F23" s="30" t="n"/>
      <c r="G23" s="33" t="n"/>
      <c r="H23" s="25" t="n"/>
      <c r="I23" s="39" t="n"/>
      <c r="J23" s="30" t="n"/>
      <c r="K23" s="30" t="n"/>
      <c r="L23" s="39" t="n"/>
      <c r="M23" s="18" t="n"/>
      <c r="N23" s="18" t="n"/>
      <c r="O23" s="18" t="n"/>
      <c r="P23" s="6" t="n"/>
      <c r="Q23" s="33" t="n"/>
      <c r="R23" s="18" t="n"/>
      <c r="S23" s="26" t="n"/>
    </row>
    <row r="24" ht="15" customHeight="1">
      <c r="A24" s="24" t="n"/>
      <c r="B24" s="18" t="n"/>
      <c r="C24" s="18" t="n"/>
      <c r="D24" s="18" t="n"/>
      <c r="E24" s="30" t="n"/>
      <c r="F24" s="30" t="n"/>
      <c r="G24" s="33" t="n"/>
      <c r="H24" s="25" t="n"/>
      <c r="I24" s="39" t="n"/>
      <c r="J24" s="30" t="n"/>
      <c r="K24" s="30" t="n"/>
      <c r="L24" s="39" t="n"/>
      <c r="M24" s="18" t="n"/>
      <c r="N24" s="18" t="n"/>
      <c r="O24" s="18" t="n"/>
      <c r="P24" s="6" t="n"/>
      <c r="Q24" s="33" t="n"/>
      <c r="R24" s="18" t="n"/>
      <c r="S24" s="26" t="n"/>
    </row>
    <row r="25" ht="15" customHeight="1">
      <c r="A25" s="24" t="n"/>
      <c r="B25" s="18" t="n"/>
      <c r="C25" s="18" t="n"/>
      <c r="D25" s="18" t="n"/>
      <c r="E25" s="30" t="n"/>
      <c r="F25" s="30" t="n"/>
      <c r="G25" s="33" t="n"/>
      <c r="H25" s="25" t="n"/>
      <c r="I25" s="39" t="n"/>
      <c r="J25" s="30" t="n"/>
      <c r="K25" s="30" t="n"/>
      <c r="L25" s="39" t="n"/>
      <c r="M25" s="18" t="n"/>
      <c r="N25" s="18" t="n"/>
      <c r="O25" s="18" t="n"/>
      <c r="P25" s="6" t="n"/>
      <c r="Q25" s="33" t="n"/>
      <c r="R25" s="18" t="n"/>
      <c r="S25" s="26" t="n"/>
    </row>
    <row r="26" ht="15" customHeight="1">
      <c r="A26" s="24" t="n"/>
      <c r="B26" s="18" t="n"/>
      <c r="C26" s="18" t="n"/>
      <c r="D26" s="18" t="n"/>
      <c r="E26" s="30" t="n"/>
      <c r="F26" s="30" t="n"/>
      <c r="G26" s="33" t="n"/>
      <c r="H26" s="25" t="n"/>
      <c r="I26" s="39" t="n"/>
      <c r="J26" s="30" t="n"/>
      <c r="K26" s="30" t="n"/>
      <c r="L26" s="39" t="n"/>
      <c r="M26" s="18" t="n"/>
      <c r="N26" s="18" t="n"/>
      <c r="O26" s="18" t="n"/>
      <c r="P26" s="6" t="n"/>
      <c r="Q26" s="33" t="n"/>
      <c r="R26" s="18" t="n"/>
      <c r="S26" s="26" t="n"/>
    </row>
    <row r="27" ht="15" customHeight="1">
      <c r="A27" s="24" t="n"/>
      <c r="B27" s="18" t="n"/>
      <c r="C27" s="18" t="n"/>
      <c r="D27" s="18" t="n"/>
      <c r="E27" s="30" t="n"/>
      <c r="F27" s="30" t="n"/>
      <c r="G27" s="33" t="n"/>
      <c r="H27" s="25" t="n"/>
      <c r="I27" s="39" t="n"/>
      <c r="J27" s="30" t="n"/>
      <c r="K27" s="30" t="n"/>
      <c r="L27" s="39" t="n"/>
      <c r="M27" s="18" t="n"/>
      <c r="N27" s="18" t="n"/>
      <c r="O27" s="18" t="n"/>
      <c r="P27" s="6" t="n"/>
      <c r="Q27" s="33" t="n"/>
      <c r="R27" s="18" t="n"/>
      <c r="S27" s="26" t="n"/>
    </row>
    <row r="28" ht="15" customHeight="1">
      <c r="A28" s="24" t="n"/>
      <c r="B28" s="18" t="n"/>
      <c r="C28" s="18" t="n"/>
      <c r="D28" s="18" t="n"/>
      <c r="E28" s="30" t="n"/>
      <c r="F28" s="30" t="n"/>
      <c r="G28" s="33" t="n"/>
      <c r="H28" s="25" t="n"/>
      <c r="I28" s="39" t="n"/>
      <c r="J28" s="30" t="n"/>
      <c r="K28" s="30" t="n"/>
      <c r="L28" s="39" t="n"/>
      <c r="M28" s="18" t="n"/>
      <c r="N28" s="18" t="n"/>
      <c r="O28" s="18" t="n"/>
      <c r="P28" s="6" t="n"/>
      <c r="Q28" s="33" t="n"/>
      <c r="R28" s="18" t="n"/>
      <c r="S28" s="26" t="n"/>
    </row>
    <row r="29" ht="15" customHeight="1">
      <c r="A29" s="24" t="n"/>
      <c r="B29" s="18" t="n"/>
      <c r="C29" s="18" t="n"/>
      <c r="D29" s="18" t="n"/>
      <c r="E29" s="30" t="n"/>
      <c r="F29" s="30" t="n"/>
      <c r="G29" s="33" t="n"/>
      <c r="H29" s="25" t="n"/>
      <c r="I29" s="39" t="n"/>
      <c r="J29" s="30" t="n"/>
      <c r="K29" s="30" t="n"/>
      <c r="L29" s="39" t="n"/>
      <c r="M29" s="18" t="n"/>
      <c r="N29" s="18" t="n"/>
      <c r="O29" s="18" t="n"/>
      <c r="P29" s="6" t="n"/>
      <c r="Q29" s="33" t="n"/>
      <c r="R29" s="18" t="n"/>
      <c r="S29" s="26" t="n"/>
    </row>
    <row r="30" ht="15" customHeight="1">
      <c r="A30" s="24" t="n"/>
      <c r="B30" s="18" t="n"/>
      <c r="C30" s="18" t="n"/>
      <c r="D30" s="18" t="n"/>
      <c r="E30" s="30" t="n"/>
      <c r="F30" s="30" t="n"/>
      <c r="G30" s="33" t="n"/>
      <c r="H30" s="25" t="n"/>
      <c r="I30" s="39" t="n"/>
      <c r="J30" s="30" t="n"/>
      <c r="K30" s="30" t="n"/>
      <c r="L30" s="39" t="n"/>
      <c r="M30" s="18" t="n"/>
      <c r="N30" s="18" t="n"/>
      <c r="O30" s="18" t="n"/>
      <c r="P30" s="6" t="n"/>
      <c r="Q30" s="33" t="n"/>
      <c r="R30" s="18" t="n"/>
      <c r="S30" s="26" t="n"/>
    </row>
    <row r="31" ht="15" customHeight="1">
      <c r="A31" s="24" t="n"/>
      <c r="B31" s="18" t="n"/>
      <c r="C31" s="18" t="n"/>
      <c r="D31" s="18" t="n"/>
      <c r="E31" s="30" t="n"/>
      <c r="F31" s="30" t="n"/>
      <c r="G31" s="33" t="n"/>
      <c r="H31" s="25" t="n"/>
      <c r="I31" s="39" t="n"/>
      <c r="J31" s="30" t="n"/>
      <c r="K31" s="30" t="n"/>
      <c r="L31" s="39" t="n"/>
      <c r="M31" s="18" t="n"/>
      <c r="N31" s="18" t="n"/>
      <c r="O31" s="18" t="n"/>
      <c r="P31" s="6" t="n"/>
      <c r="Q31" s="33" t="n"/>
      <c r="R31" s="18" t="n"/>
      <c r="S31" s="26" t="n"/>
    </row>
    <row r="32" ht="15" customHeight="1">
      <c r="A32" s="24" t="n"/>
      <c r="B32" s="18" t="n"/>
      <c r="C32" s="18" t="n"/>
      <c r="D32" s="18" t="n"/>
      <c r="E32" s="30" t="n"/>
      <c r="F32" s="30" t="n"/>
      <c r="G32" s="33" t="n"/>
      <c r="H32" s="25" t="n"/>
      <c r="I32" s="39" t="n"/>
      <c r="J32" s="30" t="n"/>
      <c r="K32" s="30" t="n"/>
      <c r="L32" s="39" t="n"/>
      <c r="M32" s="18" t="n"/>
      <c r="N32" s="18" t="n"/>
      <c r="O32" s="18" t="n"/>
      <c r="P32" s="6" t="n"/>
      <c r="Q32" s="33" t="n"/>
      <c r="R32" s="18" t="n"/>
      <c r="S32" s="26" t="n"/>
    </row>
    <row r="33" ht="15" customHeight="1">
      <c r="A33" s="24" t="n"/>
      <c r="B33" s="18" t="n"/>
      <c r="C33" s="18" t="n"/>
      <c r="D33" s="18" t="n"/>
      <c r="E33" s="30" t="n"/>
      <c r="F33" s="30" t="n"/>
      <c r="G33" s="33" t="n"/>
      <c r="H33" s="25" t="n"/>
      <c r="I33" s="39" t="n"/>
      <c r="J33" s="30" t="n"/>
      <c r="K33" s="30" t="n"/>
      <c r="L33" s="39" t="n"/>
      <c r="M33" s="18" t="n"/>
      <c r="N33" s="18" t="n"/>
      <c r="O33" s="18" t="n"/>
      <c r="P33" s="6" t="n"/>
      <c r="Q33" s="33" t="n"/>
      <c r="R33" s="18" t="n"/>
      <c r="S33" s="26" t="n"/>
    </row>
    <row r="34" ht="15" customHeight="1">
      <c r="A34" s="24" t="n"/>
      <c r="B34" s="18" t="n"/>
      <c r="C34" s="18" t="n"/>
      <c r="D34" s="18" t="n"/>
      <c r="E34" s="30" t="n"/>
      <c r="F34" s="30" t="n"/>
      <c r="G34" s="33" t="n"/>
      <c r="H34" s="25" t="n"/>
      <c r="I34" s="39" t="n"/>
      <c r="J34" s="30" t="n"/>
      <c r="K34" s="30" t="n"/>
      <c r="L34" s="39" t="n"/>
      <c r="M34" s="18" t="n"/>
      <c r="N34" s="18" t="n"/>
      <c r="O34" s="18" t="n"/>
      <c r="P34" s="6" t="n"/>
      <c r="Q34" s="33" t="n"/>
      <c r="R34" s="18" t="n"/>
      <c r="S34" s="26" t="n"/>
    </row>
    <row r="35" ht="15" customHeight="1">
      <c r="A35" s="24" t="n"/>
      <c r="B35" s="18" t="n"/>
      <c r="C35" s="18" t="n"/>
      <c r="D35" s="18" t="n"/>
      <c r="E35" s="30" t="n"/>
      <c r="F35" s="30" t="n"/>
      <c r="G35" s="33" t="n"/>
      <c r="H35" s="25" t="n"/>
      <c r="I35" s="39" t="n"/>
      <c r="J35" s="30" t="n"/>
      <c r="K35" s="30" t="n"/>
      <c r="L35" s="39" t="n"/>
      <c r="M35" s="18" t="n"/>
      <c r="N35" s="18" t="n"/>
      <c r="O35" s="18" t="n"/>
      <c r="P35" s="6" t="n"/>
      <c r="Q35" s="33" t="n"/>
      <c r="R35" s="18" t="n"/>
      <c r="S35" s="26" t="n"/>
    </row>
    <row r="36" ht="15" customHeight="1">
      <c r="A36" s="24" t="n"/>
      <c r="B36" s="18" t="n"/>
      <c r="C36" s="18" t="n"/>
      <c r="D36" s="18" t="n"/>
      <c r="E36" s="30" t="n"/>
      <c r="F36" s="30" t="n"/>
      <c r="G36" s="33" t="n"/>
      <c r="H36" s="25" t="n"/>
      <c r="I36" s="39" t="n"/>
      <c r="J36" s="30" t="n"/>
      <c r="K36" s="30" t="n"/>
      <c r="L36" s="39" t="n"/>
      <c r="M36" s="18" t="n"/>
      <c r="N36" s="18" t="n"/>
      <c r="O36" s="18" t="n"/>
      <c r="P36" s="6" t="n"/>
      <c r="Q36" s="33" t="n"/>
      <c r="R36" s="18" t="n"/>
      <c r="S36" s="26" t="n"/>
    </row>
    <row r="37" ht="15" customHeight="1">
      <c r="A37" s="24" t="n"/>
      <c r="B37" s="18" t="n"/>
      <c r="C37" s="18" t="n"/>
      <c r="D37" s="18" t="n"/>
      <c r="E37" s="30" t="n"/>
      <c r="F37" s="30" t="n"/>
      <c r="G37" s="33" t="n"/>
      <c r="H37" s="25" t="n"/>
      <c r="I37" s="39" t="n"/>
      <c r="J37" s="30" t="n"/>
      <c r="K37" s="30" t="n"/>
      <c r="L37" s="39" t="n"/>
      <c r="M37" s="18" t="n"/>
      <c r="N37" s="18" t="n"/>
      <c r="O37" s="18" t="n"/>
      <c r="P37" s="6" t="n"/>
      <c r="Q37" s="33" t="n"/>
      <c r="R37" s="18" t="n"/>
      <c r="S37" s="26" t="n"/>
    </row>
    <row r="38" ht="15" customHeight="1">
      <c r="A38" s="24" t="n"/>
      <c r="B38" s="18" t="n"/>
      <c r="C38" s="18" t="n"/>
      <c r="D38" s="18" t="n"/>
      <c r="E38" s="30" t="n"/>
      <c r="F38" s="30" t="n"/>
      <c r="G38" s="33" t="n"/>
      <c r="H38" s="25" t="n"/>
      <c r="I38" s="39" t="n"/>
      <c r="J38" s="30" t="n"/>
      <c r="K38" s="30" t="n"/>
      <c r="L38" s="39" t="n"/>
      <c r="M38" s="18" t="n"/>
      <c r="N38" s="18" t="n"/>
      <c r="O38" s="18" t="n"/>
      <c r="P38" s="6" t="n"/>
      <c r="Q38" s="33" t="n"/>
      <c r="R38" s="18" t="n"/>
      <c r="S38" s="26" t="n"/>
    </row>
    <row r="39" ht="15" customHeight="1">
      <c r="A39" s="24" t="n"/>
      <c r="B39" s="18" t="n"/>
      <c r="C39" s="18" t="n"/>
      <c r="D39" s="18" t="n"/>
      <c r="E39" s="30" t="n"/>
      <c r="F39" s="30" t="n"/>
      <c r="G39" s="33" t="n"/>
      <c r="H39" s="25" t="n"/>
      <c r="I39" s="39" t="n"/>
      <c r="J39" s="30" t="n"/>
      <c r="K39" s="30" t="n"/>
      <c r="L39" s="39" t="n"/>
      <c r="M39" s="18" t="n"/>
      <c r="N39" s="18" t="n"/>
      <c r="O39" s="18" t="n"/>
      <c r="P39" s="6" t="n"/>
      <c r="Q39" s="33" t="n"/>
      <c r="R39" s="18" t="n"/>
      <c r="S39" s="26" t="n"/>
    </row>
    <row r="40" ht="15" customHeight="1">
      <c r="A40" s="24" t="n"/>
      <c r="B40" s="18" t="n"/>
      <c r="C40" s="18" t="n"/>
      <c r="D40" s="18" t="n"/>
      <c r="E40" s="30" t="n"/>
      <c r="F40" s="30" t="n"/>
      <c r="G40" s="33" t="n"/>
      <c r="H40" s="25" t="n"/>
      <c r="I40" s="39" t="n"/>
      <c r="J40" s="30" t="n"/>
      <c r="K40" s="30" t="n"/>
      <c r="L40" s="39" t="n"/>
      <c r="M40" s="18" t="n"/>
      <c r="N40" s="18" t="n"/>
      <c r="O40" s="18" t="n"/>
      <c r="P40" s="6" t="n"/>
      <c r="Q40" s="33" t="n"/>
      <c r="R40" s="18" t="n"/>
      <c r="S40" s="26" t="n"/>
    </row>
    <row r="41" ht="15" customHeight="1">
      <c r="A41" s="24" t="n"/>
      <c r="B41" s="18" t="n"/>
      <c r="C41" s="18" t="n"/>
      <c r="D41" s="18" t="n"/>
      <c r="E41" s="30" t="n"/>
      <c r="F41" s="30" t="n"/>
      <c r="G41" s="33" t="n"/>
      <c r="H41" s="25" t="n"/>
      <c r="I41" s="39" t="n"/>
      <c r="J41" s="30" t="n"/>
      <c r="K41" s="30" t="n"/>
      <c r="L41" s="39" t="n"/>
      <c r="M41" s="18" t="n"/>
      <c r="N41" s="18" t="n"/>
      <c r="O41" s="18" t="n"/>
      <c r="P41" s="6" t="n"/>
      <c r="Q41" s="33" t="n"/>
      <c r="R41" s="18" t="n"/>
      <c r="S41" s="26" t="n"/>
    </row>
    <row r="42" ht="15" customHeight="1">
      <c r="A42" s="24" t="n"/>
      <c r="B42" s="18" t="n"/>
      <c r="C42" s="18" t="n"/>
      <c r="D42" s="18" t="n"/>
      <c r="E42" s="30" t="n"/>
      <c r="F42" s="30" t="n"/>
      <c r="G42" s="33" t="n"/>
      <c r="H42" s="25" t="n"/>
      <c r="I42" s="39" t="n"/>
      <c r="J42" s="30" t="n"/>
      <c r="K42" s="30" t="n"/>
      <c r="L42" s="39" t="n"/>
      <c r="M42" s="18" t="n"/>
      <c r="N42" s="18" t="n"/>
      <c r="O42" s="18" t="n"/>
      <c r="P42" s="6" t="n"/>
      <c r="Q42" s="33" t="n"/>
      <c r="R42" s="18" t="n"/>
      <c r="S42" s="26" t="n"/>
    </row>
    <row r="43" ht="15" customHeight="1">
      <c r="A43" s="24" t="n"/>
      <c r="B43" s="18" t="n"/>
      <c r="C43" s="18" t="n"/>
      <c r="D43" s="18" t="n"/>
      <c r="E43" s="30" t="n"/>
      <c r="F43" s="30" t="n"/>
      <c r="G43" s="33" t="n"/>
      <c r="H43" s="25" t="n"/>
      <c r="I43" s="39" t="n"/>
      <c r="J43" s="30" t="n"/>
      <c r="K43" s="30" t="n"/>
      <c r="L43" s="39" t="n"/>
      <c r="M43" s="18" t="n"/>
      <c r="N43" s="18" t="n"/>
      <c r="O43" s="18" t="n"/>
      <c r="P43" s="6" t="n"/>
      <c r="Q43" s="33" t="n"/>
      <c r="R43" s="18" t="n"/>
      <c r="S43" s="26" t="n"/>
    </row>
    <row r="44" ht="15" customHeight="1">
      <c r="A44" s="24" t="n"/>
      <c r="B44" s="18" t="n"/>
      <c r="C44" s="18" t="n"/>
      <c r="D44" s="18" t="n"/>
      <c r="E44" s="30" t="n"/>
      <c r="F44" s="30" t="n"/>
      <c r="G44" s="33" t="n"/>
      <c r="H44" s="25" t="n"/>
      <c r="I44" s="39" t="n"/>
      <c r="J44" s="30" t="n"/>
      <c r="K44" s="30" t="n"/>
      <c r="L44" s="39" t="n"/>
      <c r="M44" s="18" t="n"/>
      <c r="N44" s="18" t="n"/>
      <c r="O44" s="18" t="n"/>
      <c r="P44" s="6" t="n"/>
      <c r="Q44" s="33" t="n"/>
      <c r="R44" s="18" t="n"/>
      <c r="S44" s="26" t="n"/>
    </row>
    <row r="45" ht="15" customHeight="1">
      <c r="A45" s="24" t="n"/>
      <c r="B45" s="18" t="n"/>
      <c r="C45" s="18" t="n"/>
      <c r="D45" s="18" t="n"/>
      <c r="E45" s="30" t="n"/>
      <c r="F45" s="30" t="n"/>
      <c r="G45" s="33" t="n"/>
      <c r="H45" s="25" t="n"/>
      <c r="I45" s="39" t="n"/>
      <c r="J45" s="30" t="n"/>
      <c r="K45" s="30" t="n"/>
      <c r="L45" s="39" t="n"/>
      <c r="M45" s="18" t="n"/>
      <c r="N45" s="18" t="n"/>
      <c r="O45" s="18" t="n"/>
      <c r="P45" s="6" t="n"/>
      <c r="Q45" s="33" t="n"/>
      <c r="R45" s="18" t="n"/>
      <c r="S45" s="26" t="n"/>
    </row>
    <row r="46" ht="15" customHeight="1">
      <c r="A46" s="24" t="n"/>
      <c r="B46" s="18" t="n"/>
      <c r="C46" s="18" t="n"/>
      <c r="D46" s="18" t="n"/>
      <c r="E46" s="30" t="n"/>
      <c r="F46" s="30" t="n"/>
      <c r="G46" s="33" t="n"/>
      <c r="H46" s="25" t="n"/>
      <c r="I46" s="39" t="n"/>
      <c r="J46" s="30" t="n"/>
      <c r="K46" s="30" t="n"/>
      <c r="L46" s="39" t="n"/>
      <c r="M46" s="18" t="n"/>
      <c r="N46" s="18" t="n"/>
      <c r="O46" s="18" t="n"/>
      <c r="P46" s="6" t="n"/>
      <c r="Q46" s="33" t="n"/>
      <c r="R46" s="18" t="n"/>
      <c r="S46" s="26" t="n"/>
    </row>
    <row r="47" ht="15" customHeight="1">
      <c r="A47" s="24" t="n"/>
      <c r="B47" s="18" t="n"/>
      <c r="C47" s="18" t="n"/>
      <c r="D47" s="18" t="n"/>
      <c r="E47" s="30" t="n"/>
      <c r="F47" s="30" t="n"/>
      <c r="G47" s="33" t="n"/>
      <c r="H47" s="25" t="n"/>
      <c r="I47" s="39" t="n"/>
      <c r="J47" s="30" t="n"/>
      <c r="K47" s="30" t="n"/>
      <c r="L47" s="39" t="n"/>
      <c r="M47" s="18" t="n"/>
      <c r="N47" s="18" t="n"/>
      <c r="O47" s="18" t="n"/>
      <c r="P47" s="6" t="n"/>
      <c r="Q47" s="33" t="n"/>
      <c r="R47" s="18" t="n"/>
      <c r="S47" s="26" t="n"/>
    </row>
    <row r="48" ht="15" customHeight="1">
      <c r="A48" s="24" t="n"/>
      <c r="B48" s="18" t="n"/>
      <c r="C48" s="18" t="n"/>
      <c r="D48" s="18" t="n"/>
      <c r="E48" s="30" t="n"/>
      <c r="F48" s="30" t="n"/>
      <c r="G48" s="33" t="n"/>
      <c r="H48" s="25" t="n"/>
      <c r="I48" s="39" t="n"/>
      <c r="J48" s="30" t="n"/>
      <c r="K48" s="30" t="n"/>
      <c r="L48" s="39" t="n"/>
      <c r="M48" s="18" t="n"/>
      <c r="N48" s="18" t="n"/>
      <c r="O48" s="18" t="n"/>
      <c r="P48" s="6" t="n"/>
      <c r="Q48" s="33" t="n"/>
      <c r="R48" s="18" t="n"/>
      <c r="S48" s="26" t="n"/>
    </row>
    <row r="49" ht="15" customHeight="1">
      <c r="A49" s="24" t="n"/>
      <c r="B49" s="18" t="n"/>
      <c r="C49" s="18" t="n"/>
      <c r="D49" s="18" t="n"/>
      <c r="E49" s="30" t="n"/>
      <c r="F49" s="30" t="n"/>
      <c r="G49" s="33" t="n"/>
      <c r="H49" s="25" t="n"/>
      <c r="I49" s="39" t="n"/>
      <c r="J49" s="30" t="n"/>
      <c r="K49" s="30" t="n"/>
      <c r="L49" s="39" t="n"/>
      <c r="M49" s="18" t="n"/>
      <c r="N49" s="18" t="n"/>
      <c r="O49" s="18" t="n"/>
      <c r="P49" s="6" t="n"/>
      <c r="Q49" s="33" t="n"/>
      <c r="R49" s="18" t="n"/>
      <c r="S49" s="26" t="n"/>
    </row>
    <row r="50" ht="15" customHeight="1">
      <c r="A50" s="24" t="n"/>
      <c r="B50" s="18" t="n"/>
      <c r="C50" s="18" t="n"/>
      <c r="D50" s="18" t="n"/>
      <c r="E50" s="30" t="n"/>
      <c r="F50" s="30" t="n"/>
      <c r="G50" s="33" t="n"/>
      <c r="H50" s="25" t="n"/>
      <c r="I50" s="39" t="n"/>
      <c r="J50" s="30" t="n"/>
      <c r="K50" s="30" t="n"/>
      <c r="L50" s="39" t="n"/>
      <c r="M50" s="18" t="n"/>
      <c r="N50" s="18" t="n"/>
      <c r="O50" s="18" t="n"/>
      <c r="P50" s="6" t="n"/>
      <c r="Q50" s="33" t="n"/>
      <c r="R50" s="18" t="n"/>
      <c r="S50" s="26" t="n"/>
    </row>
    <row r="51" ht="15" customHeight="1">
      <c r="A51" s="24" t="n"/>
      <c r="B51" s="18" t="n"/>
      <c r="C51" s="18" t="n"/>
      <c r="D51" s="18" t="n"/>
      <c r="E51" s="30" t="n"/>
      <c r="F51" s="30" t="n"/>
      <c r="G51" s="33" t="n"/>
      <c r="H51" s="25" t="n"/>
      <c r="I51" s="39" t="n"/>
      <c r="J51" s="30" t="n"/>
      <c r="K51" s="30" t="n"/>
      <c r="L51" s="39" t="n"/>
      <c r="M51" s="18" t="n"/>
      <c r="N51" s="18" t="n"/>
      <c r="O51" s="18" t="n"/>
      <c r="P51" s="6" t="n"/>
      <c r="Q51" s="33" t="n"/>
      <c r="R51" s="18" t="n"/>
      <c r="S51" s="26" t="n"/>
    </row>
    <row r="52" ht="15" customHeight="1">
      <c r="A52" s="24" t="n"/>
      <c r="B52" s="18" t="n"/>
      <c r="C52" s="18" t="n"/>
      <c r="D52" s="18" t="n"/>
      <c r="E52" s="30" t="n"/>
      <c r="F52" s="30" t="n"/>
      <c r="G52" s="33" t="n"/>
      <c r="H52" s="25" t="n"/>
      <c r="I52" s="39" t="n"/>
      <c r="J52" s="30" t="n"/>
      <c r="K52" s="30" t="n"/>
      <c r="L52" s="39" t="n"/>
      <c r="M52" s="18" t="n"/>
      <c r="N52" s="18" t="n"/>
      <c r="O52" s="18" t="n"/>
      <c r="P52" s="6" t="n"/>
      <c r="Q52" s="33" t="n"/>
      <c r="R52" s="18" t="n"/>
      <c r="S52" s="26" t="n"/>
    </row>
    <row r="53" ht="15" customHeight="1">
      <c r="A53" s="24" t="n"/>
      <c r="B53" s="18" t="n"/>
      <c r="C53" s="18" t="n"/>
      <c r="D53" s="18" t="n"/>
      <c r="E53" s="30" t="n"/>
      <c r="F53" s="30" t="n"/>
      <c r="G53" s="33" t="n"/>
      <c r="H53" s="25" t="n"/>
      <c r="I53" s="39" t="n"/>
      <c r="J53" s="30" t="n"/>
      <c r="K53" s="30" t="n"/>
      <c r="L53" s="39" t="n"/>
      <c r="M53" s="18" t="n"/>
      <c r="N53" s="18" t="n"/>
      <c r="O53" s="18" t="n"/>
      <c r="P53" s="6" t="n"/>
      <c r="Q53" s="33" t="n"/>
      <c r="R53" s="18" t="n"/>
      <c r="S53" s="26" t="n"/>
    </row>
    <row r="54" ht="15" customHeight="1">
      <c r="A54" s="24" t="n"/>
      <c r="B54" s="18" t="n"/>
      <c r="C54" s="18" t="n"/>
      <c r="D54" s="18" t="n"/>
      <c r="E54" s="30" t="n"/>
      <c r="F54" s="30" t="n"/>
      <c r="G54" s="33" t="n"/>
      <c r="H54" s="25" t="n"/>
      <c r="I54" s="39" t="n"/>
      <c r="J54" s="30" t="n"/>
      <c r="K54" s="30" t="n"/>
      <c r="L54" s="39" t="n"/>
      <c r="M54" s="18" t="n"/>
      <c r="N54" s="18" t="n"/>
      <c r="O54" s="18" t="n"/>
      <c r="P54" s="6" t="n"/>
      <c r="Q54" s="33" t="n"/>
      <c r="R54" s="18" t="n"/>
      <c r="S54" s="26" t="n"/>
    </row>
    <row r="55" ht="15" customHeight="1">
      <c r="A55" s="24" t="n"/>
      <c r="B55" s="18" t="n"/>
      <c r="C55" s="18" t="n"/>
      <c r="D55" s="18" t="n"/>
      <c r="E55" s="30" t="n"/>
      <c r="F55" s="30" t="n"/>
      <c r="G55" s="33" t="n"/>
      <c r="H55" s="25" t="n"/>
      <c r="I55" s="39" t="n"/>
      <c r="J55" s="30" t="n"/>
      <c r="K55" s="30" t="n"/>
      <c r="L55" s="39" t="n"/>
      <c r="M55" s="18" t="n"/>
      <c r="N55" s="18" t="n"/>
      <c r="O55" s="18" t="n"/>
      <c r="P55" s="6" t="n"/>
      <c r="Q55" s="33" t="n"/>
      <c r="R55" s="18" t="n"/>
      <c r="S55" s="26" t="n"/>
    </row>
    <row r="56" ht="15" customHeight="1">
      <c r="A56" s="24" t="n"/>
      <c r="B56" s="18" t="n"/>
      <c r="C56" s="18" t="n"/>
      <c r="D56" s="18" t="n"/>
      <c r="E56" s="30" t="n"/>
      <c r="F56" s="30" t="n"/>
      <c r="G56" s="33" t="n"/>
      <c r="H56" s="25" t="n"/>
      <c r="I56" s="39" t="n"/>
      <c r="J56" s="30" t="n"/>
      <c r="K56" s="30" t="n"/>
      <c r="L56" s="39" t="n"/>
      <c r="M56" s="18" t="n"/>
      <c r="N56" s="18" t="n"/>
      <c r="O56" s="18" t="n"/>
      <c r="P56" s="6" t="n"/>
      <c r="Q56" s="33" t="n"/>
      <c r="R56" s="18" t="n"/>
      <c r="S56" s="26" t="n"/>
    </row>
    <row r="57" ht="15" customHeight="1">
      <c r="A57" s="24" t="n"/>
      <c r="B57" s="18" t="n"/>
      <c r="C57" s="18" t="n"/>
      <c r="D57" s="18" t="n"/>
      <c r="E57" s="30" t="n"/>
      <c r="F57" s="30" t="n"/>
      <c r="G57" s="33" t="n"/>
      <c r="H57" s="25" t="n"/>
      <c r="I57" s="39" t="n"/>
      <c r="J57" s="30" t="n"/>
      <c r="K57" s="30" t="n"/>
      <c r="L57" s="39" t="n"/>
      <c r="M57" s="18" t="n"/>
      <c r="N57" s="18" t="n"/>
      <c r="O57" s="18" t="n"/>
      <c r="P57" s="6" t="n"/>
      <c r="Q57" s="33" t="n"/>
      <c r="R57" s="18" t="n"/>
      <c r="S57" s="26" t="n"/>
    </row>
    <row r="58" ht="15" customHeight="1">
      <c r="A58" s="24" t="n"/>
      <c r="B58" s="18" t="n"/>
      <c r="C58" s="18" t="n"/>
      <c r="D58" s="18" t="n"/>
      <c r="E58" s="30" t="n"/>
      <c r="F58" s="30" t="n"/>
      <c r="G58" s="33" t="n"/>
      <c r="H58" s="25" t="n"/>
      <c r="I58" s="39" t="n"/>
      <c r="J58" s="30" t="n"/>
      <c r="K58" s="30" t="n"/>
      <c r="L58" s="39" t="n"/>
      <c r="M58" s="18" t="n"/>
      <c r="N58" s="18" t="n"/>
      <c r="O58" s="18" t="n"/>
      <c r="P58" s="6" t="n"/>
      <c r="Q58" s="33" t="n"/>
      <c r="R58" s="18" t="n"/>
      <c r="S58" s="26" t="n"/>
    </row>
    <row r="59" ht="15" customHeight="1">
      <c r="A59" s="24" t="n"/>
      <c r="B59" s="18" t="n"/>
      <c r="C59" s="18" t="n"/>
      <c r="D59" s="18" t="n"/>
      <c r="E59" s="30" t="n"/>
      <c r="F59" s="30" t="n"/>
      <c r="G59" s="33" t="n"/>
      <c r="H59" s="25" t="n"/>
      <c r="I59" s="39" t="n"/>
      <c r="J59" s="30" t="n"/>
      <c r="K59" s="30" t="n"/>
      <c r="L59" s="39" t="n"/>
      <c r="M59" s="18" t="n"/>
      <c r="N59" s="18" t="n"/>
      <c r="O59" s="18" t="n"/>
      <c r="P59" s="6" t="n"/>
      <c r="Q59" s="33" t="n"/>
      <c r="R59" s="18" t="n"/>
      <c r="S59" s="26" t="n"/>
    </row>
    <row r="60" ht="15" customHeight="1">
      <c r="A60" s="24" t="n"/>
      <c r="B60" s="18" t="n"/>
      <c r="C60" s="18" t="n"/>
      <c r="D60" s="18" t="n"/>
      <c r="E60" s="30" t="n"/>
      <c r="F60" s="30" t="n"/>
      <c r="G60" s="33" t="n"/>
      <c r="H60" s="25" t="n"/>
      <c r="I60" s="39" t="n"/>
      <c r="J60" s="30" t="n"/>
      <c r="K60" s="30" t="n"/>
      <c r="L60" s="39" t="n"/>
      <c r="M60" s="18" t="n"/>
      <c r="N60" s="18" t="n"/>
      <c r="O60" s="18" t="n"/>
      <c r="P60" s="6" t="n"/>
      <c r="Q60" s="33" t="n"/>
      <c r="R60" s="18" t="n"/>
      <c r="S60" s="26" t="n"/>
    </row>
    <row r="61" ht="15" customHeight="1">
      <c r="A61" s="24" t="n"/>
      <c r="B61" s="18" t="n"/>
      <c r="C61" s="18" t="n"/>
      <c r="D61" s="18" t="n"/>
      <c r="E61" s="30" t="n"/>
      <c r="F61" s="30" t="n"/>
      <c r="G61" s="33" t="n"/>
      <c r="H61" s="25" t="n"/>
      <c r="I61" s="39" t="n"/>
      <c r="J61" s="30" t="n"/>
      <c r="K61" s="30" t="n"/>
      <c r="L61" s="39" t="n"/>
      <c r="M61" s="18" t="n"/>
      <c r="N61" s="18" t="n"/>
      <c r="O61" s="18" t="n"/>
      <c r="P61" s="6" t="n"/>
      <c r="Q61" s="33" t="n"/>
      <c r="R61" s="18" t="n"/>
      <c r="S61" s="26" t="n"/>
    </row>
    <row r="62" ht="15" customHeight="1">
      <c r="A62" s="24" t="n"/>
      <c r="B62" s="18" t="n"/>
      <c r="C62" s="18" t="n"/>
      <c r="D62" s="18" t="n"/>
      <c r="E62" s="30" t="n"/>
      <c r="F62" s="30" t="n"/>
      <c r="G62" s="33" t="n"/>
      <c r="H62" s="25" t="n"/>
      <c r="I62" s="39" t="n"/>
      <c r="J62" s="30" t="n"/>
      <c r="K62" s="30" t="n"/>
      <c r="L62" s="39" t="n"/>
      <c r="M62" s="18" t="n"/>
      <c r="N62" s="18" t="n"/>
      <c r="O62" s="18" t="n"/>
      <c r="P62" s="6" t="n"/>
      <c r="Q62" s="33" t="n"/>
      <c r="R62" s="18" t="n"/>
      <c r="S62" s="26" t="n"/>
    </row>
    <row r="63" ht="15" customHeight="1">
      <c r="A63" s="24" t="n"/>
      <c r="B63" s="18" t="n"/>
      <c r="C63" s="18" t="n"/>
      <c r="D63" s="18" t="n"/>
      <c r="E63" s="30" t="n"/>
      <c r="F63" s="30" t="n"/>
      <c r="G63" s="33" t="n"/>
      <c r="H63" s="25" t="n"/>
      <c r="I63" s="39" t="n"/>
      <c r="J63" s="30" t="n"/>
      <c r="K63" s="30" t="n"/>
      <c r="L63" s="39" t="n"/>
      <c r="M63" s="18" t="n"/>
      <c r="N63" s="18" t="n"/>
      <c r="O63" s="18" t="n"/>
      <c r="P63" s="6" t="n"/>
      <c r="Q63" s="33" t="n"/>
      <c r="R63" s="18" t="n"/>
      <c r="S63" s="26" t="n"/>
    </row>
    <row r="64" ht="15" customHeight="1">
      <c r="A64" s="24" t="n"/>
      <c r="B64" s="18" t="n"/>
      <c r="C64" s="18" t="n"/>
      <c r="D64" s="18" t="n"/>
      <c r="E64" s="30" t="n"/>
      <c r="F64" s="30" t="n"/>
      <c r="G64" s="33" t="n"/>
      <c r="H64" s="25" t="n"/>
      <c r="I64" s="39" t="n"/>
      <c r="J64" s="30" t="n"/>
      <c r="K64" s="30" t="n"/>
      <c r="L64" s="39" t="n"/>
      <c r="M64" s="18" t="n"/>
      <c r="N64" s="18" t="n"/>
      <c r="O64" s="18" t="n"/>
      <c r="P64" s="6" t="n"/>
      <c r="Q64" s="33" t="n"/>
      <c r="R64" s="18" t="n"/>
      <c r="S64" s="26" t="n"/>
    </row>
    <row r="65" ht="15" customHeight="1">
      <c r="A65" s="24" t="n"/>
      <c r="B65" s="18" t="n"/>
      <c r="C65" s="18" t="n"/>
      <c r="D65" s="18" t="n"/>
      <c r="E65" s="30" t="n"/>
      <c r="F65" s="30" t="n"/>
      <c r="G65" s="33" t="n"/>
      <c r="H65" s="25" t="n"/>
      <c r="I65" s="39" t="n"/>
      <c r="J65" s="30" t="n"/>
      <c r="K65" s="30" t="n"/>
      <c r="L65" s="39" t="n"/>
      <c r="M65" s="18" t="n"/>
      <c r="N65" s="18" t="n"/>
      <c r="O65" s="18" t="n"/>
      <c r="P65" s="6" t="n"/>
      <c r="Q65" s="33" t="n"/>
      <c r="R65" s="18" t="n"/>
      <c r="S65" s="26" t="n"/>
    </row>
    <row r="66" ht="15" customHeight="1">
      <c r="A66" s="24" t="n"/>
      <c r="B66" s="18" t="n"/>
      <c r="C66" s="18" t="n"/>
      <c r="D66" s="18" t="n"/>
      <c r="E66" s="30" t="n"/>
      <c r="F66" s="30" t="n"/>
      <c r="G66" s="33" t="n"/>
      <c r="H66" s="25" t="n"/>
      <c r="I66" s="39" t="n"/>
      <c r="J66" s="30" t="n"/>
      <c r="K66" s="30" t="n"/>
      <c r="L66" s="39" t="n"/>
      <c r="M66" s="18" t="n"/>
      <c r="N66" s="18" t="n"/>
      <c r="O66" s="18" t="n"/>
      <c r="P66" s="6" t="n"/>
      <c r="Q66" s="33" t="n"/>
      <c r="R66" s="18" t="n"/>
      <c r="S66" s="26" t="n"/>
    </row>
  </sheetData>
  <mergeCells count="8">
    <mergeCell ref="F4:G4"/>
    <mergeCell ref="J4:K4"/>
    <mergeCell ref="A2:S2"/>
    <mergeCell ref="L4:M4"/>
    <mergeCell ref="A1:S1"/>
    <mergeCell ref="D4:E4"/>
    <mergeCell ref="H4:I4"/>
    <mergeCell ref="B4:C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548235"/>
    <outlinePr summaryBelow="1" summaryRight="1"/>
    <pageSetUpPr/>
  </sheetPr>
  <dimension ref="A1:M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0" customWidth="1" min="4" max="4"/>
    <col width="12" customWidth="1" min="5" max="5"/>
    <col width="10" customWidth="1" min="6" max="6"/>
    <col width="11" customWidth="1" min="7" max="7"/>
    <col width="12" customWidth="1" min="8" max="8"/>
    <col width="11" customWidth="1" min="9" max="9"/>
    <col width="12" customWidth="1" min="10" max="10"/>
    <col width="13" customWidth="1" min="11" max="11"/>
    <col width="9" customWidth="1" min="12" max="12"/>
  </cols>
  <sheetData>
    <row r="1" ht="26" customHeight="1">
      <c r="A1" s="1" t="inlineStr">
        <is>
          <t>COST TO SERVE</t>
        </is>
      </c>
    </row>
    <row r="2">
      <c r="A2" s="2" t="inlineStr">
        <is>
          <t>Apos o custo industrial, agrega custos de servir por venda. Nota: no Pocket Price (40) os itens comerciais ja sao deduzidos; aqui e a visao consolidada do cost to serve.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SALE_ID</t>
        </is>
      </c>
      <c r="B6" s="5" t="inlineStr">
        <is>
          <t>PRODUCT_ID</t>
        </is>
      </c>
      <c r="C6" s="5" t="inlineStr">
        <is>
          <t>Qtd t</t>
        </is>
      </c>
      <c r="D6" s="5" t="inlineStr">
        <is>
          <t>Separacao R$</t>
        </is>
      </c>
      <c r="E6" s="5" t="inlineStr">
        <is>
          <t>Carregamento R$</t>
        </is>
      </c>
      <c r="F6" s="5" t="inlineStr">
        <is>
          <t>Frete R$
(link)</t>
        </is>
      </c>
      <c r="G6" s="5" t="inlineStr">
        <is>
          <t>Comissao R$
(link)</t>
        </is>
      </c>
      <c r="H6" s="5" t="inlineStr">
        <is>
          <t>Custo prazo R$
(link)</t>
        </is>
      </c>
      <c r="I6" s="5" t="inlineStr">
        <is>
          <t>Inadimpl R$
(link)</t>
        </is>
      </c>
      <c r="J6" s="5" t="inlineStr">
        <is>
          <t>Bonific/Devol R$</t>
        </is>
      </c>
      <c r="K6" s="5" t="inlineStr">
        <is>
          <t>COST TO SERVE R$</t>
        </is>
      </c>
      <c r="L6" s="5" t="inlineStr">
        <is>
          <t>R$/t</t>
        </is>
      </c>
    </row>
    <row r="7">
      <c r="A7" s="15" t="inlineStr">
        <is>
          <t>V-001</t>
        </is>
      </c>
      <c r="B7" s="48" t="inlineStr">
        <is>
          <t>P001</t>
        </is>
      </c>
      <c r="C7" s="49" t="n">
        <v>20</v>
      </c>
      <c r="D7" s="21" t="n">
        <v>40</v>
      </c>
      <c r="E7" s="21" t="n">
        <v>60</v>
      </c>
      <c r="F7" s="31">
        <f>IFERROR(SUMIF('34_FREIGHT_OUT'!$A$7:$A$67,A7,'34_FREIGHT_OUT'!$C$7:$C$67),0)</f>
        <v/>
      </c>
      <c r="G7" s="31">
        <f>IFERROR(SUMIF('35_COMMISSIONS'!$A$7:$A$67,A7,'35_COMMISSIONS'!$E$7:$E$67),0)</f>
        <v/>
      </c>
      <c r="H7" s="31">
        <f>IFERROR(SUMIF('36_RECEIVABLES'!$A$7:$A$67,A7,'36_RECEIVABLES'!$D$7:$D$67),0)</f>
        <v/>
      </c>
      <c r="I7" s="31">
        <f>IFERROR(SUMIF('36_RECEIVABLES'!$A$7:$A$67,A7,'36_RECEIVABLES'!$G$7:$G$67),0)</f>
        <v/>
      </c>
      <c r="J7" s="21" t="n">
        <v>0</v>
      </c>
      <c r="K7" s="41">
        <f>SUM(D7:J7)</f>
        <v/>
      </c>
      <c r="L7" s="31">
        <f>IFERROR(K7/C7,0)</f>
        <v/>
      </c>
    </row>
    <row r="8">
      <c r="A8" s="15" t="inlineStr">
        <is>
          <t>V-002</t>
        </is>
      </c>
      <c r="B8" s="48" t="inlineStr">
        <is>
          <t>P002</t>
        </is>
      </c>
      <c r="C8" s="49" t="n">
        <v>15</v>
      </c>
      <c r="D8" s="21" t="n">
        <v>30</v>
      </c>
      <c r="E8" s="21" t="n">
        <v>40</v>
      </c>
      <c r="F8" s="31">
        <f>IFERROR(SUMIF('34_FREIGHT_OUT'!$A$7:$A$67,A8,'34_FREIGHT_OUT'!$C$7:$C$67),0)</f>
        <v/>
      </c>
      <c r="G8" s="31">
        <f>IFERROR(SUMIF('35_COMMISSIONS'!$A$7:$A$67,A8,'35_COMMISSIONS'!$E$7:$E$67),0)</f>
        <v/>
      </c>
      <c r="H8" s="31">
        <f>IFERROR(SUMIF('36_RECEIVABLES'!$A$7:$A$67,A8,'36_RECEIVABLES'!$D$7:$D$67),0)</f>
        <v/>
      </c>
      <c r="I8" s="31">
        <f>IFERROR(SUMIF('36_RECEIVABLES'!$A$7:$A$67,A8,'36_RECEIVABLES'!$G$7:$G$67),0)</f>
        <v/>
      </c>
      <c r="J8" s="21" t="n">
        <v>0</v>
      </c>
      <c r="K8" s="41">
        <f>SUM(D8:J8)</f>
        <v/>
      </c>
      <c r="L8" s="31">
        <f>IFERROR(K8/C8,0)</f>
        <v/>
      </c>
    </row>
    <row r="9">
      <c r="A9" s="15" t="inlineStr">
        <is>
          <t>V-003</t>
        </is>
      </c>
      <c r="B9" s="48" t="inlineStr">
        <is>
          <t>P003</t>
        </is>
      </c>
      <c r="C9" s="49" t="n">
        <v>5</v>
      </c>
      <c r="D9" s="21" t="n">
        <v>30</v>
      </c>
      <c r="E9" s="21" t="n">
        <v>40</v>
      </c>
      <c r="F9" s="31">
        <f>IFERROR(SUMIF('34_FREIGHT_OUT'!$A$7:$A$67,A9,'34_FREIGHT_OUT'!$C$7:$C$67),0)</f>
        <v/>
      </c>
      <c r="G9" s="31">
        <f>IFERROR(SUMIF('35_COMMISSIONS'!$A$7:$A$67,A9,'35_COMMISSIONS'!$E$7:$E$67),0)</f>
        <v/>
      </c>
      <c r="H9" s="31">
        <f>IFERROR(SUMIF('36_RECEIVABLES'!$A$7:$A$67,A9,'36_RECEIVABLES'!$D$7:$D$67),0)</f>
        <v/>
      </c>
      <c r="I9" s="31">
        <f>IFERROR(SUMIF('36_RECEIVABLES'!$A$7:$A$67,A9,'36_RECEIVABLES'!$G$7:$G$67),0)</f>
        <v/>
      </c>
      <c r="J9" s="21" t="n">
        <v>0</v>
      </c>
      <c r="K9" s="41">
        <f>SUM(D9:J9)</f>
        <v/>
      </c>
      <c r="L9" s="31">
        <f>IFERROR(K9/C9,0)</f>
        <v/>
      </c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548235"/>
    <outlinePr summaryBelow="1" summaryRight="1"/>
    <pageSetUpPr/>
  </sheetPr>
  <dimension ref="A1:S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" customWidth="1" min="19" max="19"/>
  </cols>
  <sheetData>
    <row r="1" ht="26" customHeight="1">
      <c r="A1" s="1" t="inlineStr">
        <is>
          <t>PROFITABILITY</t>
        </is>
      </c>
    </row>
    <row r="2">
      <c r="A2" s="2" t="inlineStr">
        <is>
          <t>Price waterfall -&gt; Pocket Price -&gt; Pocket Margin. Custo industrial = custo real R$/t (27). Trib economica = pocket x ICMS efetivo. Verde = margem&gt;0, vermelho = destruidor de valor.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SALE_ID</t>
        </is>
      </c>
      <c r="B6" s="5" t="inlineStr">
        <is>
          <t>CUST</t>
        </is>
      </c>
      <c r="C6" s="5" t="inlineStr">
        <is>
          <t>PROD</t>
        </is>
      </c>
      <c r="D6" s="5" t="inlineStr">
        <is>
          <t>Qtd t</t>
        </is>
      </c>
      <c r="E6" s="5" t="inlineStr">
        <is>
          <t>Preco tabela
R$/t</t>
        </is>
      </c>
      <c r="F6" s="5" t="inlineStr">
        <is>
          <t>(-)Desc
R$/t</t>
        </is>
      </c>
      <c r="G6" s="5" t="inlineStr">
        <is>
          <t>(-)Bonif
R$/t</t>
        </is>
      </c>
      <c r="H6" s="5" t="inlineStr">
        <is>
          <t>(-)Comissao
R$/t</t>
        </is>
      </c>
      <c r="I6" s="5" t="inlineStr">
        <is>
          <t>(-)Frete
R$/t</t>
        </is>
      </c>
      <c r="J6" s="5" t="inlineStr">
        <is>
          <t>(-)Custo prazo
R$/t</t>
        </is>
      </c>
      <c r="K6" s="5" t="inlineStr">
        <is>
          <t>(-)Inadimpl
R$/t</t>
        </is>
      </c>
      <c r="L6" s="5" t="inlineStr">
        <is>
          <t>POCKET PRICE
R$/t</t>
        </is>
      </c>
      <c r="M6" s="5" t="inlineStr">
        <is>
          <t>(-)Custo indl
R$/t</t>
        </is>
      </c>
      <c r="N6" s="5" t="inlineStr">
        <is>
          <t>(-)C.serve extra
R$/t</t>
        </is>
      </c>
      <c r="O6" s="5" t="inlineStr">
        <is>
          <t>(-)Trib econ
R$/t</t>
        </is>
      </c>
      <c r="P6" s="5" t="inlineStr">
        <is>
          <t>POCKET MARGIN
R$/t</t>
        </is>
      </c>
      <c r="Q6" s="5" t="inlineStr">
        <is>
          <t>Margem %</t>
        </is>
      </c>
      <c r="R6" s="5" t="inlineStr">
        <is>
          <t>Total R$</t>
        </is>
      </c>
      <c r="S6" s="5" t="inlineStr">
        <is>
          <t>Flag</t>
        </is>
      </c>
    </row>
    <row r="7">
      <c r="A7" s="15" t="inlineStr">
        <is>
          <t>V-001</t>
        </is>
      </c>
      <c r="B7" s="17">
        <f>INDEX('33_SALES'!$B$7:$B$67,MATCH(A7,'33_SALES'!$A$7:$A$67,0))</f>
        <v/>
      </c>
      <c r="C7" s="17">
        <f>INDEX('33_SALES'!$C$7:$C$67,MATCH(A7,'33_SALES'!$A$7:$A$67,0))</f>
        <v/>
      </c>
      <c r="D7" s="31">
        <f>INDEX('33_SALES'!$E$7:$E$67,MATCH(A7,'33_SALES'!$A$7:$A$67,0))</f>
        <v/>
      </c>
      <c r="E7" s="31">
        <f>INDEX('33_SALES'!$F$7:$F$67,MATCH(A7,'33_SALES'!$A$7:$A$67,0))</f>
        <v/>
      </c>
      <c r="F7" s="31">
        <f>INDEX('33_SALES'!$G$7:$G$67,MATCH(A7,'33_SALES'!$A$7:$A$67,0))</f>
        <v/>
      </c>
      <c r="G7" s="31">
        <f>INDEX('33_SALES'!$H$7:$H$67,MATCH(A7,'33_SALES'!$A$7:$A$67,0))</f>
        <v/>
      </c>
      <c r="H7" s="31">
        <f>E7*INDEX('33_SALES'!$I$7:$I$67,MATCH(A7,'33_SALES'!$A$7:$A$67,0))</f>
        <v/>
      </c>
      <c r="I7" s="21" t="n">
        <v>40</v>
      </c>
      <c r="J7" s="31">
        <f>(E7-F7-G7)*CUSTO_CAPITAL_ANO*INDEX('33_SALES'!$J$7:$J$67,MATCH(A7,'33_SALES'!$A$7:$A$67,0))/DIAS_ANO</f>
        <v/>
      </c>
      <c r="K7" s="31">
        <f>(E7-F7-G7)*INADIMPL_PCT</f>
        <v/>
      </c>
      <c r="L7" s="41">
        <f>E7-F7-G7-H7-I7-J7-K7</f>
        <v/>
      </c>
      <c r="M7" s="31">
        <f>IFERROR(INDEX('27_ACTUAL_COST'!$H$7:$H$9,MATCH(C7,'27_ACTUAL_COST'!$A$7:$A$9,0)),0)</f>
        <v/>
      </c>
      <c r="N7" s="21" t="n">
        <v>5</v>
      </c>
      <c r="O7" s="31">
        <f>L7*ICMS_EFETIVO</f>
        <v/>
      </c>
      <c r="P7" s="41">
        <f>L7-M7-N7-O7</f>
        <v/>
      </c>
      <c r="Q7" s="23">
        <f>IFERROR(P7/E7,0)</f>
        <v/>
      </c>
      <c r="R7" s="31">
        <f>P7*D7</f>
        <v/>
      </c>
      <c r="S7" s="34">
        <f>IF(P7&lt;0,"DESTRUIDOR DE VALOR",IF(Q7&lt;0.05,"MARGEM BAIXA","OK"))</f>
        <v/>
      </c>
    </row>
    <row r="8">
      <c r="A8" s="15" t="inlineStr">
        <is>
          <t>V-002</t>
        </is>
      </c>
      <c r="B8" s="17">
        <f>INDEX('33_SALES'!$B$7:$B$67,MATCH(A8,'33_SALES'!$A$7:$A$67,0))</f>
        <v/>
      </c>
      <c r="C8" s="17">
        <f>INDEX('33_SALES'!$C$7:$C$67,MATCH(A8,'33_SALES'!$A$7:$A$67,0))</f>
        <v/>
      </c>
      <c r="D8" s="31">
        <f>INDEX('33_SALES'!$E$7:$E$67,MATCH(A8,'33_SALES'!$A$7:$A$67,0))</f>
        <v/>
      </c>
      <c r="E8" s="31">
        <f>INDEX('33_SALES'!$F$7:$F$67,MATCH(A8,'33_SALES'!$A$7:$A$67,0))</f>
        <v/>
      </c>
      <c r="F8" s="31">
        <f>INDEX('33_SALES'!$G$7:$G$67,MATCH(A8,'33_SALES'!$A$7:$A$67,0))</f>
        <v/>
      </c>
      <c r="G8" s="31">
        <f>INDEX('33_SALES'!$H$7:$H$67,MATCH(A8,'33_SALES'!$A$7:$A$67,0))</f>
        <v/>
      </c>
      <c r="H8" s="31">
        <f>E8*INDEX('33_SALES'!$I$7:$I$67,MATCH(A8,'33_SALES'!$A$7:$A$67,0))</f>
        <v/>
      </c>
      <c r="I8" s="21" t="n">
        <v>0</v>
      </c>
      <c r="J8" s="31">
        <f>(E8-F8-G8)*CUSTO_CAPITAL_ANO*INDEX('33_SALES'!$J$7:$J$67,MATCH(A8,'33_SALES'!$A$7:$A$67,0))/DIAS_ANO</f>
        <v/>
      </c>
      <c r="K8" s="31">
        <f>(E8-F8-G8)*INADIMPL_PCT</f>
        <v/>
      </c>
      <c r="L8" s="41">
        <f>E8-F8-G8-H8-I8-J8-K8</f>
        <v/>
      </c>
      <c r="M8" s="31">
        <f>IFERROR(INDEX('27_ACTUAL_COST'!$H$7:$H$9,MATCH(C8,'27_ACTUAL_COST'!$A$7:$A$9,0)),0)</f>
        <v/>
      </c>
      <c r="N8" s="21" t="n">
        <v>5</v>
      </c>
      <c r="O8" s="31">
        <f>L8*ICMS_EFETIVO</f>
        <v/>
      </c>
      <c r="P8" s="41">
        <f>L8-M8-N8-O8</f>
        <v/>
      </c>
      <c r="Q8" s="23">
        <f>IFERROR(P8/E8,0)</f>
        <v/>
      </c>
      <c r="R8" s="31">
        <f>P8*D8</f>
        <v/>
      </c>
      <c r="S8" s="34">
        <f>IF(P8&lt;0,"DESTRUIDOR DE VALOR",IF(Q8&lt;0.05,"MARGEM BAIXA","OK"))</f>
        <v/>
      </c>
    </row>
    <row r="9">
      <c r="A9" s="15" t="inlineStr">
        <is>
          <t>V-003</t>
        </is>
      </c>
      <c r="B9" s="17">
        <f>INDEX('33_SALES'!$B$7:$B$67,MATCH(A9,'33_SALES'!$A$7:$A$67,0))</f>
        <v/>
      </c>
      <c r="C9" s="17">
        <f>INDEX('33_SALES'!$C$7:$C$67,MATCH(A9,'33_SALES'!$A$7:$A$67,0))</f>
        <v/>
      </c>
      <c r="D9" s="31">
        <f>INDEX('33_SALES'!$E$7:$E$67,MATCH(A9,'33_SALES'!$A$7:$A$67,0))</f>
        <v/>
      </c>
      <c r="E9" s="31">
        <f>INDEX('33_SALES'!$F$7:$F$67,MATCH(A9,'33_SALES'!$A$7:$A$67,0))</f>
        <v/>
      </c>
      <c r="F9" s="31">
        <f>INDEX('33_SALES'!$G$7:$G$67,MATCH(A9,'33_SALES'!$A$7:$A$67,0))</f>
        <v/>
      </c>
      <c r="G9" s="31">
        <f>INDEX('33_SALES'!$H$7:$H$67,MATCH(A9,'33_SALES'!$A$7:$A$67,0))</f>
        <v/>
      </c>
      <c r="H9" s="31">
        <f>E9*INDEX('33_SALES'!$I$7:$I$67,MATCH(A9,'33_SALES'!$A$7:$A$67,0))</f>
        <v/>
      </c>
      <c r="I9" s="21" t="n">
        <v>0</v>
      </c>
      <c r="J9" s="31">
        <f>(E9-F9-G9)*CUSTO_CAPITAL_ANO*INDEX('33_SALES'!$J$7:$J$67,MATCH(A9,'33_SALES'!$A$7:$A$67,0))/DIAS_ANO</f>
        <v/>
      </c>
      <c r="K9" s="31">
        <f>(E9-F9-G9)*INADIMPL_PCT</f>
        <v/>
      </c>
      <c r="L9" s="41">
        <f>E9-F9-G9-H9-I9-J9-K9</f>
        <v/>
      </c>
      <c r="M9" s="31">
        <f>IFERROR(INDEX('27_ACTUAL_COST'!$H$7:$H$9,MATCH(C9,'27_ACTUAL_COST'!$A$7:$A$9,0)),0)</f>
        <v/>
      </c>
      <c r="N9" s="21" t="n">
        <v>5</v>
      </c>
      <c r="O9" s="31">
        <f>L9*ICMS_EFETIVO</f>
        <v/>
      </c>
      <c r="P9" s="41">
        <f>L9-M9-N9-O9</f>
        <v/>
      </c>
      <c r="Q9" s="23">
        <f>IFERROR(P9/E9,0)</f>
        <v/>
      </c>
      <c r="R9" s="31">
        <f>P9*D9</f>
        <v/>
      </c>
      <c r="S9" s="34">
        <f>IF(P9&lt;0,"DESTRUIDOR DE VALOR",IF(Q9&lt;0.05,"MARGEM BAIXA","OK"))</f>
        <v/>
      </c>
    </row>
  </sheetData>
  <mergeCells count="8">
    <mergeCell ref="F4:G4"/>
    <mergeCell ref="J4:K4"/>
    <mergeCell ref="L4:M4"/>
    <mergeCell ref="A2:R2"/>
    <mergeCell ref="D4:E4"/>
    <mergeCell ref="A1:R1"/>
    <mergeCell ref="H4:I4"/>
    <mergeCell ref="B4:C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548235"/>
    <outlinePr summaryBelow="1" summaryRight="1"/>
    <pageSetUpPr/>
  </sheetPr>
  <dimension ref="A1:M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PRICING</t>
        </is>
      </c>
    </row>
    <row r="2">
      <c r="A2" s="2" t="inlineStr">
        <is>
          <t>Cada nivel tem definicao matematica documentada. Caixa=custo incremental; Contribuicao=custo variavel; Equilibrio=custo total+servir; Min autorizado=equilibrio x(1+piso).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Custo variavel
R$/t</t>
        </is>
      </c>
      <c r="C6" s="5" t="inlineStr">
        <is>
          <t>Custo total
R$/t</t>
        </is>
      </c>
      <c r="D6" s="5" t="inlineStr">
        <is>
          <t>Cost to serve
medio R$/t</t>
        </is>
      </c>
      <c r="E6" s="5" t="inlineStr">
        <is>
          <t>Piso margem %</t>
        </is>
      </c>
      <c r="F6" s="5" t="inlineStr">
        <is>
          <t>1.Preco caixa</t>
        </is>
      </c>
      <c r="G6" s="5" t="inlineStr">
        <is>
          <t>2.Preco contrib.</t>
        </is>
      </c>
      <c r="H6" s="5" t="inlineStr">
        <is>
          <t>3.Preco equilibrio</t>
        </is>
      </c>
      <c r="I6" s="5" t="inlineStr">
        <is>
          <t>4.Preco min. autoriz.</t>
        </is>
      </c>
      <c r="J6" s="5" t="inlineStr">
        <is>
          <t>5.Preco-alvo</t>
        </is>
      </c>
      <c r="K6" s="5" t="inlineStr">
        <is>
          <t>6.Preco estrategico</t>
        </is>
      </c>
      <c r="L6" s="5" t="inlineStr">
        <is>
          <t>7.Preco praticado</t>
        </is>
      </c>
    </row>
    <row r="7">
      <c r="A7" s="15" t="inlineStr">
        <is>
          <t>P001</t>
        </is>
      </c>
      <c r="B7" s="31">
        <f>IFERROR(INDEX('27_ACTUAL_COST'!$D$7:$D$9,MATCH(A7,'27_ACTUAL_COST'!$A$7:$A$9,0)),0)</f>
        <v/>
      </c>
      <c r="C7" s="31">
        <f>IFERROR(INDEX('27_ACTUAL_COST'!$H$7:$H$9,MATCH(A7,'27_ACTUAL_COST'!$A$7:$A$9,0)),0)</f>
        <v/>
      </c>
      <c r="D7" s="21" t="n">
        <v>5</v>
      </c>
      <c r="E7" s="22" t="n">
        <v>0.2</v>
      </c>
      <c r="F7" s="31">
        <f>B7</f>
        <v/>
      </c>
      <c r="G7" s="31">
        <f>B7</f>
        <v/>
      </c>
      <c r="H7" s="31">
        <f>C7+D7</f>
        <v/>
      </c>
      <c r="I7" s="31">
        <f>H7*(1+E7)</f>
        <v/>
      </c>
      <c r="J7" s="21" t="n"/>
      <c r="K7" s="21" t="n"/>
      <c r="L7" s="21" t="n"/>
    </row>
    <row r="8">
      <c r="A8" s="15" t="inlineStr">
        <is>
          <t>P002</t>
        </is>
      </c>
      <c r="B8" s="31">
        <f>IFERROR(INDEX('27_ACTUAL_COST'!$D$7:$D$9,MATCH(A8,'27_ACTUAL_COST'!$A$7:$A$9,0)),0)</f>
        <v/>
      </c>
      <c r="C8" s="31">
        <f>IFERROR(INDEX('27_ACTUAL_COST'!$H$7:$H$9,MATCH(A8,'27_ACTUAL_COST'!$A$7:$A$9,0)),0)</f>
        <v/>
      </c>
      <c r="D8" s="21" t="n">
        <v>5</v>
      </c>
      <c r="E8" s="22" t="n">
        <v>0.2</v>
      </c>
      <c r="F8" s="31">
        <f>B8</f>
        <v/>
      </c>
      <c r="G8" s="31">
        <f>B8</f>
        <v/>
      </c>
      <c r="H8" s="31">
        <f>C8+D8</f>
        <v/>
      </c>
      <c r="I8" s="31">
        <f>H8*(1+E8)</f>
        <v/>
      </c>
      <c r="J8" s="21" t="n"/>
      <c r="K8" s="21" t="n"/>
      <c r="L8" s="21" t="n"/>
    </row>
    <row r="9">
      <c r="A9" s="15" t="inlineStr">
        <is>
          <t>P003</t>
        </is>
      </c>
      <c r="B9" s="31">
        <f>IFERROR(INDEX('27_ACTUAL_COST'!$D$7:$D$9,MATCH(A9,'27_ACTUAL_COST'!$A$7:$A$9,0)),0)</f>
        <v/>
      </c>
      <c r="C9" s="31">
        <f>IFERROR(INDEX('27_ACTUAL_COST'!$H$7:$H$9,MATCH(A9,'27_ACTUAL_COST'!$A$7:$A$9,0)),0)</f>
        <v/>
      </c>
      <c r="D9" s="21" t="n">
        <v>5</v>
      </c>
      <c r="E9" s="22" t="n">
        <v>0.2</v>
      </c>
      <c r="F9" s="31">
        <f>B9</f>
        <v/>
      </c>
      <c r="G9" s="31">
        <f>B9</f>
        <v/>
      </c>
      <c r="H9" s="31">
        <f>C9+D9</f>
        <v/>
      </c>
      <c r="I9" s="31">
        <f>H9*(1+E9)</f>
        <v/>
      </c>
      <c r="J9" s="21" t="n"/>
      <c r="K9" s="21" t="n"/>
      <c r="L9" s="21" t="n"/>
    </row>
  </sheetData>
  <mergeCells count="8">
    <mergeCell ref="F4:G4"/>
    <mergeCell ref="A2:L2"/>
    <mergeCell ref="J4:K4"/>
    <mergeCell ref="L4:M4"/>
    <mergeCell ref="A1:L1"/>
    <mergeCell ref="D4:E4"/>
    <mergeCell ref="H4:I4"/>
    <mergeCell ref="B4:C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203864"/>
    <outlinePr summaryBelow="1" summaryRight="1"/>
    <pageSetUpPr/>
  </sheetPr>
  <dimension ref="A1:M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1" customWidth="1" min="9" max="9"/>
  </cols>
  <sheetData>
    <row r="1" ht="26" customHeight="1">
      <c r="A1" s="1" t="inlineStr">
        <is>
          <t>RECON COST</t>
        </is>
      </c>
    </row>
    <row r="2">
      <c r="A2" s="2" t="inlineStr">
        <is>
          <t>Para cada produto: Custo padrao + variacoes = custo real. Residual deve -&gt; 0. Se residual !=0, ha variacao nao identificada (nunca esconder em 'Outros').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Std total R$
(26!G)</t>
        </is>
      </c>
      <c r="C6" s="5" t="inlineStr">
        <is>
          <t>PPV R$</t>
        </is>
      </c>
      <c r="D6" s="5" t="inlineStr">
        <is>
          <t>Usage R$</t>
        </is>
      </c>
      <c r="E6" s="5" t="inlineStr">
        <is>
          <t>Conv var R$</t>
        </is>
      </c>
      <c r="F6" s="5" t="inlineStr">
        <is>
          <t>Total var R$</t>
        </is>
      </c>
      <c r="G6" s="5" t="inlineStr">
        <is>
          <t>Std+Var R$</t>
        </is>
      </c>
      <c r="H6" s="5" t="inlineStr">
        <is>
          <t>Actual R$
(27!G)</t>
        </is>
      </c>
      <c r="I6" s="5" t="inlineStr">
        <is>
          <t>Residual R$</t>
        </is>
      </c>
    </row>
    <row r="7">
      <c r="A7" s="15" t="inlineStr">
        <is>
          <t>P001</t>
        </is>
      </c>
      <c r="B7" s="31">
        <f>IFERROR(INDEX('26_STANDARD_COST'!$G$7:$G$9,MATCH(A7,'26_STANDARD_COST'!$A$7:$A$9,0)),0)</f>
        <v/>
      </c>
      <c r="C7" s="31">
        <f>IFERROR(INDEX('28_VARIANCES'!$D$23:$D$25,MATCH(A7,'28_VARIANCES'!$A$23:$A$25,0)),0)</f>
        <v/>
      </c>
      <c r="D7" s="31">
        <f>IFERROR(INDEX('28_VARIANCES'!$E$23:$E$25,MATCH(A7,'28_VARIANCES'!$A$23:$A$25,0)),0)</f>
        <v/>
      </c>
      <c r="E7" s="31">
        <f>IFERROR(INDEX('28_VARIANCES'!$K$23:$K$25,MATCH(A7,'28_VARIANCES'!$A$23:$A$25,0)),0)</f>
        <v/>
      </c>
      <c r="F7" s="31">
        <f>C7+D7+E7</f>
        <v/>
      </c>
      <c r="G7" s="31">
        <f>B7+F7</f>
        <v/>
      </c>
      <c r="H7" s="31">
        <f>IFERROR(INDEX('27_ACTUAL_COST'!$G$7:$G$9,MATCH(A7,'27_ACTUAL_COST'!$A$7:$A$9,0)),0)</f>
        <v/>
      </c>
      <c r="I7" s="44">
        <f>ROUND(G7-H7,2)</f>
        <v/>
      </c>
    </row>
    <row r="8">
      <c r="A8" s="15" t="inlineStr">
        <is>
          <t>P002</t>
        </is>
      </c>
      <c r="B8" s="31">
        <f>IFERROR(INDEX('26_STANDARD_COST'!$G$7:$G$9,MATCH(A8,'26_STANDARD_COST'!$A$7:$A$9,0)),0)</f>
        <v/>
      </c>
      <c r="C8" s="31">
        <f>IFERROR(INDEX('28_VARIANCES'!$D$23:$D$25,MATCH(A8,'28_VARIANCES'!$A$23:$A$25,0)),0)</f>
        <v/>
      </c>
      <c r="D8" s="31">
        <f>IFERROR(INDEX('28_VARIANCES'!$E$23:$E$25,MATCH(A8,'28_VARIANCES'!$A$23:$A$25,0)),0)</f>
        <v/>
      </c>
      <c r="E8" s="31">
        <f>IFERROR(INDEX('28_VARIANCES'!$K$23:$K$25,MATCH(A8,'28_VARIANCES'!$A$23:$A$25,0)),0)</f>
        <v/>
      </c>
      <c r="F8" s="31">
        <f>C8+D8+E8</f>
        <v/>
      </c>
      <c r="G8" s="31">
        <f>B8+F8</f>
        <v/>
      </c>
      <c r="H8" s="31">
        <f>IFERROR(INDEX('27_ACTUAL_COST'!$G$7:$G$9,MATCH(A8,'27_ACTUAL_COST'!$A$7:$A$9,0)),0)</f>
        <v/>
      </c>
      <c r="I8" s="44">
        <f>ROUND(G8-H8,2)</f>
        <v/>
      </c>
    </row>
    <row r="9">
      <c r="A9" s="15" t="inlineStr">
        <is>
          <t>P003</t>
        </is>
      </c>
      <c r="B9" s="31">
        <f>IFERROR(INDEX('26_STANDARD_COST'!$G$7:$G$9,MATCH(A9,'26_STANDARD_COST'!$A$7:$A$9,0)),0)</f>
        <v/>
      </c>
      <c r="C9" s="31">
        <f>IFERROR(INDEX('28_VARIANCES'!$D$23:$D$25,MATCH(A9,'28_VARIANCES'!$A$23:$A$25,0)),0)</f>
        <v/>
      </c>
      <c r="D9" s="31">
        <f>IFERROR(INDEX('28_VARIANCES'!$E$23:$E$25,MATCH(A9,'28_VARIANCES'!$A$23:$A$25,0)),0)</f>
        <v/>
      </c>
      <c r="E9" s="31">
        <f>IFERROR(INDEX('28_VARIANCES'!$K$23:$K$25,MATCH(A9,'28_VARIANCES'!$A$23:$A$25,0)),0)</f>
        <v/>
      </c>
      <c r="F9" s="31">
        <f>C9+D9+E9</f>
        <v/>
      </c>
      <c r="G9" s="31">
        <f>B9+F9</f>
        <v/>
      </c>
      <c r="H9" s="31">
        <f>IFERROR(INDEX('27_ACTUAL_COST'!$G$7:$G$9,MATCH(A9,'27_ACTUAL_COST'!$A$7:$A$9,0)),0)</f>
        <v/>
      </c>
      <c r="I9" s="44">
        <f>ROUND(G9-H9,2)</f>
        <v/>
      </c>
    </row>
    <row r="11">
      <c r="A11" s="2" t="inlineStr">
        <is>
          <t>Residual total:</t>
        </is>
      </c>
      <c r="I11" s="44">
        <f>ROUND(SUM(I7:I9),2)</f>
        <v/>
      </c>
    </row>
  </sheetData>
  <mergeCells count="8">
    <mergeCell ref="F4:G4"/>
    <mergeCell ref="J4:K4"/>
    <mergeCell ref="A2:I2"/>
    <mergeCell ref="L4:M4"/>
    <mergeCell ref="A1:I1"/>
    <mergeCell ref="D4:E4"/>
    <mergeCell ref="H4:I4"/>
    <mergeCell ref="B4:C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203864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2" customWidth="1" min="5" max="5"/>
    <col width="26" customWidth="1" min="6" max="6"/>
  </cols>
  <sheetData>
    <row r="1" ht="26" customHeight="1">
      <c r="A1" s="1" t="inlineStr">
        <is>
          <t>RECON ACCOUNTING</t>
        </is>
      </c>
    </row>
    <row r="2">
      <c r="A2" s="2" t="inlineStr">
        <is>
          <t>Bridge entre COST MODEL e RAZAO/CPV: contas, centros, estoque, provisoes, depreciacao, competencia, rateios. Sem driver causal defensavel -&gt; UNALLOCATED (nao ratear).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Conta contabil</t>
        </is>
      </c>
      <c r="B6" s="5" t="inlineStr">
        <is>
          <t>Centro custo</t>
        </is>
      </c>
      <c r="C6" s="5" t="inlineStr">
        <is>
          <t>Cost model R$</t>
        </is>
      </c>
      <c r="D6" s="5" t="inlineStr">
        <is>
          <t>Razao/CPV R$</t>
        </is>
      </c>
      <c r="E6" s="5" t="inlineStr">
        <is>
          <t>Diferenca R$</t>
        </is>
      </c>
      <c r="F6" s="5" t="inlineStr">
        <is>
          <t>Natureza da diferenca</t>
        </is>
      </c>
    </row>
    <row r="7" ht="15" customHeight="1">
      <c r="A7" s="18" t="inlineStr">
        <is>
          <t>Materias-primas consumidas</t>
        </is>
      </c>
      <c r="B7" s="18" t="inlineStr">
        <is>
          <t>CC-PROD</t>
        </is>
      </c>
      <c r="C7" s="30" t="n"/>
      <c r="D7" s="30" t="n"/>
      <c r="E7" s="33">
        <f>C7-D7</f>
        <v/>
      </c>
      <c r="F7" s="18" t="inlineStr">
        <is>
          <t>Competencia/estoque</t>
        </is>
      </c>
    </row>
    <row r="8" ht="15" customHeight="1">
      <c r="A8" s="18" t="inlineStr">
        <is>
          <t>Mao de obra direta</t>
        </is>
      </c>
      <c r="B8" s="18" t="inlineStr">
        <is>
          <t>CC-PROD</t>
        </is>
      </c>
      <c r="C8" s="30" t="n"/>
      <c r="D8" s="30" t="n"/>
      <c r="E8" s="33">
        <f>C8-D8</f>
        <v/>
      </c>
      <c r="F8" s="18" t="inlineStr">
        <is>
          <t>Rateio/provisao</t>
        </is>
      </c>
    </row>
    <row r="9" ht="15" customHeight="1">
      <c r="A9" s="18" t="inlineStr">
        <is>
          <t>Energia</t>
        </is>
      </c>
      <c r="B9" s="18" t="inlineStr">
        <is>
          <t>CC-PROD</t>
        </is>
      </c>
      <c r="C9" s="30" t="n"/>
      <c r="D9" s="30" t="n"/>
      <c r="E9" s="33">
        <f>C9-D9</f>
        <v/>
      </c>
      <c r="F9" s="18" t="inlineStr">
        <is>
          <t>Competencia</t>
        </is>
      </c>
    </row>
    <row r="10" ht="15" customHeight="1">
      <c r="A10" s="18" t="inlineStr">
        <is>
          <t>Depreciacao</t>
        </is>
      </c>
      <c r="B10" s="18" t="inlineStr">
        <is>
          <t>CC-PROD</t>
        </is>
      </c>
      <c r="C10" s="30" t="n"/>
      <c r="D10" s="30" t="n"/>
      <c r="E10" s="33">
        <f>C10-D10</f>
        <v/>
      </c>
      <c r="F10" s="18" t="inlineStr">
        <is>
          <t>Metodo</t>
        </is>
      </c>
    </row>
    <row r="11" ht="15" customHeight="1">
      <c r="A11" s="18" t="inlineStr">
        <is>
          <t>Manutencao</t>
        </is>
      </c>
      <c r="B11" s="18" t="inlineStr">
        <is>
          <t>CC-MANUT</t>
        </is>
      </c>
      <c r="C11" s="30" t="n"/>
      <c r="D11" s="30" t="n"/>
      <c r="E11" s="33">
        <f>C11-D11</f>
        <v/>
      </c>
      <c r="F11" s="18" t="inlineStr">
        <is>
          <t>Provisao</t>
        </is>
      </c>
    </row>
    <row r="12" ht="15" customHeight="1">
      <c r="A12" s="18" t="inlineStr">
        <is>
          <t>UNALLOCATED (sem driver)</t>
        </is>
      </c>
      <c r="B12" s="18" t="inlineStr">
        <is>
          <t>-</t>
        </is>
      </c>
      <c r="C12" s="30" t="n"/>
      <c r="D12" s="30" t="n"/>
      <c r="E12" s="33">
        <f>C12-D12</f>
        <v/>
      </c>
      <c r="F12" s="18" t="inlineStr">
        <is>
          <t>Custo nao alocado por falta de driver</t>
        </is>
      </c>
    </row>
    <row r="13" ht="15" customHeight="1">
      <c r="A13" s="18" t="n"/>
      <c r="B13" s="18" t="n"/>
      <c r="C13" s="30" t="n"/>
      <c r="D13" s="30" t="n"/>
      <c r="E13" s="33" t="n"/>
      <c r="F13" s="18" t="n"/>
    </row>
    <row r="14" ht="15" customHeight="1">
      <c r="A14" s="50" t="inlineStr">
        <is>
          <t>^ Linhas acima = dados DEMO (marcados). Abaixo: campos de entrada em branco para dados reais.</t>
        </is>
      </c>
      <c r="B14" s="18" t="n"/>
      <c r="C14" s="30" t="n"/>
      <c r="D14" s="30" t="n"/>
      <c r="E14" s="33" t="n"/>
      <c r="F14" s="18" t="n"/>
    </row>
    <row r="15" ht="15" customHeight="1">
      <c r="A15" s="18" t="n"/>
      <c r="B15" s="18" t="n"/>
      <c r="C15" s="30" t="n"/>
      <c r="D15" s="30" t="n"/>
      <c r="E15" s="33" t="n"/>
      <c r="F15" s="18" t="n"/>
    </row>
    <row r="16" ht="15" customHeight="1">
      <c r="A16" s="18" t="n"/>
      <c r="B16" s="18" t="n"/>
      <c r="C16" s="30" t="n"/>
      <c r="D16" s="30" t="n"/>
      <c r="E16" s="33" t="n"/>
      <c r="F16" s="18" t="n"/>
    </row>
    <row r="17" ht="15" customHeight="1">
      <c r="A17" s="18" t="n"/>
      <c r="B17" s="18" t="n"/>
      <c r="C17" s="30" t="n"/>
      <c r="D17" s="30" t="n"/>
      <c r="E17" s="33" t="n"/>
      <c r="F17" s="18" t="n"/>
    </row>
    <row r="18" ht="15" customHeight="1">
      <c r="A18" s="18" t="n"/>
      <c r="B18" s="18" t="n"/>
      <c r="C18" s="30" t="n"/>
      <c r="D18" s="30" t="n"/>
      <c r="E18" s="33" t="n"/>
      <c r="F18" s="18" t="n"/>
    </row>
    <row r="19" ht="15" customHeight="1">
      <c r="A19" s="18" t="n"/>
      <c r="B19" s="18" t="n"/>
      <c r="C19" s="30" t="n"/>
      <c r="D19" s="30" t="n"/>
      <c r="E19" s="33" t="n"/>
      <c r="F19" s="18" t="n"/>
    </row>
    <row r="20" ht="15" customHeight="1">
      <c r="A20" s="18" t="n"/>
      <c r="B20" s="18" t="n"/>
      <c r="C20" s="30" t="n"/>
      <c r="D20" s="30" t="n"/>
      <c r="E20" s="33" t="n"/>
      <c r="F20" s="18" t="n"/>
    </row>
    <row r="21" ht="15" customHeight="1">
      <c r="A21" s="18" t="n"/>
      <c r="B21" s="18" t="n"/>
      <c r="C21" s="30" t="n"/>
      <c r="D21" s="30" t="n"/>
      <c r="E21" s="33" t="n"/>
      <c r="F21" s="18" t="n"/>
    </row>
    <row r="22" ht="15" customHeight="1">
      <c r="A22" s="18" t="n"/>
      <c r="B22" s="18" t="n"/>
      <c r="C22" s="30" t="n"/>
      <c r="D22" s="30" t="n"/>
      <c r="E22" s="33" t="n"/>
      <c r="F22" s="18" t="n"/>
    </row>
    <row r="23" ht="15" customHeight="1">
      <c r="A23" s="18" t="n"/>
      <c r="B23" s="18" t="n"/>
      <c r="C23" s="30" t="n"/>
      <c r="D23" s="30" t="n"/>
      <c r="E23" s="33" t="n"/>
      <c r="F23" s="18" t="n"/>
    </row>
    <row r="24" ht="15" customHeight="1">
      <c r="A24" s="18" t="n"/>
      <c r="B24" s="18" t="n"/>
      <c r="C24" s="30" t="n"/>
      <c r="D24" s="30" t="n"/>
      <c r="E24" s="33" t="n"/>
      <c r="F24" s="18" t="n"/>
    </row>
    <row r="25" ht="15" customHeight="1">
      <c r="A25" s="18" t="n"/>
      <c r="B25" s="18" t="n"/>
      <c r="C25" s="30" t="n"/>
      <c r="D25" s="30" t="n"/>
      <c r="E25" s="33" t="n"/>
      <c r="F25" s="18" t="n"/>
    </row>
    <row r="26" ht="15" customHeight="1">
      <c r="A26" s="18" t="n"/>
      <c r="B26" s="18" t="n"/>
      <c r="C26" s="30" t="n"/>
      <c r="D26" s="30" t="n"/>
      <c r="E26" s="33" t="n"/>
      <c r="F26" s="18" t="n"/>
    </row>
    <row r="27" ht="15" customHeight="1">
      <c r="A27" s="18" t="n"/>
      <c r="B27" s="18" t="n"/>
      <c r="C27" s="30" t="n"/>
      <c r="D27" s="30" t="n"/>
      <c r="E27" s="33" t="n"/>
      <c r="F27" s="18" t="n"/>
    </row>
    <row r="28" ht="15" customHeight="1">
      <c r="A28" s="18" t="n"/>
      <c r="B28" s="18" t="n"/>
      <c r="C28" s="30" t="n"/>
      <c r="D28" s="30" t="n"/>
      <c r="E28" s="33" t="n"/>
      <c r="F28" s="18" t="n"/>
    </row>
    <row r="29" ht="15" customHeight="1">
      <c r="A29" s="18" t="n"/>
      <c r="B29" s="18" t="n"/>
      <c r="C29" s="30" t="n"/>
      <c r="D29" s="30" t="n"/>
      <c r="E29" s="33" t="n"/>
      <c r="F29" s="18" t="n"/>
    </row>
    <row r="30" ht="15" customHeight="1">
      <c r="A30" s="18" t="n"/>
      <c r="B30" s="18" t="n"/>
      <c r="C30" s="30" t="n"/>
      <c r="D30" s="30" t="n"/>
      <c r="E30" s="33" t="n"/>
      <c r="F30" s="18" t="n"/>
    </row>
    <row r="31" ht="15" customHeight="1">
      <c r="A31" s="18" t="n"/>
      <c r="B31" s="18" t="n"/>
      <c r="C31" s="30" t="n"/>
      <c r="D31" s="30" t="n"/>
      <c r="E31" s="33" t="n"/>
      <c r="F31" s="18" t="n"/>
    </row>
    <row r="32" ht="15" customHeight="1">
      <c r="A32" s="18" t="n"/>
      <c r="B32" s="18" t="n"/>
      <c r="C32" s="30" t="n"/>
      <c r="D32" s="30" t="n"/>
      <c r="E32" s="33" t="n"/>
      <c r="F32" s="18" t="n"/>
    </row>
    <row r="33" ht="15" customHeight="1">
      <c r="A33" s="18" t="n"/>
      <c r="B33" s="18" t="n"/>
      <c r="C33" s="30" t="n"/>
      <c r="D33" s="30" t="n"/>
      <c r="E33" s="33" t="n"/>
      <c r="F33" s="18" t="n"/>
    </row>
    <row r="34" ht="15" customHeight="1">
      <c r="A34" s="18" t="n"/>
      <c r="B34" s="18" t="n"/>
      <c r="C34" s="30" t="n"/>
      <c r="D34" s="30" t="n"/>
      <c r="E34" s="33" t="n"/>
      <c r="F34" s="18" t="n"/>
    </row>
    <row r="35" ht="15" customHeight="1">
      <c r="A35" s="18" t="n"/>
      <c r="B35" s="18" t="n"/>
      <c r="C35" s="30" t="n"/>
      <c r="D35" s="30" t="n"/>
      <c r="E35" s="33" t="n"/>
      <c r="F35" s="18" t="n"/>
    </row>
    <row r="36" ht="15" customHeight="1">
      <c r="A36" s="18" t="n"/>
      <c r="B36" s="18" t="n"/>
      <c r="C36" s="30" t="n"/>
      <c r="D36" s="30" t="n"/>
      <c r="E36" s="33" t="n"/>
      <c r="F36" s="18" t="n"/>
    </row>
    <row r="37" ht="15" customHeight="1">
      <c r="A37" s="18" t="n"/>
      <c r="B37" s="18" t="n"/>
      <c r="C37" s="30" t="n"/>
      <c r="D37" s="30" t="n"/>
      <c r="E37" s="33" t="n"/>
      <c r="F37" s="18" t="n"/>
    </row>
    <row r="38" ht="15" customHeight="1">
      <c r="A38" s="18" t="n"/>
      <c r="B38" s="18" t="n"/>
      <c r="C38" s="30" t="n"/>
      <c r="D38" s="30" t="n"/>
      <c r="E38" s="33" t="n"/>
      <c r="F38" s="18" t="n"/>
    </row>
    <row r="39" ht="15" customHeight="1">
      <c r="A39" s="18" t="n"/>
      <c r="B39" s="18" t="n"/>
      <c r="C39" s="30" t="n"/>
      <c r="D39" s="30" t="n"/>
      <c r="E39" s="33" t="n"/>
      <c r="F39" s="18" t="n"/>
    </row>
    <row r="40" ht="15" customHeight="1">
      <c r="A40" s="18" t="n"/>
      <c r="B40" s="18" t="n"/>
      <c r="C40" s="30" t="n"/>
      <c r="D40" s="30" t="n"/>
      <c r="E40" s="33" t="n"/>
      <c r="F40" s="18" t="n"/>
    </row>
    <row r="41" ht="15" customHeight="1">
      <c r="A41" s="18" t="n"/>
      <c r="B41" s="18" t="n"/>
      <c r="C41" s="30" t="n"/>
      <c r="D41" s="30" t="n"/>
      <c r="E41" s="33" t="n"/>
      <c r="F41" s="18" t="n"/>
    </row>
    <row r="42" ht="15" customHeight="1">
      <c r="A42" s="18" t="n"/>
      <c r="B42" s="18" t="n"/>
      <c r="C42" s="30" t="n"/>
      <c r="D42" s="30" t="n"/>
      <c r="E42" s="33" t="n"/>
      <c r="F42" s="18" t="n"/>
    </row>
    <row r="43" ht="15" customHeight="1">
      <c r="A43" s="18" t="n"/>
      <c r="B43" s="18" t="n"/>
      <c r="C43" s="30" t="n"/>
      <c r="D43" s="30" t="n"/>
      <c r="E43" s="33" t="n"/>
      <c r="F43" s="18" t="n"/>
    </row>
    <row r="44" ht="15" customHeight="1">
      <c r="A44" s="18" t="n"/>
      <c r="B44" s="18" t="n"/>
      <c r="C44" s="30" t="n"/>
      <c r="D44" s="30" t="n"/>
      <c r="E44" s="33" t="n"/>
      <c r="F44" s="18" t="n"/>
    </row>
    <row r="45" ht="15" customHeight="1">
      <c r="A45" s="18" t="n"/>
      <c r="B45" s="18" t="n"/>
      <c r="C45" s="30" t="n"/>
      <c r="D45" s="30" t="n"/>
      <c r="E45" s="33" t="n"/>
      <c r="F45" s="18" t="n"/>
    </row>
    <row r="46" ht="15" customHeight="1">
      <c r="A46" s="18" t="n"/>
      <c r="B46" s="18" t="n"/>
      <c r="C46" s="30" t="n"/>
      <c r="D46" s="30" t="n"/>
      <c r="E46" s="33" t="n"/>
      <c r="F46" s="18" t="n"/>
    </row>
    <row r="47" ht="15" customHeight="1">
      <c r="A47" s="18" t="n"/>
      <c r="B47" s="18" t="n"/>
      <c r="C47" s="30" t="n"/>
      <c r="D47" s="30" t="n"/>
      <c r="E47" s="33" t="n"/>
      <c r="F47" s="18" t="n"/>
    </row>
    <row r="48" ht="15" customHeight="1">
      <c r="A48" s="18" t="n"/>
      <c r="B48" s="18" t="n"/>
      <c r="C48" s="30" t="n"/>
      <c r="D48" s="30" t="n"/>
      <c r="E48" s="33" t="n"/>
      <c r="F48" s="18" t="n"/>
    </row>
    <row r="49" ht="15" customHeight="1">
      <c r="A49" s="18" t="n"/>
      <c r="B49" s="18" t="n"/>
      <c r="C49" s="30" t="n"/>
      <c r="D49" s="30" t="n"/>
      <c r="E49" s="33" t="n"/>
      <c r="F49" s="18" t="n"/>
    </row>
    <row r="50" ht="15" customHeight="1">
      <c r="A50" s="18" t="n"/>
      <c r="B50" s="18" t="n"/>
      <c r="C50" s="30" t="n"/>
      <c r="D50" s="30" t="n"/>
      <c r="E50" s="33" t="n"/>
      <c r="F50" s="18" t="n"/>
    </row>
    <row r="51" ht="15" customHeight="1">
      <c r="A51" s="18" t="n"/>
      <c r="B51" s="18" t="n"/>
      <c r="C51" s="30" t="n"/>
      <c r="D51" s="30" t="n"/>
      <c r="E51" s="33" t="n"/>
      <c r="F51" s="18" t="n"/>
    </row>
    <row r="52" ht="15" customHeight="1">
      <c r="A52" s="18" t="n"/>
      <c r="B52" s="18" t="n"/>
      <c r="C52" s="30" t="n"/>
      <c r="D52" s="30" t="n"/>
      <c r="E52" s="33" t="n"/>
      <c r="F52" s="18" t="n"/>
    </row>
    <row r="53" ht="15" customHeight="1">
      <c r="A53" s="18" t="n"/>
      <c r="B53" s="18" t="n"/>
      <c r="C53" s="30" t="n"/>
      <c r="D53" s="30" t="n"/>
      <c r="E53" s="33" t="n"/>
      <c r="F53" s="18" t="n"/>
    </row>
    <row r="54" ht="15" customHeight="1">
      <c r="A54" s="18" t="n"/>
      <c r="B54" s="18" t="n"/>
      <c r="C54" s="30" t="n"/>
      <c r="D54" s="30" t="n"/>
      <c r="E54" s="33" t="n"/>
      <c r="F54" s="18" t="n"/>
    </row>
    <row r="55" ht="15" customHeight="1">
      <c r="A55" s="18" t="n"/>
      <c r="B55" s="18" t="n"/>
      <c r="C55" s="30" t="n"/>
      <c r="D55" s="30" t="n"/>
      <c r="E55" s="33" t="n"/>
      <c r="F55" s="18" t="n"/>
    </row>
    <row r="56" ht="15" customHeight="1">
      <c r="A56" s="18" t="n"/>
      <c r="B56" s="18" t="n"/>
      <c r="C56" s="30" t="n"/>
      <c r="D56" s="30" t="n"/>
      <c r="E56" s="33" t="n"/>
      <c r="F56" s="18" t="n"/>
    </row>
    <row r="57" ht="15" customHeight="1">
      <c r="A57" s="18" t="n"/>
      <c r="B57" s="18" t="n"/>
      <c r="C57" s="30" t="n"/>
      <c r="D57" s="30" t="n"/>
      <c r="E57" s="33" t="n"/>
      <c r="F57" s="18" t="n"/>
    </row>
    <row r="58" ht="15" customHeight="1">
      <c r="A58" s="18" t="n"/>
      <c r="B58" s="18" t="n"/>
      <c r="C58" s="30" t="n"/>
      <c r="D58" s="30" t="n"/>
      <c r="E58" s="33" t="n"/>
      <c r="F58" s="18" t="n"/>
    </row>
    <row r="59" ht="15" customHeight="1">
      <c r="A59" s="18" t="n"/>
      <c r="B59" s="18" t="n"/>
      <c r="C59" s="30" t="n"/>
      <c r="D59" s="30" t="n"/>
      <c r="E59" s="33" t="n"/>
      <c r="F59" s="18" t="n"/>
    </row>
    <row r="60" ht="15" customHeight="1">
      <c r="A60" s="18" t="n"/>
      <c r="B60" s="18" t="n"/>
      <c r="C60" s="30" t="n"/>
      <c r="D60" s="30" t="n"/>
      <c r="E60" s="33" t="n"/>
      <c r="F60" s="18" t="n"/>
    </row>
    <row r="61" ht="15" customHeight="1">
      <c r="A61" s="18" t="n"/>
      <c r="B61" s="18" t="n"/>
      <c r="C61" s="30" t="n"/>
      <c r="D61" s="30" t="n"/>
      <c r="E61" s="33" t="n"/>
      <c r="F61" s="18" t="n"/>
    </row>
    <row r="62" ht="15" customHeight="1">
      <c r="A62" s="18" t="n"/>
      <c r="B62" s="18" t="n"/>
      <c r="C62" s="30" t="n"/>
      <c r="D62" s="30" t="n"/>
      <c r="E62" s="33" t="n"/>
      <c r="F62" s="18" t="n"/>
    </row>
    <row r="63" ht="15" customHeight="1">
      <c r="A63" s="18" t="n"/>
      <c r="B63" s="18" t="n"/>
      <c r="C63" s="30" t="n"/>
      <c r="D63" s="30" t="n"/>
      <c r="E63" s="33" t="n"/>
      <c r="F63" s="18" t="n"/>
    </row>
    <row r="64" ht="15" customHeight="1">
      <c r="A64" s="18" t="n"/>
      <c r="B64" s="18" t="n"/>
      <c r="C64" s="30" t="n"/>
      <c r="D64" s="30" t="n"/>
      <c r="E64" s="33" t="n"/>
      <c r="F64" s="18" t="n"/>
    </row>
    <row r="65" ht="15" customHeight="1">
      <c r="A65" s="18" t="n"/>
      <c r="B65" s="18" t="n"/>
      <c r="C65" s="30" t="n"/>
      <c r="D65" s="30" t="n"/>
      <c r="E65" s="33" t="n"/>
      <c r="F65" s="18" t="n"/>
    </row>
    <row r="66" ht="15" customHeight="1">
      <c r="A66" s="18" t="n"/>
      <c r="B66" s="18" t="n"/>
      <c r="C66" s="30" t="n"/>
      <c r="D66" s="30" t="n"/>
      <c r="E66" s="33" t="n"/>
      <c r="F66" s="18" t="n"/>
    </row>
  </sheetData>
  <mergeCells count="8">
    <mergeCell ref="A2:F2"/>
    <mergeCell ref="F4:G4"/>
    <mergeCell ref="J4:K4"/>
    <mergeCell ref="L4:M4"/>
    <mergeCell ref="A1:F1"/>
    <mergeCell ref="D4:E4"/>
    <mergeCell ref="H4:I4"/>
    <mergeCell ref="B4:C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1F3864"/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6" customHeight="1">
      <c r="A1" s="1" t="inlineStr">
        <is>
          <t>PAINEL EXECUTIVO — SKAL COST INTELLIGENCE</t>
        </is>
      </c>
    </row>
    <row r="2">
      <c r="A2" s="2" t="inlineStr">
        <is>
          <t>Poucos numeros, alto impacto. Todos os valores sao calculados das abas de origem. R$/ton boa produzida como unidade base.</t>
        </is>
      </c>
    </row>
    <row r="4">
      <c r="B4" s="51" t="inlineStr">
        <is>
          <t>CUSTO REAL R$/t</t>
        </is>
      </c>
      <c r="C4" s="52" t="n"/>
      <c r="D4" s="51" t="inlineStr">
        <is>
          <t>CUSTO PADRAO R$/t</t>
        </is>
      </c>
      <c r="E4" s="52" t="n"/>
      <c r="F4" s="51" t="inlineStr">
        <is>
          <t>COST GAP TOTAL R$</t>
        </is>
      </c>
      <c r="G4" s="52" t="n"/>
    </row>
    <row r="5" ht="24" customHeight="1">
      <c r="B5" s="53">
        <f>IFERROR(SUM('27_ACTUAL_COST'!$G$7:$G$9)/SUM('17_PRODUCTION_OF'!$L$7:$L$47),0)</f>
        <v/>
      </c>
      <c r="C5" s="52" t="n"/>
      <c r="D5" s="53">
        <f>IFERROR(SUM('26_STANDARD_COST'!$G$7:$G$9)/SUM('17_PRODUCTION_OF'!$L$7:$L$47),0)</f>
        <v/>
      </c>
      <c r="E5" s="52" t="n"/>
      <c r="F5" s="54">
        <f>SUM('27_ACTUAL_COST'!$G$7:$G$9)-SUM('26_STANDARD_COST'!$G$7:$G$9)</f>
        <v/>
      </c>
      <c r="G5" s="52" t="n"/>
    </row>
    <row r="7">
      <c r="B7" s="51" t="inlineStr">
        <is>
          <t>COST GAP R$/t</t>
        </is>
      </c>
      <c r="C7" s="52" t="n"/>
      <c r="D7" s="55" t="inlineStr">
        <is>
          <t>SAVINGS REALIZADOS R$</t>
        </is>
      </c>
      <c r="E7" s="52" t="n"/>
      <c r="F7" s="55" t="inlineStr">
        <is>
          <t>SAVINGS PIPELINE R$</t>
        </is>
      </c>
      <c r="G7" s="52" t="n"/>
    </row>
    <row r="8" ht="24" customHeight="1">
      <c r="B8" s="54">
        <f>IFERROR((SUM('27_ACTUAL_COST'!$G$7:$G$9)-SUM('26_STANDARD_COST'!$G$7:$G$9))/SUM('17_PRODUCTION_OF'!$L$7:$L$47),0)</f>
        <v/>
      </c>
      <c r="C8" s="52" t="n"/>
      <c r="D8" s="56">
        <f>SUMIF('32_SAVINGS'!$P$7:$P$67,"SIM",'32_SAVINGS'!$L$7:$L$67)</f>
        <v/>
      </c>
      <c r="E8" s="52" t="n"/>
      <c r="F8" s="56">
        <f>SUMIF('32_SAVINGS'!$P$7:$P$67,"NAO",'32_SAVINGS'!$L$7:$L$67)</f>
        <v/>
      </c>
      <c r="G8" s="52" t="n"/>
    </row>
    <row r="10">
      <c r="B10" s="51" t="inlineStr">
        <is>
          <t>UNUSED CAPACITY R$</t>
        </is>
      </c>
      <c r="C10" s="52" t="n"/>
      <c r="D10" s="51" t="inlineStr">
        <is>
          <t>COPQ R$</t>
        </is>
      </c>
      <c r="E10" s="52" t="n"/>
      <c r="F10" s="51" t="inlineStr">
        <is>
          <t>GOOD TONS</t>
        </is>
      </c>
      <c r="G10" s="52" t="n"/>
    </row>
    <row r="11" ht="24" customHeight="1">
      <c r="B11" s="54">
        <f>SUM('29_CAPACITY'!$F$7:$F$8)</f>
        <v/>
      </c>
      <c r="C11" s="52" t="n"/>
      <c r="D11" s="54">
        <f>SUM('24_QUALITY'!$E$7:$E$67)</f>
        <v/>
      </c>
      <c r="E11" s="52" t="n"/>
      <c r="F11" s="53">
        <f>SUM('17_PRODUCTION_OF'!$L$7:$L$47)</f>
        <v/>
      </c>
      <c r="G11" s="52" t="n"/>
    </row>
    <row r="14">
      <c r="B14" s="3" t="inlineStr">
        <is>
          <t>DECOMPOSICAO DO DESVIO (Actual - Standard)  —  R$</t>
        </is>
      </c>
    </row>
    <row r="15" ht="30" customHeight="1">
      <c r="B15" s="5" t="inlineStr">
        <is>
          <t>Componente</t>
        </is>
      </c>
      <c r="C15" s="5" t="inlineStr">
        <is>
          <t>R$</t>
        </is>
      </c>
      <c r="D15" s="5" t="inlineStr">
        <is>
          <t>% do gap</t>
        </is>
      </c>
    </row>
    <row r="16">
      <c r="B16" s="6" t="inlineStr">
        <is>
          <t>PPV (preco de compra)</t>
        </is>
      </c>
      <c r="C16" s="31">
        <f>SUM('28_VARIANCES'!$D$23:$D$25)</f>
        <v/>
      </c>
      <c r="D16" s="57">
        <f>IFERROR(C16/(SUM('27_ACTUAL_COST'!$G$7:$G$9)-SUM('26_STANDARD_COST'!$G$7:$G$9)),0)</f>
        <v/>
      </c>
    </row>
    <row r="17">
      <c r="B17" s="6" t="inlineStr">
        <is>
          <t>Usage (consumo)</t>
        </is>
      </c>
      <c r="C17" s="31">
        <f>SUM('28_VARIANCES'!$E$23:$E$25)</f>
        <v/>
      </c>
      <c r="D17" s="57">
        <f>IFERROR(C17/(SUM('27_ACTUAL_COST'!$G$7:$G$9)-SUM('26_STANDARD_COST'!$G$7:$G$9)),0)</f>
        <v/>
      </c>
    </row>
    <row r="18">
      <c r="B18" s="6" t="inlineStr">
        <is>
          <t xml:space="preserve">  - Mix</t>
        </is>
      </c>
      <c r="C18" s="31">
        <f>SUM('28_VARIANCES'!$J$23:$J$25)</f>
        <v/>
      </c>
      <c r="D18" s="57">
        <f>IFERROR(C18/(SUM('27_ACTUAL_COST'!$G$7:$G$9)-SUM('26_STANDARD_COST'!$G$7:$G$9)),0)</f>
        <v/>
      </c>
    </row>
    <row r="19">
      <c r="B19" s="6" t="inlineStr">
        <is>
          <t xml:space="preserve">  - Yield</t>
        </is>
      </c>
      <c r="C19" s="31">
        <f>SUM('28_VARIANCES'!$I$23:$I$25)</f>
        <v/>
      </c>
      <c r="D19" s="57">
        <f>IFERROR(C19/(SUM('27_ACTUAL_COST'!$G$7:$G$9)-SUM('26_STANDARD_COST'!$G$7:$G$9)),0)</f>
        <v/>
      </c>
    </row>
    <row r="20">
      <c r="B20" s="6" t="inlineStr">
        <is>
          <t>Conversao</t>
        </is>
      </c>
      <c r="C20" s="31">
        <f>SUM('28_VARIANCES'!$K$23:$K$25)</f>
        <v/>
      </c>
      <c r="D20" s="57">
        <f>IFERROR(C20/(SUM('27_ACTUAL_COST'!$G$7:$G$9)-SUM('26_STANDARD_COST'!$G$7:$G$9)),0)</f>
        <v/>
      </c>
    </row>
    <row r="21">
      <c r="B21" s="58" t="inlineStr">
        <is>
          <t>TOTAL (PPV+Usage+Conversao)</t>
        </is>
      </c>
      <c r="C21" s="46">
        <f>SUM('28_VARIANCES'!$D$23:$D$25)+SUM('28_VARIANCES'!$E$23:$E$25)+SUM('28_VARIANCES'!$K$23:$K$25)</f>
        <v/>
      </c>
      <c r="D21" s="59">
        <f>IFERROR(C21/(SUM('27_ACTUAL_COST'!$G$7:$G$9)-SUM('26_STANDARD_COST'!$G$7:$G$9)),0)</f>
        <v/>
      </c>
    </row>
    <row r="23">
      <c r="B23" s="2" t="inlineStr">
        <is>
          <t>Nota: PPV+Usage+Conversao deve igualar o Cost Gap Total (Actual-Standard). Ver 42_RECON_COST (residual -&gt; 0).</t>
        </is>
      </c>
    </row>
  </sheetData>
  <mergeCells count="20">
    <mergeCell ref="F4:G4"/>
    <mergeCell ref="F11:G11"/>
    <mergeCell ref="D10:E10"/>
    <mergeCell ref="B7:C7"/>
    <mergeCell ref="F10:G10"/>
    <mergeCell ref="F7:G7"/>
    <mergeCell ref="B11:C11"/>
    <mergeCell ref="D11:E11"/>
    <mergeCell ref="F5:G5"/>
    <mergeCell ref="B8:C8"/>
    <mergeCell ref="F8:G8"/>
    <mergeCell ref="A1:G1"/>
    <mergeCell ref="D7:E7"/>
    <mergeCell ref="B10:C10"/>
    <mergeCell ref="D4:E4"/>
    <mergeCell ref="D8:E8"/>
    <mergeCell ref="B5:C5"/>
    <mergeCell ref="D5:E5"/>
    <mergeCell ref="A2:G2"/>
    <mergeCell ref="B4:C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1F3864"/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40" customWidth="1" min="4" max="4"/>
  </cols>
  <sheetData>
    <row r="1" ht="26" customHeight="1">
      <c r="A1" s="1" t="inlineStr">
        <is>
          <t>PRODUCTION DASHBOARD</t>
        </is>
      </c>
    </row>
    <row r="2">
      <c r="A2" s="2" t="inlineStr">
        <is>
          <t>Produtividade, yield, perdas, energia, COPQ, custo controlavel.</t>
        </is>
      </c>
    </row>
    <row r="4" ht="30" customHeight="1">
      <c r="B4" s="5" t="inlineStr">
        <is>
          <t>Metrica</t>
        </is>
      </c>
      <c r="C4" s="5" t="inlineStr">
        <is>
          <t>Valor</t>
        </is>
      </c>
      <c r="D4" s="5" t="inlineStr">
        <is>
          <t>Fonte</t>
        </is>
      </c>
    </row>
    <row r="5">
      <c r="B5" s="6" t="inlineStr">
        <is>
          <t>Good tons (mes)</t>
        </is>
      </c>
      <c r="C5" s="49">
        <f>SUM('17_PRODUCTION_OF'!$L$7:$L$47)</f>
        <v/>
      </c>
      <c r="D5" s="7" t="inlineStr">
        <is>
          <t>17_PRODUCTION_OF</t>
        </is>
      </c>
    </row>
    <row r="6">
      <c r="B6" s="6" t="inlineStr">
        <is>
          <t>t/h medio (RES-MIST1)</t>
        </is>
      </c>
      <c r="C6" s="49">
        <f>IFERROR(SUMIF('17_PRODUCTION_OF'!$E$7:$E$47,"RES-MIST1",'17_PRODUCTION_OF'!$L$7:$L$47)/SUMIF('17_PRODUCTION_OF'!$E$7:$E$47,"RES-MIST1",'17_PRODUCTION_OF'!$Q$7:$Q$47),0)</f>
        <v/>
      </c>
      <c r="D6" s="7" t="inlineStr">
        <is>
          <t>17</t>
        </is>
      </c>
    </row>
    <row r="7">
      <c r="B7" s="6" t="inlineStr">
        <is>
          <t>Perda total (t)</t>
        </is>
      </c>
      <c r="C7" s="49">
        <f>SUM('17_PRODUCTION_OF'!$O$7:$O$47)</f>
        <v/>
      </c>
      <c r="D7" s="7" t="inlineStr">
        <is>
          <t>17</t>
        </is>
      </c>
    </row>
    <row r="8">
      <c r="B8" s="6" t="inlineStr">
        <is>
          <t>Nao explicado (t)</t>
        </is>
      </c>
      <c r="C8" s="49">
        <f>SUM('19_LOSSES'!$I$7:$I$67)</f>
        <v/>
      </c>
      <c r="D8" s="7" t="inlineStr">
        <is>
          <t>19_LOSSES</t>
        </is>
      </c>
    </row>
    <row r="9">
      <c r="B9" s="6" t="inlineStr">
        <is>
          <t>Usage variance R$</t>
        </is>
      </c>
      <c r="C9" s="49">
        <f>SUM('28_VARIANCES'!$E$23:$E$25)</f>
        <v/>
      </c>
      <c r="D9" s="7" t="inlineStr">
        <is>
          <t>28</t>
        </is>
      </c>
    </row>
    <row r="10">
      <c r="B10" s="6" t="inlineStr">
        <is>
          <t>Yield variance R$</t>
        </is>
      </c>
      <c r="C10" s="49">
        <f>SUM('28_VARIANCES'!$I$23:$I$25)</f>
        <v/>
      </c>
      <c r="D10" s="7" t="inlineStr">
        <is>
          <t>28</t>
        </is>
      </c>
    </row>
    <row r="11">
      <c r="B11" s="6" t="inlineStr">
        <is>
          <t>Energia R$/t</t>
        </is>
      </c>
      <c r="C11" s="49">
        <f>IFERROR(SUM('21_ENERGY'!$H$7:$H$67)/SUM('17_PRODUCTION_OF'!$L$7:$L$47),0)</f>
        <v/>
      </c>
      <c r="D11" s="7" t="inlineStr">
        <is>
          <t>21_ENERGY</t>
        </is>
      </c>
    </row>
    <row r="12">
      <c r="B12" s="6" t="inlineStr">
        <is>
          <t>COPQ R$</t>
        </is>
      </c>
      <c r="C12" s="49">
        <f>SUM('24_QUALITY'!$E$7:$E$67)</f>
        <v/>
      </c>
      <c r="D12" s="7" t="inlineStr">
        <is>
          <t>24_QUALITY</t>
        </is>
      </c>
    </row>
    <row r="13">
      <c r="B13" s="6" t="inlineStr">
        <is>
          <t>Unused capacity R$</t>
        </is>
      </c>
      <c r="C13" s="49">
        <f>SUM('29_CAPACITY'!$F$7:$F$8)</f>
        <v/>
      </c>
      <c r="D13" s="7" t="inlineStr">
        <is>
          <t>29_CAPACITY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1F3864"/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40" customWidth="1" min="4" max="4"/>
  </cols>
  <sheetData>
    <row r="1" ht="26" customHeight="1">
      <c r="A1" s="1" t="inlineStr">
        <is>
          <t>PROCUREMENT DASHBOARD</t>
        </is>
      </c>
    </row>
    <row r="2">
      <c r="A2" s="2" t="inlineStr">
        <is>
          <t>PPV, landed cost, TCO, should cost, supplier gap, credito tributario.</t>
        </is>
      </c>
    </row>
    <row r="4" ht="30" customHeight="1">
      <c r="B4" s="5" t="inlineStr">
        <is>
          <t>Metrica</t>
        </is>
      </c>
      <c r="C4" s="5" t="inlineStr">
        <is>
          <t>Valor</t>
        </is>
      </c>
      <c r="D4" s="5" t="inlineStr">
        <is>
          <t>Fonte</t>
        </is>
      </c>
    </row>
    <row r="5">
      <c r="B5" s="6" t="inlineStr">
        <is>
          <t>PPV total R$</t>
        </is>
      </c>
      <c r="C5" s="49">
        <f>SUM('28_VARIANCES'!$D$23:$D$25)</f>
        <v/>
      </c>
      <c r="D5" s="7" t="inlineStr">
        <is>
          <t>28</t>
        </is>
      </c>
    </row>
    <row r="6">
      <c r="B6" s="6" t="inlineStr">
        <is>
          <t>Landed net Cimento R$/t</t>
        </is>
      </c>
      <c r="C6" s="49">
        <f>IFERROR(INDEX('09_LANDED_COST'!$P$7:$P$47,MATCH("M001",'09_LANDED_COST'!$A$7:$A$47,0)),0)</f>
        <v/>
      </c>
      <c r="D6" s="7" t="inlineStr">
        <is>
          <t>09</t>
        </is>
      </c>
    </row>
    <row r="7">
      <c r="B7" s="6" t="inlineStr">
        <is>
          <t>Credito tributario potencial R$</t>
        </is>
      </c>
      <c r="C7" s="49">
        <f>SUM('11_TAX_CREDITS'!$D$7:$D$67)+SUM('11_TAX_CREDITS'!$E$7:$E$67)</f>
        <v/>
      </c>
      <c r="D7" s="7" t="inlineStr">
        <is>
          <t>11_TAX_CREDITS</t>
        </is>
      </c>
    </row>
    <row r="8">
      <c r="B8" s="6" t="inlineStr">
        <is>
          <t>Should cost gap R$</t>
        </is>
      </c>
      <c r="C8" s="60" t="inlineStr">
        <is>
          <t>DADO NECESSARIO</t>
        </is>
      </c>
      <c r="D8" s="7" t="inlineStr">
        <is>
          <t>16 (DATA_GAPS: preco mercado/should cost)</t>
        </is>
      </c>
    </row>
    <row r="9">
      <c r="B9" s="6" t="inlineStr">
        <is>
          <t>Supplier TCO ranking</t>
        </is>
      </c>
      <c r="C9" s="60" t="inlineStr">
        <is>
          <t>DADO NECESSARIO</t>
        </is>
      </c>
      <c r="D9" s="7" t="inlineStr">
        <is>
          <t>15/TCO (DATA_GAPS)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1F3864"/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40" customWidth="1" min="4" max="4"/>
  </cols>
  <sheetData>
    <row r="1" ht="26" customHeight="1">
      <c r="A1" s="1" t="inlineStr">
        <is>
          <t>COMMERCIAL DASHBOARD</t>
        </is>
      </c>
    </row>
    <row r="2">
      <c r="A2" s="2" t="inlineStr">
        <is>
          <t>Preco, pocket price, cost to serve, margem, cliente x SKU. O comercial NAO altera formulas de custo industrial.</t>
        </is>
      </c>
    </row>
    <row r="4" ht="30" customHeight="1">
      <c r="B4" s="5" t="inlineStr">
        <is>
          <t>Metrica</t>
        </is>
      </c>
      <c r="C4" s="5" t="inlineStr">
        <is>
          <t>Valor</t>
        </is>
      </c>
      <c r="D4" s="5" t="inlineStr">
        <is>
          <t>Fonte</t>
        </is>
      </c>
    </row>
    <row r="5">
      <c r="B5" s="6" t="inlineStr">
        <is>
          <t>Pocket margin total R$</t>
        </is>
      </c>
      <c r="C5" s="49">
        <f>SUM('40_PROFITABILITY'!$R$7:$R$9)</f>
        <v/>
      </c>
      <c r="D5" s="7" t="inlineStr">
        <is>
          <t>40_PROFITABILITY</t>
        </is>
      </c>
    </row>
    <row r="6">
      <c r="B6" s="6" t="inlineStr">
        <is>
          <t>Cost to serve total R$</t>
        </is>
      </c>
      <c r="C6" s="49">
        <f>SUM('38_COST_TO_SERVE'!$K$7:$K$67)</f>
        <v/>
      </c>
      <c r="D6" s="7" t="inlineStr">
        <is>
          <t>38</t>
        </is>
      </c>
    </row>
    <row r="7">
      <c r="B7" s="6" t="inlineStr">
        <is>
          <t>Vendas total t</t>
        </is>
      </c>
      <c r="C7" s="49">
        <f>SUM('33_SALES'!$E$7:$E$67)</f>
        <v/>
      </c>
      <c r="D7" s="7" t="inlineStr">
        <is>
          <t>33_SALES</t>
        </is>
      </c>
    </row>
    <row r="8">
      <c r="B8" s="6" t="inlineStr">
        <is>
          <t>Destruidores de valor (qtd)</t>
        </is>
      </c>
      <c r="C8" s="61">
        <f>COUNTIF('40_PROFITABILITY'!$S$7:$S$9,"DESTRUIDOR DE VALOR")</f>
        <v/>
      </c>
      <c r="D8" s="7" t="inlineStr">
        <is>
          <t>40</t>
        </is>
      </c>
    </row>
    <row r="9">
      <c r="B9" s="6" t="inlineStr">
        <is>
          <t>Inadimplencia esperada R$</t>
        </is>
      </c>
      <c r="C9" s="49">
        <f>SUM('36_RECEIVABLES'!$G$7:$G$67)</f>
        <v/>
      </c>
      <c r="D9" s="7" t="inlineStr">
        <is>
          <t>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1F3864"/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40" customWidth="1" min="4" max="4"/>
  </cols>
  <sheetData>
    <row r="1" ht="26" customHeight="1">
      <c r="A1" s="1" t="inlineStr">
        <is>
          <t>COST REDUCTION DASHBOARD</t>
        </is>
      </c>
    </row>
    <row r="2">
      <c r="A2" s="2" t="inlineStr">
        <is>
          <t>Potencial identificado -&gt; validado -&gt; implementado -&gt; realizado -&gt; sustentado.</t>
        </is>
      </c>
    </row>
    <row r="4" ht="30" customHeight="1">
      <c r="B4" s="5" t="inlineStr">
        <is>
          <t>Metrica</t>
        </is>
      </c>
      <c r="C4" s="5" t="inlineStr">
        <is>
          <t>Valor</t>
        </is>
      </c>
      <c r="D4" s="5" t="inlineStr">
        <is>
          <t>Fonte</t>
        </is>
      </c>
    </row>
    <row r="5">
      <c r="B5" s="6" t="inlineStr">
        <is>
          <t>Saving bruto (pipeline) R$/ano</t>
        </is>
      </c>
      <c r="C5" s="61">
        <f>SUM('32_SAVINGS'!$I$7:$I$67)</f>
        <v/>
      </c>
      <c r="D5" s="7" t="inlineStr">
        <is>
          <t>32_SAVINGS</t>
        </is>
      </c>
    </row>
    <row r="6">
      <c r="B6" s="6" t="inlineStr">
        <is>
          <t>Saving liquido (pipeline) R$/ano</t>
        </is>
      </c>
      <c r="C6" s="61">
        <f>SUM('32_SAVINGS'!$L$7:$L$67)</f>
        <v/>
      </c>
      <c r="D6" s="7" t="inlineStr">
        <is>
          <t>32</t>
        </is>
      </c>
    </row>
    <row r="7">
      <c r="B7" s="6" t="inlineStr">
        <is>
          <t>Saving REALIZADO R$</t>
        </is>
      </c>
      <c r="C7" s="49">
        <f>SUMIF('32_SAVINGS'!$P$7:$P$67,"SIM",'32_SAVINGS'!$L$7:$L$67)</f>
        <v/>
      </c>
      <c r="D7" s="7" t="inlineStr">
        <is>
          <t>32 (regra: evidencia+financeiro)</t>
        </is>
      </c>
    </row>
    <row r="8">
      <c r="B8" s="6" t="inlineStr">
        <is>
          <t>Cost gap controlavel R$/ano</t>
        </is>
      </c>
      <c r="C8" s="61">
        <f>SUMIF('31_COST_GAP'!$M$7:$M$9,"&lt;&gt;")</f>
        <v/>
      </c>
      <c r="D8" s="7" t="inlineStr">
        <is>
          <t>31_COST_GAP</t>
        </is>
      </c>
    </row>
    <row r="9">
      <c r="B9" s="6" t="inlineStr">
        <is>
          <t>Top priority score</t>
        </is>
      </c>
      <c r="C9" s="49">
        <f>IFERROR(MAX('32_SAVINGS'!$Q$7:$Q$67),0)</f>
        <v/>
      </c>
      <c r="D9" s="7" t="inlineStr">
        <is>
          <t>32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1F3864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10" customWidth="1" min="5" max="5"/>
    <col width="14" customWidth="1" min="6" max="6"/>
    <col width="44" customWidth="1" min="7" max="7"/>
  </cols>
  <sheetData>
    <row r="1" ht="26" customHeight="1">
      <c r="A1" s="1" t="inlineStr">
        <is>
          <t>DICTIONARY</t>
        </is>
      </c>
    </row>
    <row r="2">
      <c r="A2" s="2" t="inlineStr">
        <is>
          <t>Nenhum campo ambiguo. Chaves unicas nunca dependem apenas da descricao textual.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Campo</t>
        </is>
      </c>
      <c r="B6" s="5" t="inlineStr">
        <is>
          <t>Tabela/Aba</t>
        </is>
      </c>
      <c r="C6" s="5" t="inlineStr">
        <is>
          <t>Tipo</t>
        </is>
      </c>
      <c r="D6" s="5" t="inlineStr">
        <is>
          <t>Unidade</t>
        </is>
      </c>
      <c r="E6" s="5" t="inlineStr">
        <is>
          <t>Obrigatorio</t>
        </is>
      </c>
      <c r="F6" s="5" t="inlineStr">
        <is>
          <t>Fonte</t>
        </is>
      </c>
      <c r="G6" s="5" t="inlineStr">
        <is>
          <t>Definicao</t>
        </is>
      </c>
    </row>
    <row r="7" ht="15" customHeight="1">
      <c r="A7" s="6" t="inlineStr">
        <is>
          <t>PRODUCT_ID</t>
        </is>
      </c>
      <c r="B7" s="6" t="inlineStr">
        <is>
          <t>03_PRODUCTS</t>
        </is>
      </c>
      <c r="C7" s="6" t="inlineStr">
        <is>
          <t>texto</t>
        </is>
      </c>
      <c r="D7" s="6" t="inlineStr">
        <is>
          <t>-</t>
        </is>
      </c>
      <c r="E7" s="6" t="inlineStr">
        <is>
          <t>Sim</t>
        </is>
      </c>
      <c r="F7" s="6" t="inlineStr">
        <is>
          <t>Cadastro</t>
        </is>
      </c>
      <c r="G7" s="6" t="inlineStr">
        <is>
          <t>Chave unica do produto (SKU)</t>
        </is>
      </c>
    </row>
    <row r="8" ht="15" customHeight="1">
      <c r="A8" s="6" t="inlineStr">
        <is>
          <t>MATERIAL_ID</t>
        </is>
      </c>
      <c r="B8" s="6" t="inlineStr">
        <is>
          <t>04_MATERIALS</t>
        </is>
      </c>
      <c r="C8" s="6" t="inlineStr">
        <is>
          <t>texto</t>
        </is>
      </c>
      <c r="D8" s="6" t="inlineStr">
        <is>
          <t>-</t>
        </is>
      </c>
      <c r="E8" s="6" t="inlineStr">
        <is>
          <t>Sim</t>
        </is>
      </c>
      <c r="F8" s="6" t="inlineStr">
        <is>
          <t>Cadastro</t>
        </is>
      </c>
      <c r="G8" s="6" t="inlineStr">
        <is>
          <t>Chave unica da materia-prima</t>
        </is>
      </c>
    </row>
    <row r="9" ht="15" customHeight="1">
      <c r="A9" s="6" t="inlineStr">
        <is>
          <t>Extras?</t>
        </is>
      </c>
      <c r="B9" s="6" t="inlineStr">
        <is>
          <t>03_PRODUCTS</t>
        </is>
      </c>
      <c r="C9" s="6" t="inlineStr">
        <is>
          <t>bool</t>
        </is>
      </c>
      <c r="D9" s="6" t="inlineStr">
        <is>
          <t>-</t>
        </is>
      </c>
      <c r="E9" s="6" t="inlineStr">
        <is>
          <t>Sim</t>
        </is>
      </c>
      <c r="F9" s="6" t="inlineStr">
        <is>
          <t>Producao</t>
        </is>
      </c>
      <c r="G9" s="6" t="inlineStr">
        <is>
          <t>TRUE -&gt; 20kg/saco,75/palete; FALSE -&gt; 15/100</t>
        </is>
      </c>
    </row>
    <row r="10" ht="15" customHeight="1">
      <c r="A10" s="6" t="inlineStr">
        <is>
          <t>kg/t produto</t>
        </is>
      </c>
      <c r="B10" s="6" t="inlineStr">
        <is>
          <t>06_BOM</t>
        </is>
      </c>
      <c r="C10" s="6" t="inlineStr">
        <is>
          <t>numero</t>
        </is>
      </c>
      <c r="D10" s="6" t="inlineStr">
        <is>
          <t>kg/t</t>
        </is>
      </c>
      <c r="E10" s="6" t="inlineStr">
        <is>
          <t>Sim</t>
        </is>
      </c>
      <c r="F10" s="6" t="inlineStr">
        <is>
          <t>Tecnico</t>
        </is>
      </c>
      <c r="G10" s="6" t="inlineStr">
        <is>
          <t>Quantidade padrao de MP por tonelada de produto</t>
        </is>
      </c>
    </row>
    <row r="11" ht="15" customHeight="1">
      <c r="A11" s="6" t="inlineStr">
        <is>
          <t>LANDED NET R$/t</t>
        </is>
      </c>
      <c r="B11" s="6" t="inlineStr">
        <is>
          <t>09_LANDED_COST</t>
        </is>
      </c>
      <c r="C11" s="6" t="inlineStr">
        <is>
          <t>numero</t>
        </is>
      </c>
      <c r="D11" s="6" t="inlineStr">
        <is>
          <t>R$/t</t>
        </is>
      </c>
      <c r="E11" s="6" t="inlineStr">
        <is>
          <t>Sim</t>
        </is>
      </c>
      <c r="F11" s="6" t="inlineStr">
        <is>
          <t>Compras/Fiscal</t>
        </is>
      </c>
      <c r="G11" s="6" t="inlineStr">
        <is>
          <t>Custo liquido posto fabrica por tonelada</t>
        </is>
      </c>
    </row>
    <row r="12" ht="15" customHeight="1">
      <c r="A12" s="6" t="inlineStr">
        <is>
          <t>Good tons</t>
        </is>
      </c>
      <c r="B12" s="6" t="inlineStr">
        <is>
          <t>17_PRODUCTION_OF</t>
        </is>
      </c>
      <c r="C12" s="6" t="inlineStr">
        <is>
          <t>numero</t>
        </is>
      </c>
      <c r="D12" s="6" t="inlineStr">
        <is>
          <t>t</t>
        </is>
      </c>
      <c r="E12" s="6" t="inlineStr">
        <is>
          <t>Sim</t>
        </is>
      </c>
      <c r="F12" s="6" t="inlineStr">
        <is>
          <t>Producao</t>
        </is>
      </c>
      <c r="G12" s="6" t="inlineStr">
        <is>
          <t>Toneladas boas liberadas (base de todos os R$/t)</t>
        </is>
      </c>
    </row>
    <row r="13" ht="15" customHeight="1">
      <c r="A13" s="6" t="inlineStr">
        <is>
          <t>Act kg/t</t>
        </is>
      </c>
      <c r="B13" s="6" t="inlineStr">
        <is>
          <t>18_ACTUAL_CONSUMPTION</t>
        </is>
      </c>
      <c r="C13" s="6" t="inlineStr">
        <is>
          <t>numero</t>
        </is>
      </c>
      <c r="D13" s="6" t="inlineStr">
        <is>
          <t>kg/t</t>
        </is>
      </c>
      <c r="E13" s="6" t="inlineStr">
        <is>
          <t>Sim</t>
        </is>
      </c>
      <c r="F13" s="6" t="inlineStr">
        <is>
          <t>Producao</t>
        </is>
      </c>
      <c r="G13" s="6" t="inlineStr">
        <is>
          <t>Consumo real por tonelada boa</t>
        </is>
      </c>
    </row>
    <row r="14" ht="15" customHeight="1">
      <c r="A14" s="6" t="inlineStr">
        <is>
          <t>PPV</t>
        </is>
      </c>
      <c r="B14" s="6" t="inlineStr">
        <is>
          <t>28_VARIANCES</t>
        </is>
      </c>
      <c r="C14" s="6" t="inlineStr">
        <is>
          <t>numero</t>
        </is>
      </c>
      <c r="D14" s="6" t="inlineStr">
        <is>
          <t>R$</t>
        </is>
      </c>
      <c r="E14" s="6" t="inlineStr">
        <is>
          <t>Calc</t>
        </is>
      </c>
      <c r="F14" s="6" t="inlineStr">
        <is>
          <t>Sistema</t>
        </is>
      </c>
      <c r="G14" s="6" t="inlineStr">
        <is>
          <t>(Preco real - padrao) x qtd real</t>
        </is>
      </c>
    </row>
    <row r="15" ht="15" customHeight="1">
      <c r="A15" s="6" t="inlineStr">
        <is>
          <t>Usage Variance</t>
        </is>
      </c>
      <c r="B15" s="6" t="inlineStr">
        <is>
          <t>28_VARIANCES</t>
        </is>
      </c>
      <c r="C15" s="6" t="inlineStr">
        <is>
          <t>numero</t>
        </is>
      </c>
      <c r="D15" s="6" t="inlineStr">
        <is>
          <t>R$</t>
        </is>
      </c>
      <c r="E15" s="6" t="inlineStr">
        <is>
          <t>Calc</t>
        </is>
      </c>
      <c r="F15" s="6" t="inlineStr">
        <is>
          <t>Sistema</t>
        </is>
      </c>
      <c r="G15" s="6" t="inlineStr">
        <is>
          <t>(Qtd real - padrao permitida) x preco padrao</t>
        </is>
      </c>
    </row>
    <row r="16" ht="15" customHeight="1">
      <c r="A16" s="6" t="inlineStr">
        <is>
          <t>Pocket Price</t>
        </is>
      </c>
      <c r="B16" s="6" t="inlineStr">
        <is>
          <t>40_PROFITABILITY</t>
        </is>
      </c>
      <c r="C16" s="6" t="inlineStr">
        <is>
          <t>numero</t>
        </is>
      </c>
      <c r="D16" s="6" t="inlineStr">
        <is>
          <t>R$/t</t>
        </is>
      </c>
      <c r="E16" s="6" t="inlineStr">
        <is>
          <t>Calc</t>
        </is>
      </c>
      <c r="F16" s="6" t="inlineStr">
        <is>
          <t>Sistema</t>
        </is>
      </c>
      <c r="G16" s="6" t="inlineStr">
        <is>
          <t>Preco liquido de bolso (waterfall)</t>
        </is>
      </c>
    </row>
    <row r="17" ht="15" customHeight="1">
      <c r="A17" s="6" t="inlineStr">
        <is>
          <t>Saving liquido</t>
        </is>
      </c>
      <c r="B17" s="6" t="inlineStr">
        <is>
          <t>32_SAVINGS</t>
        </is>
      </c>
      <c r="C17" s="6" t="inlineStr">
        <is>
          <t>numero</t>
        </is>
      </c>
      <c r="D17" s="6" t="inlineStr">
        <is>
          <t>R$/ano</t>
        </is>
      </c>
      <c r="E17" s="6" t="inlineStr">
        <is>
          <t>Calc</t>
        </is>
      </c>
      <c r="F17" s="6" t="inlineStr">
        <is>
          <t>Sistema</t>
        </is>
      </c>
      <c r="G17" s="6" t="inlineStr">
        <is>
          <t>Saving bruto - investimento - custo implementacao</t>
        </is>
      </c>
    </row>
    <row r="18" ht="15" customHeight="1">
      <c r="A18" s="6" t="inlineStr">
        <is>
          <t>ICMS_EFETIVO</t>
        </is>
      </c>
      <c r="B18" s="6" t="inlineStr">
        <is>
          <t>01_CONTROL_PANEL</t>
        </is>
      </c>
      <c r="C18" s="6" t="inlineStr">
        <is>
          <t>numero</t>
        </is>
      </c>
      <c r="D18" s="6" t="inlineStr">
        <is>
          <t>%</t>
        </is>
      </c>
      <c r="E18" s="6" t="inlineStr">
        <is>
          <t>Sim</t>
        </is>
      </c>
      <c r="F18" s="6" t="inlineStr">
        <is>
          <t>Fiscal</t>
        </is>
      </c>
      <c r="G18" s="6" t="inlineStr">
        <is>
          <t>ICMS nominal x % efetivamente devido (benef. 80%)</t>
        </is>
      </c>
    </row>
    <row r="19" ht="15" customHeight="1">
      <c r="A19" s="6" t="n"/>
      <c r="B19" s="6" t="n"/>
      <c r="C19" s="6" t="n"/>
      <c r="D19" s="6" t="n"/>
      <c r="E19" s="6" t="n"/>
      <c r="F19" s="6" t="n"/>
      <c r="G19" s="6" t="n"/>
    </row>
    <row r="20" ht="15" customHeight="1">
      <c r="A20" s="7" t="inlineStr">
        <is>
          <t>^ Linhas acima = dados DEMO (marcados). Abaixo: campos de entrada em branco para dados reais.</t>
        </is>
      </c>
      <c r="B20" s="6" t="n"/>
      <c r="C20" s="6" t="n"/>
      <c r="D20" s="6" t="n"/>
      <c r="E20" s="6" t="n"/>
      <c r="F20" s="6" t="n"/>
      <c r="G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</row>
    <row r="30" ht="15" customHeight="1">
      <c r="A30" s="6" t="n"/>
      <c r="B30" s="6" t="n"/>
      <c r="C30" s="6" t="n"/>
      <c r="D30" s="6" t="n"/>
      <c r="E30" s="6" t="n"/>
      <c r="F30" s="6" t="n"/>
      <c r="G30" s="6" t="n"/>
    </row>
    <row r="31" ht="15" customHeight="1">
      <c r="A31" s="6" t="n"/>
      <c r="B31" s="6" t="n"/>
      <c r="C31" s="6" t="n"/>
      <c r="D31" s="6" t="n"/>
      <c r="E31" s="6" t="n"/>
      <c r="F31" s="6" t="n"/>
      <c r="G31" s="6" t="n"/>
    </row>
    <row r="32" ht="15" customHeight="1">
      <c r="A32" s="6" t="n"/>
      <c r="B32" s="6" t="n"/>
      <c r="C32" s="6" t="n"/>
      <c r="D32" s="6" t="n"/>
      <c r="E32" s="6" t="n"/>
      <c r="F32" s="6" t="n"/>
      <c r="G32" s="6" t="n"/>
    </row>
    <row r="33" ht="15" customHeight="1">
      <c r="A33" s="6" t="n"/>
      <c r="B33" s="6" t="n"/>
      <c r="C33" s="6" t="n"/>
      <c r="D33" s="6" t="n"/>
      <c r="E33" s="6" t="n"/>
      <c r="F33" s="6" t="n"/>
      <c r="G33" s="6" t="n"/>
    </row>
    <row r="34" ht="15" customHeight="1">
      <c r="A34" s="6" t="n"/>
      <c r="B34" s="6" t="n"/>
      <c r="C34" s="6" t="n"/>
      <c r="D34" s="6" t="n"/>
      <c r="E34" s="6" t="n"/>
      <c r="F34" s="6" t="n"/>
      <c r="G34" s="6" t="n"/>
    </row>
    <row r="35" ht="15" customHeight="1">
      <c r="A35" s="6" t="n"/>
      <c r="B35" s="6" t="n"/>
      <c r="C35" s="6" t="n"/>
      <c r="D35" s="6" t="n"/>
      <c r="E35" s="6" t="n"/>
      <c r="F35" s="6" t="n"/>
      <c r="G35" s="6" t="n"/>
    </row>
    <row r="36" ht="15" customHeight="1">
      <c r="A36" s="6" t="n"/>
      <c r="B36" s="6" t="n"/>
      <c r="C36" s="6" t="n"/>
      <c r="D36" s="6" t="n"/>
      <c r="E36" s="6" t="n"/>
      <c r="F36" s="6" t="n"/>
      <c r="G36" s="6" t="n"/>
    </row>
    <row r="37" ht="15" customHeight="1">
      <c r="A37" s="6" t="n"/>
      <c r="B37" s="6" t="n"/>
      <c r="C37" s="6" t="n"/>
      <c r="D37" s="6" t="n"/>
      <c r="E37" s="6" t="n"/>
      <c r="F37" s="6" t="n"/>
      <c r="G37" s="6" t="n"/>
    </row>
    <row r="38" ht="15" customHeight="1">
      <c r="A38" s="6" t="n"/>
      <c r="B38" s="6" t="n"/>
      <c r="C38" s="6" t="n"/>
      <c r="D38" s="6" t="n"/>
      <c r="E38" s="6" t="n"/>
      <c r="F38" s="6" t="n"/>
      <c r="G38" s="6" t="n"/>
    </row>
    <row r="39" ht="15" customHeight="1">
      <c r="A39" s="6" t="n"/>
      <c r="B39" s="6" t="n"/>
      <c r="C39" s="6" t="n"/>
      <c r="D39" s="6" t="n"/>
      <c r="E39" s="6" t="n"/>
      <c r="F39" s="6" t="n"/>
      <c r="G39" s="6" t="n"/>
    </row>
    <row r="40" ht="15" customHeight="1">
      <c r="A40" s="6" t="n"/>
      <c r="B40" s="6" t="n"/>
      <c r="C40" s="6" t="n"/>
      <c r="D40" s="6" t="n"/>
      <c r="E40" s="6" t="n"/>
      <c r="F40" s="6" t="n"/>
      <c r="G40" s="6" t="n"/>
    </row>
    <row r="41" ht="15" customHeight="1">
      <c r="A41" s="6" t="n"/>
      <c r="B41" s="6" t="n"/>
      <c r="C41" s="6" t="n"/>
      <c r="D41" s="6" t="n"/>
      <c r="E41" s="6" t="n"/>
      <c r="F41" s="6" t="n"/>
      <c r="G41" s="6" t="n"/>
    </row>
    <row r="42" ht="15" customHeight="1">
      <c r="A42" s="6" t="n"/>
      <c r="B42" s="6" t="n"/>
      <c r="C42" s="6" t="n"/>
      <c r="D42" s="6" t="n"/>
      <c r="E42" s="6" t="n"/>
      <c r="F42" s="6" t="n"/>
      <c r="G42" s="6" t="n"/>
    </row>
    <row r="43" ht="15" customHeight="1">
      <c r="A43" s="6" t="n"/>
      <c r="B43" s="6" t="n"/>
      <c r="C43" s="6" t="n"/>
      <c r="D43" s="6" t="n"/>
      <c r="E43" s="6" t="n"/>
      <c r="F43" s="6" t="n"/>
      <c r="G43" s="6" t="n"/>
    </row>
    <row r="44" ht="15" customHeight="1">
      <c r="A44" s="6" t="n"/>
      <c r="B44" s="6" t="n"/>
      <c r="C44" s="6" t="n"/>
      <c r="D44" s="6" t="n"/>
      <c r="E44" s="6" t="n"/>
      <c r="F44" s="6" t="n"/>
      <c r="G44" s="6" t="n"/>
    </row>
    <row r="45" ht="15" customHeight="1">
      <c r="A45" s="6" t="n"/>
      <c r="B45" s="6" t="n"/>
      <c r="C45" s="6" t="n"/>
      <c r="D45" s="6" t="n"/>
      <c r="E45" s="6" t="n"/>
      <c r="F45" s="6" t="n"/>
      <c r="G45" s="6" t="n"/>
    </row>
    <row r="46" ht="15" customHeight="1">
      <c r="A46" s="6" t="n"/>
      <c r="B46" s="6" t="n"/>
      <c r="C46" s="6" t="n"/>
      <c r="D46" s="6" t="n"/>
      <c r="E46" s="6" t="n"/>
      <c r="F46" s="6" t="n"/>
      <c r="G46" s="6" t="n"/>
    </row>
    <row r="47" ht="15" customHeight="1">
      <c r="A47" s="6" t="n"/>
      <c r="B47" s="6" t="n"/>
      <c r="C47" s="6" t="n"/>
      <c r="D47" s="6" t="n"/>
      <c r="E47" s="6" t="n"/>
      <c r="F47" s="6" t="n"/>
      <c r="G47" s="6" t="n"/>
    </row>
    <row r="48" ht="15" customHeight="1">
      <c r="A48" s="6" t="n"/>
      <c r="B48" s="6" t="n"/>
      <c r="C48" s="6" t="n"/>
      <c r="D48" s="6" t="n"/>
      <c r="E48" s="6" t="n"/>
      <c r="F48" s="6" t="n"/>
      <c r="G48" s="6" t="n"/>
    </row>
    <row r="49" ht="15" customHeight="1">
      <c r="A49" s="6" t="n"/>
      <c r="B49" s="6" t="n"/>
      <c r="C49" s="6" t="n"/>
      <c r="D49" s="6" t="n"/>
      <c r="E49" s="6" t="n"/>
      <c r="F49" s="6" t="n"/>
      <c r="G49" s="6" t="n"/>
    </row>
    <row r="50" ht="15" customHeight="1">
      <c r="A50" s="6" t="n"/>
      <c r="B50" s="6" t="n"/>
      <c r="C50" s="6" t="n"/>
      <c r="D50" s="6" t="n"/>
      <c r="E50" s="6" t="n"/>
      <c r="F50" s="6" t="n"/>
      <c r="G50" s="6" t="n"/>
    </row>
    <row r="51" ht="15" customHeight="1">
      <c r="A51" s="6" t="n"/>
      <c r="B51" s="6" t="n"/>
      <c r="C51" s="6" t="n"/>
      <c r="D51" s="6" t="n"/>
      <c r="E51" s="6" t="n"/>
      <c r="F51" s="6" t="n"/>
      <c r="G51" s="6" t="n"/>
    </row>
    <row r="52" ht="15" customHeight="1">
      <c r="A52" s="6" t="n"/>
      <c r="B52" s="6" t="n"/>
      <c r="C52" s="6" t="n"/>
      <c r="D52" s="6" t="n"/>
      <c r="E52" s="6" t="n"/>
      <c r="F52" s="6" t="n"/>
      <c r="G52" s="6" t="n"/>
    </row>
    <row r="53" ht="15" customHeight="1">
      <c r="A53" s="6" t="n"/>
      <c r="B53" s="6" t="n"/>
      <c r="C53" s="6" t="n"/>
      <c r="D53" s="6" t="n"/>
      <c r="E53" s="6" t="n"/>
      <c r="F53" s="6" t="n"/>
      <c r="G53" s="6" t="n"/>
    </row>
    <row r="54" ht="15" customHeight="1">
      <c r="A54" s="6" t="n"/>
      <c r="B54" s="6" t="n"/>
      <c r="C54" s="6" t="n"/>
      <c r="D54" s="6" t="n"/>
      <c r="E54" s="6" t="n"/>
      <c r="F54" s="6" t="n"/>
      <c r="G54" s="6" t="n"/>
    </row>
    <row r="55" ht="15" customHeight="1">
      <c r="A55" s="6" t="n"/>
      <c r="B55" s="6" t="n"/>
      <c r="C55" s="6" t="n"/>
      <c r="D55" s="6" t="n"/>
      <c r="E55" s="6" t="n"/>
      <c r="F55" s="6" t="n"/>
      <c r="G55" s="6" t="n"/>
    </row>
    <row r="56" ht="15" customHeight="1">
      <c r="A56" s="6" t="n"/>
      <c r="B56" s="6" t="n"/>
      <c r="C56" s="6" t="n"/>
      <c r="D56" s="6" t="n"/>
      <c r="E56" s="6" t="n"/>
      <c r="F56" s="6" t="n"/>
      <c r="G56" s="6" t="n"/>
    </row>
    <row r="57" ht="15" customHeight="1">
      <c r="A57" s="6" t="n"/>
      <c r="B57" s="6" t="n"/>
      <c r="C57" s="6" t="n"/>
      <c r="D57" s="6" t="n"/>
      <c r="E57" s="6" t="n"/>
      <c r="F57" s="6" t="n"/>
      <c r="G57" s="6" t="n"/>
    </row>
    <row r="58" ht="15" customHeight="1">
      <c r="A58" s="6" t="n"/>
      <c r="B58" s="6" t="n"/>
      <c r="C58" s="6" t="n"/>
      <c r="D58" s="6" t="n"/>
      <c r="E58" s="6" t="n"/>
      <c r="F58" s="6" t="n"/>
      <c r="G58" s="6" t="n"/>
    </row>
    <row r="59" ht="15" customHeight="1">
      <c r="A59" s="6" t="n"/>
      <c r="B59" s="6" t="n"/>
      <c r="C59" s="6" t="n"/>
      <c r="D59" s="6" t="n"/>
      <c r="E59" s="6" t="n"/>
      <c r="F59" s="6" t="n"/>
      <c r="G59" s="6" t="n"/>
    </row>
    <row r="60" ht="15" customHeight="1">
      <c r="A60" s="6" t="n"/>
      <c r="B60" s="6" t="n"/>
      <c r="C60" s="6" t="n"/>
      <c r="D60" s="6" t="n"/>
      <c r="E60" s="6" t="n"/>
      <c r="F60" s="6" t="n"/>
      <c r="G60" s="6" t="n"/>
    </row>
    <row r="61" ht="15" customHeight="1">
      <c r="A61" s="6" t="n"/>
      <c r="B61" s="6" t="n"/>
      <c r="C61" s="6" t="n"/>
      <c r="D61" s="6" t="n"/>
      <c r="E61" s="6" t="n"/>
      <c r="F61" s="6" t="n"/>
      <c r="G61" s="6" t="n"/>
    </row>
    <row r="62" ht="15" customHeight="1">
      <c r="A62" s="6" t="n"/>
      <c r="B62" s="6" t="n"/>
      <c r="C62" s="6" t="n"/>
      <c r="D62" s="6" t="n"/>
      <c r="E62" s="6" t="n"/>
      <c r="F62" s="6" t="n"/>
      <c r="G62" s="6" t="n"/>
    </row>
    <row r="63" ht="15" customHeight="1">
      <c r="A63" s="6" t="n"/>
      <c r="B63" s="6" t="n"/>
      <c r="C63" s="6" t="n"/>
      <c r="D63" s="6" t="n"/>
      <c r="E63" s="6" t="n"/>
      <c r="F63" s="6" t="n"/>
      <c r="G63" s="6" t="n"/>
    </row>
    <row r="64" ht="15" customHeight="1">
      <c r="A64" s="6" t="n"/>
      <c r="B64" s="6" t="n"/>
      <c r="C64" s="6" t="n"/>
      <c r="D64" s="6" t="n"/>
      <c r="E64" s="6" t="n"/>
      <c r="F64" s="6" t="n"/>
      <c r="G64" s="6" t="n"/>
    </row>
    <row r="65" ht="15" customHeight="1">
      <c r="A65" s="6" t="n"/>
      <c r="B65" s="6" t="n"/>
      <c r="C65" s="6" t="n"/>
      <c r="D65" s="6" t="n"/>
      <c r="E65" s="6" t="n"/>
      <c r="F65" s="6" t="n"/>
      <c r="G65" s="6" t="n"/>
    </row>
    <row r="66" ht="15" customHeight="1">
      <c r="A66" s="6" t="n"/>
      <c r="B66" s="6" t="n"/>
      <c r="C66" s="6" t="n"/>
      <c r="D66" s="6" t="n"/>
      <c r="E66" s="6" t="n"/>
      <c r="F66" s="6" t="n"/>
      <c r="G66" s="6" t="n"/>
    </row>
  </sheetData>
  <mergeCells count="8">
    <mergeCell ref="F4:G4"/>
    <mergeCell ref="J4:K4"/>
    <mergeCell ref="A1:G1"/>
    <mergeCell ref="L4:M4"/>
    <mergeCell ref="A2:G2"/>
    <mergeCell ref="D4:E4"/>
    <mergeCell ref="H4:I4"/>
    <mergeCell ref="B4:C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C00000"/>
    <outlinePr summaryBelow="1" summaryRight="1"/>
    <pageSetUpPr/>
  </sheetPr>
  <dimension ref="A1:M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0" customWidth="1" min="4" max="4"/>
    <col width="26" customWidth="1" min="5" max="5"/>
    <col width="22" customWidth="1" min="6" max="6"/>
  </cols>
  <sheetData>
    <row r="1" ht="26" customHeight="1">
      <c r="A1" s="1" t="inlineStr">
        <is>
          <t>GAPS</t>
        </is>
      </c>
    </row>
    <row r="2">
      <c r="A2" s="2" t="inlineStr">
        <is>
          <t>Cada linha e um campo de entrada ja criado no sistema, aguardando dado real. Prioridade por R$ de impacto anual (ver 01_CONTROL_PANEL materialidade).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Informacao faltante</t>
        </is>
      </c>
      <c r="B6" s="5" t="inlineStr">
        <is>
          <t>Impacto</t>
        </is>
      </c>
      <c r="C6" s="5" t="inlineStr">
        <is>
          <t>Responsavel</t>
        </is>
      </c>
      <c r="D6" s="5" t="inlineStr">
        <is>
          <t>Prioridade</t>
        </is>
      </c>
      <c r="E6" s="5" t="inlineStr">
        <is>
          <t>Finalidade</t>
        </is>
      </c>
      <c r="F6" s="5" t="inlineStr">
        <is>
          <t>Formato necessario</t>
        </is>
      </c>
    </row>
    <row r="7" ht="15" customHeight="1">
      <c r="A7" s="6" t="inlineStr">
        <is>
          <t>Planilha_Precificacao.xlsx (arquivo legado)</t>
        </is>
      </c>
      <c r="B7" s="6" t="inlineStr">
        <is>
          <t>Sem ela nao ha reconciliacao com o modelo atual (LEGACY_RECON)</t>
        </is>
      </c>
      <c r="C7" s="6" t="inlineStr">
        <is>
          <t>Controladoria</t>
        </is>
      </c>
      <c r="D7" s="6" t="inlineStr">
        <is>
          <t>ALTA</t>
        </is>
      </c>
      <c r="E7" s="6" t="inlineStr">
        <is>
          <t>Mapear precos/formulas atuais</t>
        </is>
      </c>
      <c r="F7" s="6" t="inlineStr">
        <is>
          <t>.xlsx</t>
        </is>
      </c>
    </row>
    <row r="8" ht="15" customHeight="1">
      <c r="A8" s="6" t="inlineStr">
        <is>
          <t>CustoFormula2026.1.xlsb</t>
        </is>
      </c>
      <c r="B8" s="6" t="inlineStr">
        <is>
          <t>Estrutura detalhada de custos atual</t>
        </is>
      </c>
      <c r="C8" s="6" t="inlineStr">
        <is>
          <t>Controladoria</t>
        </is>
      </c>
      <c r="D8" s="6" t="inlineStr">
        <is>
          <t>ALTA</t>
        </is>
      </c>
      <c r="E8" s="6" t="inlineStr">
        <is>
          <t>Reconciliacao e validacao</t>
        </is>
      </c>
      <c r="F8" s="6" t="inlineStr">
        <is>
          <t>.xlsb</t>
        </is>
      </c>
    </row>
    <row r="9" ht="15" customHeight="1">
      <c r="A9" s="6" t="inlineStr">
        <is>
          <t>Landed cost real das MP de PRODUCAO (areia/aditivos)</t>
        </is>
      </c>
      <c r="B9" s="6" t="inlineStr">
        <is>
          <t>Cimento/calcario ja reais (R3); faltam demais MP</t>
        </is>
      </c>
      <c r="C9" s="6" t="inlineStr">
        <is>
          <t>Compras/Fiscal</t>
        </is>
      </c>
      <c r="D9" s="6" t="inlineStr">
        <is>
          <t>ALTA</t>
        </is>
      </c>
      <c r="E9" s="6" t="inlineStr">
        <is>
          <t>R3_LANDED_REAL / 09</t>
        </is>
      </c>
      <c r="F9" s="6" t="inlineStr">
        <is>
          <t>Itens NF por MP</t>
        </is>
      </c>
    </row>
    <row r="10" ht="15" customHeight="1">
      <c r="A10" s="6" t="inlineStr">
        <is>
          <t>Frete inbound do calcario e demais MP</t>
        </is>
      </c>
      <c r="B10" s="6" t="inlineStr">
        <is>
          <t>Landed do calcario incompleto (so cimento tem frete)</t>
        </is>
      </c>
      <c r="C10" s="6" t="inlineStr">
        <is>
          <t>Compras/Log.</t>
        </is>
      </c>
      <c r="D10" s="6" t="inlineStr">
        <is>
          <t>MEDIA</t>
        </is>
      </c>
      <c r="E10" s="6" t="inlineStr">
        <is>
          <t>R3_LANDED_REAL</t>
        </is>
      </c>
      <c r="F10" s="6" t="inlineStr">
        <is>
          <t>CT-e por carga</t>
        </is>
      </c>
    </row>
    <row r="11" ht="15" customHeight="1">
      <c r="A11" s="6" t="inlineStr">
        <is>
          <t>Vinculo NF-item x OF de producao</t>
        </is>
      </c>
      <c r="B11" s="6" t="inlineStr">
        <is>
          <t>Ligar compra real ao consumo/BOM</t>
        </is>
      </c>
      <c r="C11" s="6" t="inlineStr">
        <is>
          <t>Producao/Compras</t>
        </is>
      </c>
      <c r="D11" s="6" t="inlineStr">
        <is>
          <t>ALTA</t>
        </is>
      </c>
      <c r="E11" s="6" t="inlineStr">
        <is>
          <t>R2 -&gt; 18</t>
        </is>
      </c>
      <c r="F11" s="6" t="inlineStr">
        <is>
          <t>Chave OF</t>
        </is>
      </c>
    </row>
    <row r="12" ht="15" customHeight="1">
      <c r="A12" s="6" t="inlineStr">
        <is>
          <t>kWh por equipamento</t>
        </is>
      </c>
      <c r="B12" s="6" t="inlineStr">
        <is>
          <t>Energia/t estimada</t>
        </is>
      </c>
      <c r="C12" s="6" t="inlineStr">
        <is>
          <t>Producao</t>
        </is>
      </c>
      <c r="D12" s="6" t="inlineStr">
        <is>
          <t>ALTA</t>
        </is>
      </c>
      <c r="E12" s="6" t="inlineStr">
        <is>
          <t>21_ENERGY</t>
        </is>
      </c>
      <c r="F12" s="6" t="inlineStr">
        <is>
          <t>kWh por OF/recurso</t>
        </is>
      </c>
    </row>
    <row r="13" ht="15" customHeight="1">
      <c r="A13" s="6" t="inlineStr">
        <is>
          <t>Preco historico por fornecedor</t>
        </is>
      </c>
      <c r="B13" s="6" t="inlineStr">
        <is>
          <t>PPV / should cost incompletos</t>
        </is>
      </c>
      <c r="C13" s="6" t="inlineStr">
        <is>
          <t>Compras</t>
        </is>
      </c>
      <c r="D13" s="6" t="inlineStr">
        <is>
          <t>ALTA</t>
        </is>
      </c>
      <c r="E13" s="6" t="inlineStr">
        <is>
          <t>10/PPV</t>
        </is>
      </c>
      <c r="F13" s="6" t="inlineStr">
        <is>
          <t>Serie temporal</t>
        </is>
      </c>
    </row>
    <row r="14" ht="15" customHeight="1">
      <c r="A14" s="6" t="inlineStr">
        <is>
          <t>Perda e reprocesso por OF</t>
        </is>
      </c>
      <c r="B14" s="6" t="inlineStr">
        <is>
          <t>Yield e mass balance incompletos</t>
        </is>
      </c>
      <c r="C14" s="6" t="inlineStr">
        <is>
          <t>Producao</t>
        </is>
      </c>
      <c r="D14" s="6" t="inlineStr">
        <is>
          <t>ALTA</t>
        </is>
      </c>
      <c r="E14" s="6" t="inlineStr">
        <is>
          <t>17/19/20</t>
        </is>
      </c>
      <c r="F14" s="6" t="inlineStr">
        <is>
          <t>Por OF</t>
        </is>
      </c>
    </row>
    <row r="15" ht="15" customHeight="1">
      <c r="A15" s="6" t="inlineStr">
        <is>
          <t>Tempos reais de inicio/fim por lote/traco</t>
        </is>
      </c>
      <c r="B15" s="6" t="inlineStr">
        <is>
          <t>Produtividade real (t/h) por OF</t>
        </is>
      </c>
      <c r="C15" s="6" t="inlineStr">
        <is>
          <t>Producao</t>
        </is>
      </c>
      <c r="D15" s="6" t="inlineStr">
        <is>
          <t>ALTA</t>
        </is>
      </c>
      <c r="E15" s="6" t="inlineStr">
        <is>
          <t>17_PRODUCTION_OF</t>
        </is>
      </c>
      <c r="F15" s="6" t="inlineStr">
        <is>
          <t>hh:mm por OF</t>
        </is>
      </c>
    </row>
    <row r="16" ht="15" customHeight="1">
      <c r="A16" s="6" t="inlineStr">
        <is>
          <t>Custos fixos por recurso (dep/manut/MO)</t>
        </is>
      </c>
      <c r="B16" s="6" t="inlineStr">
        <is>
          <t>R$/hora e unused capacity</t>
        </is>
      </c>
      <c r="C16" s="6" t="inlineStr">
        <is>
          <t>Controladoria</t>
        </is>
      </c>
      <c r="D16" s="6" t="inlineStr">
        <is>
          <t>MEDIA</t>
        </is>
      </c>
      <c r="E16" s="6" t="inlineStr">
        <is>
          <t>12/15/29</t>
        </is>
      </c>
      <c r="F16" s="6" t="inlineStr">
        <is>
          <t>R$/mes por recurso</t>
        </is>
      </c>
    </row>
    <row r="17" ht="15" customHeight="1">
      <c r="A17" s="6" t="inlineStr">
        <is>
          <t>Entitlement / best demonstrated / theoretical</t>
        </is>
      </c>
      <c r="B17" s="6" t="inlineStr">
        <is>
          <t>Cost gap completo</t>
        </is>
      </c>
      <c r="C17" s="6" t="inlineStr">
        <is>
          <t>Eng./Controladoria</t>
        </is>
      </c>
      <c r="D17" s="6" t="inlineStr">
        <is>
          <t>MEDIA</t>
        </is>
      </c>
      <c r="E17" s="6" t="inlineStr">
        <is>
          <t>31_COST_GAP</t>
        </is>
      </c>
      <c r="F17" s="6" t="inlineStr">
        <is>
          <t>R$/t por SKU</t>
        </is>
      </c>
    </row>
    <row r="18" ht="15" customHeight="1">
      <c r="A18" s="6" t="inlineStr">
        <is>
          <t>Preco de mercado / should cost</t>
        </is>
      </c>
      <c r="B18" s="6" t="inlineStr">
        <is>
          <t>Procurement gap</t>
        </is>
      </c>
      <c r="C18" s="6" t="inlineStr">
        <is>
          <t>Compras</t>
        </is>
      </c>
      <c r="D18" s="6" t="inlineStr">
        <is>
          <t>MEDIA</t>
        </is>
      </c>
      <c r="E18" s="6" t="inlineStr">
        <is>
          <t>16/46</t>
        </is>
      </c>
      <c r="F18" s="6" t="inlineStr">
        <is>
          <t>R$/un</t>
        </is>
      </c>
    </row>
    <row r="19" ht="15" customHeight="1">
      <c r="A19" s="6" t="inlineStr">
        <is>
          <t>Base de vendas cliente x SKU completa</t>
        </is>
      </c>
      <c r="B19" s="6" t="inlineStr">
        <is>
          <t>Rentabilidade e pocket margin</t>
        </is>
      </c>
      <c r="C19" s="6" t="inlineStr">
        <is>
          <t>Comercial</t>
        </is>
      </c>
      <c r="D19" s="6" t="inlineStr">
        <is>
          <t>ALTA</t>
        </is>
      </c>
      <c r="E19" s="6" t="inlineStr">
        <is>
          <t>33/40</t>
        </is>
      </c>
      <c r="F19" s="6" t="inlineStr">
        <is>
          <t>Por venda</t>
        </is>
      </c>
    </row>
    <row r="20" ht="15" customHeight="1">
      <c r="A20" s="6" t="inlineStr">
        <is>
          <t>Inadimplencia historica (PD/LGD)</t>
        </is>
      </c>
      <c r="B20" s="6" t="inlineStr">
        <is>
          <t>Expected credit loss</t>
        </is>
      </c>
      <c r="C20" s="6" t="inlineStr">
        <is>
          <t>Financeiro</t>
        </is>
      </c>
      <c r="D20" s="6" t="inlineStr">
        <is>
          <t>MEDIA</t>
        </is>
      </c>
      <c r="E20" s="6" t="inlineStr">
        <is>
          <t>36</t>
        </is>
      </c>
      <c r="F20" s="6" t="inlineStr">
        <is>
          <t>% por cliente/faixa</t>
        </is>
      </c>
    </row>
    <row r="21" ht="15" customHeight="1">
      <c r="A21" s="6" t="inlineStr">
        <is>
          <t>Razao contabil / CPV por conta</t>
        </is>
      </c>
      <c r="B21" s="6" t="inlineStr">
        <is>
          <t>Reconciliacao contabil</t>
        </is>
      </c>
      <c r="C21" s="6" t="inlineStr">
        <is>
          <t>Contabilidade</t>
        </is>
      </c>
      <c r="D21" s="6" t="inlineStr">
        <is>
          <t>ALTA</t>
        </is>
      </c>
      <c r="E21" s="6" t="inlineStr">
        <is>
          <t>43</t>
        </is>
      </c>
      <c r="F21" s="6" t="inlineStr">
        <is>
          <t>Balancete</t>
        </is>
      </c>
    </row>
    <row r="22" ht="15" customHeight="1">
      <c r="A22" s="6" t="inlineStr">
        <is>
          <t>Parametros SUDENE documentados</t>
        </is>
      </c>
      <c r="B22" s="6" t="inlineStr">
        <is>
          <t>IRPJ liquido correto</t>
        </is>
      </c>
      <c r="C22" s="6" t="inlineStr">
        <is>
          <t>Fiscal</t>
        </is>
      </c>
      <c r="D22" s="6" t="inlineStr">
        <is>
          <t>MEDIA</t>
        </is>
      </c>
      <c r="E22" s="6" t="inlineStr">
        <is>
          <t>09/tax</t>
        </is>
      </c>
      <c r="F22" s="6" t="inlineStr">
        <is>
          <t>Laudo/ADE</t>
        </is>
      </c>
    </row>
    <row r="23" ht="15" customHeight="1">
      <c r="A23" s="6" t="inlineStr">
        <is>
          <t>Aliquotas reforma (CBS/IBS) por ano</t>
        </is>
      </c>
      <c r="B23" s="6" t="inlineStr">
        <is>
          <t>Cenarios 2026-2033</t>
        </is>
      </c>
      <c r="C23" s="6" t="inlineStr">
        <is>
          <t>Fiscal</t>
        </is>
      </c>
      <c r="D23" s="6" t="inlineStr">
        <is>
          <t>MEDIA</t>
        </is>
      </c>
      <c r="E23" s="6" t="inlineStr">
        <is>
          <t>10_TAX_RULES</t>
        </is>
      </c>
      <c r="F23" s="6" t="inlineStr">
        <is>
          <t>% por vigencia</t>
        </is>
      </c>
    </row>
    <row r="24" ht="15" customHeight="1">
      <c r="A24" s="6" t="n"/>
      <c r="B24" s="6" t="n"/>
      <c r="C24" s="6" t="n"/>
      <c r="D24" s="6" t="n"/>
      <c r="E24" s="6" t="n"/>
      <c r="F24" s="6" t="n"/>
    </row>
    <row r="25" ht="15" customHeight="1">
      <c r="A25" s="7" t="inlineStr">
        <is>
          <t>^ Linhas acima = dados DEMO (marcados). Abaixo: campos de entrada em branco para dados reais.</t>
        </is>
      </c>
      <c r="B25" s="6" t="n"/>
      <c r="C25" s="6" t="n"/>
      <c r="D25" s="6" t="n"/>
      <c r="E25" s="6" t="n"/>
      <c r="F25" s="6" t="n"/>
    </row>
    <row r="26" ht="15" customHeight="1">
      <c r="A26" s="6" t="n"/>
      <c r="B26" s="6" t="n"/>
      <c r="C26" s="6" t="n"/>
      <c r="D26" s="6" t="n"/>
      <c r="E26" s="6" t="n"/>
      <c r="F26" s="6" t="n"/>
    </row>
    <row r="27" ht="15" customHeight="1">
      <c r="A27" s="6" t="n"/>
      <c r="B27" s="6" t="n"/>
      <c r="C27" s="6" t="n"/>
      <c r="D27" s="6" t="n"/>
      <c r="E27" s="6" t="n"/>
      <c r="F27" s="6" t="n"/>
    </row>
    <row r="28" ht="15" customHeight="1">
      <c r="A28" s="6" t="n"/>
      <c r="B28" s="6" t="n"/>
      <c r="C28" s="6" t="n"/>
      <c r="D28" s="6" t="n"/>
      <c r="E28" s="6" t="n"/>
      <c r="F28" s="6" t="n"/>
    </row>
    <row r="29" ht="15" customHeight="1">
      <c r="A29" s="6" t="n"/>
      <c r="B29" s="6" t="n"/>
      <c r="C29" s="6" t="n"/>
      <c r="D29" s="6" t="n"/>
      <c r="E29" s="6" t="n"/>
      <c r="F29" s="6" t="n"/>
    </row>
    <row r="30" ht="15" customHeight="1">
      <c r="A30" s="6" t="n"/>
      <c r="B30" s="6" t="n"/>
      <c r="C30" s="6" t="n"/>
      <c r="D30" s="6" t="n"/>
      <c r="E30" s="6" t="n"/>
      <c r="F30" s="6" t="n"/>
    </row>
    <row r="31" ht="15" customHeight="1">
      <c r="A31" s="6" t="n"/>
      <c r="B31" s="6" t="n"/>
      <c r="C31" s="6" t="n"/>
      <c r="D31" s="6" t="n"/>
      <c r="E31" s="6" t="n"/>
      <c r="F31" s="6" t="n"/>
    </row>
    <row r="32" ht="15" customHeight="1">
      <c r="A32" s="6" t="n"/>
      <c r="B32" s="6" t="n"/>
      <c r="C32" s="6" t="n"/>
      <c r="D32" s="6" t="n"/>
      <c r="E32" s="6" t="n"/>
      <c r="F32" s="6" t="n"/>
    </row>
    <row r="33" ht="15" customHeight="1">
      <c r="A33" s="6" t="n"/>
      <c r="B33" s="6" t="n"/>
      <c r="C33" s="6" t="n"/>
      <c r="D33" s="6" t="n"/>
      <c r="E33" s="6" t="n"/>
      <c r="F33" s="6" t="n"/>
    </row>
    <row r="34" ht="15" customHeight="1">
      <c r="A34" s="6" t="n"/>
      <c r="B34" s="6" t="n"/>
      <c r="C34" s="6" t="n"/>
      <c r="D34" s="6" t="n"/>
      <c r="E34" s="6" t="n"/>
      <c r="F34" s="6" t="n"/>
    </row>
    <row r="35" ht="15" customHeight="1">
      <c r="A35" s="6" t="n"/>
      <c r="B35" s="6" t="n"/>
      <c r="C35" s="6" t="n"/>
      <c r="D35" s="6" t="n"/>
      <c r="E35" s="6" t="n"/>
      <c r="F35" s="6" t="n"/>
    </row>
    <row r="36" ht="15" customHeight="1">
      <c r="A36" s="6" t="n"/>
      <c r="B36" s="6" t="n"/>
      <c r="C36" s="6" t="n"/>
      <c r="D36" s="6" t="n"/>
      <c r="E36" s="6" t="n"/>
      <c r="F36" s="6" t="n"/>
    </row>
    <row r="37" ht="15" customHeight="1">
      <c r="A37" s="6" t="n"/>
      <c r="B37" s="6" t="n"/>
      <c r="C37" s="6" t="n"/>
      <c r="D37" s="6" t="n"/>
      <c r="E37" s="6" t="n"/>
      <c r="F37" s="6" t="n"/>
    </row>
    <row r="38" ht="15" customHeight="1">
      <c r="A38" s="6" t="n"/>
      <c r="B38" s="6" t="n"/>
      <c r="C38" s="6" t="n"/>
      <c r="D38" s="6" t="n"/>
      <c r="E38" s="6" t="n"/>
      <c r="F38" s="6" t="n"/>
    </row>
    <row r="39" ht="15" customHeight="1">
      <c r="A39" s="6" t="n"/>
      <c r="B39" s="6" t="n"/>
      <c r="C39" s="6" t="n"/>
      <c r="D39" s="6" t="n"/>
      <c r="E39" s="6" t="n"/>
      <c r="F39" s="6" t="n"/>
    </row>
    <row r="40" ht="15" customHeight="1">
      <c r="A40" s="6" t="n"/>
      <c r="B40" s="6" t="n"/>
      <c r="C40" s="6" t="n"/>
      <c r="D40" s="6" t="n"/>
      <c r="E40" s="6" t="n"/>
      <c r="F40" s="6" t="n"/>
    </row>
    <row r="41" ht="15" customHeight="1">
      <c r="A41" s="6" t="n"/>
      <c r="B41" s="6" t="n"/>
      <c r="C41" s="6" t="n"/>
      <c r="D41" s="6" t="n"/>
      <c r="E41" s="6" t="n"/>
      <c r="F41" s="6" t="n"/>
    </row>
    <row r="42" ht="15" customHeight="1">
      <c r="A42" s="6" t="n"/>
      <c r="B42" s="6" t="n"/>
      <c r="C42" s="6" t="n"/>
      <c r="D42" s="6" t="n"/>
      <c r="E42" s="6" t="n"/>
      <c r="F42" s="6" t="n"/>
    </row>
    <row r="43" ht="15" customHeight="1">
      <c r="A43" s="6" t="n"/>
      <c r="B43" s="6" t="n"/>
      <c r="C43" s="6" t="n"/>
      <c r="D43" s="6" t="n"/>
      <c r="E43" s="6" t="n"/>
      <c r="F43" s="6" t="n"/>
    </row>
    <row r="44" ht="15" customHeight="1">
      <c r="A44" s="6" t="n"/>
      <c r="B44" s="6" t="n"/>
      <c r="C44" s="6" t="n"/>
      <c r="D44" s="6" t="n"/>
      <c r="E44" s="6" t="n"/>
      <c r="F44" s="6" t="n"/>
    </row>
    <row r="45" ht="15" customHeight="1">
      <c r="A45" s="6" t="n"/>
      <c r="B45" s="6" t="n"/>
      <c r="C45" s="6" t="n"/>
      <c r="D45" s="6" t="n"/>
      <c r="E45" s="6" t="n"/>
      <c r="F45" s="6" t="n"/>
    </row>
    <row r="46" ht="15" customHeight="1">
      <c r="A46" s="6" t="n"/>
      <c r="B46" s="6" t="n"/>
      <c r="C46" s="6" t="n"/>
      <c r="D46" s="6" t="n"/>
      <c r="E46" s="6" t="n"/>
      <c r="F46" s="6" t="n"/>
    </row>
    <row r="47" ht="15" customHeight="1">
      <c r="A47" s="6" t="n"/>
      <c r="B47" s="6" t="n"/>
      <c r="C47" s="6" t="n"/>
      <c r="D47" s="6" t="n"/>
      <c r="E47" s="6" t="n"/>
      <c r="F47" s="6" t="n"/>
    </row>
    <row r="48" ht="15" customHeight="1">
      <c r="A48" s="6" t="n"/>
      <c r="B48" s="6" t="n"/>
      <c r="C48" s="6" t="n"/>
      <c r="D48" s="6" t="n"/>
      <c r="E48" s="6" t="n"/>
      <c r="F48" s="6" t="n"/>
    </row>
    <row r="49" ht="15" customHeight="1">
      <c r="A49" s="6" t="n"/>
      <c r="B49" s="6" t="n"/>
      <c r="C49" s="6" t="n"/>
      <c r="D49" s="6" t="n"/>
      <c r="E49" s="6" t="n"/>
      <c r="F49" s="6" t="n"/>
    </row>
    <row r="50" ht="15" customHeight="1">
      <c r="A50" s="6" t="n"/>
      <c r="B50" s="6" t="n"/>
      <c r="C50" s="6" t="n"/>
      <c r="D50" s="6" t="n"/>
      <c r="E50" s="6" t="n"/>
      <c r="F50" s="6" t="n"/>
    </row>
    <row r="51" ht="15" customHeight="1">
      <c r="A51" s="6" t="n"/>
      <c r="B51" s="6" t="n"/>
      <c r="C51" s="6" t="n"/>
      <c r="D51" s="6" t="n"/>
      <c r="E51" s="6" t="n"/>
      <c r="F51" s="6" t="n"/>
    </row>
    <row r="52" ht="15" customHeight="1">
      <c r="A52" s="6" t="n"/>
      <c r="B52" s="6" t="n"/>
      <c r="C52" s="6" t="n"/>
      <c r="D52" s="6" t="n"/>
      <c r="E52" s="6" t="n"/>
      <c r="F52" s="6" t="n"/>
    </row>
    <row r="53" ht="15" customHeight="1">
      <c r="A53" s="6" t="n"/>
      <c r="B53" s="6" t="n"/>
      <c r="C53" s="6" t="n"/>
      <c r="D53" s="6" t="n"/>
      <c r="E53" s="6" t="n"/>
      <c r="F53" s="6" t="n"/>
    </row>
    <row r="54" ht="15" customHeight="1">
      <c r="A54" s="6" t="n"/>
      <c r="B54" s="6" t="n"/>
      <c r="C54" s="6" t="n"/>
      <c r="D54" s="6" t="n"/>
      <c r="E54" s="6" t="n"/>
      <c r="F54" s="6" t="n"/>
    </row>
    <row r="55" ht="15" customHeight="1">
      <c r="A55" s="6" t="n"/>
      <c r="B55" s="6" t="n"/>
      <c r="C55" s="6" t="n"/>
      <c r="D55" s="6" t="n"/>
      <c r="E55" s="6" t="n"/>
      <c r="F55" s="6" t="n"/>
    </row>
    <row r="56" ht="15" customHeight="1">
      <c r="A56" s="6" t="n"/>
      <c r="B56" s="6" t="n"/>
      <c r="C56" s="6" t="n"/>
      <c r="D56" s="6" t="n"/>
      <c r="E56" s="6" t="n"/>
      <c r="F56" s="6" t="n"/>
    </row>
    <row r="57" ht="15" customHeight="1">
      <c r="A57" s="6" t="n"/>
      <c r="B57" s="6" t="n"/>
      <c r="C57" s="6" t="n"/>
      <c r="D57" s="6" t="n"/>
      <c r="E57" s="6" t="n"/>
      <c r="F57" s="6" t="n"/>
    </row>
    <row r="58" ht="15" customHeight="1">
      <c r="A58" s="6" t="n"/>
      <c r="B58" s="6" t="n"/>
      <c r="C58" s="6" t="n"/>
      <c r="D58" s="6" t="n"/>
      <c r="E58" s="6" t="n"/>
      <c r="F58" s="6" t="n"/>
    </row>
    <row r="59" ht="15" customHeight="1">
      <c r="A59" s="6" t="n"/>
      <c r="B59" s="6" t="n"/>
      <c r="C59" s="6" t="n"/>
      <c r="D59" s="6" t="n"/>
      <c r="E59" s="6" t="n"/>
      <c r="F59" s="6" t="n"/>
    </row>
    <row r="60" ht="15" customHeight="1">
      <c r="A60" s="6" t="n"/>
      <c r="B60" s="6" t="n"/>
      <c r="C60" s="6" t="n"/>
      <c r="D60" s="6" t="n"/>
      <c r="E60" s="6" t="n"/>
      <c r="F60" s="6" t="n"/>
    </row>
    <row r="61" ht="15" customHeight="1">
      <c r="A61" s="6" t="n"/>
      <c r="B61" s="6" t="n"/>
      <c r="C61" s="6" t="n"/>
      <c r="D61" s="6" t="n"/>
      <c r="E61" s="6" t="n"/>
      <c r="F61" s="6" t="n"/>
    </row>
    <row r="62" ht="15" customHeight="1">
      <c r="A62" s="6" t="n"/>
      <c r="B62" s="6" t="n"/>
      <c r="C62" s="6" t="n"/>
      <c r="D62" s="6" t="n"/>
      <c r="E62" s="6" t="n"/>
      <c r="F62" s="6" t="n"/>
    </row>
    <row r="63" ht="15" customHeight="1">
      <c r="A63" s="6" t="n"/>
      <c r="B63" s="6" t="n"/>
      <c r="C63" s="6" t="n"/>
      <c r="D63" s="6" t="n"/>
      <c r="E63" s="6" t="n"/>
      <c r="F63" s="6" t="n"/>
    </row>
    <row r="64" ht="15" customHeight="1">
      <c r="A64" s="6" t="n"/>
      <c r="B64" s="6" t="n"/>
      <c r="C64" s="6" t="n"/>
      <c r="D64" s="6" t="n"/>
      <c r="E64" s="6" t="n"/>
      <c r="F64" s="6" t="n"/>
    </row>
    <row r="65" ht="15" customHeight="1">
      <c r="A65" s="6" t="n"/>
      <c r="B65" s="6" t="n"/>
      <c r="C65" s="6" t="n"/>
      <c r="D65" s="6" t="n"/>
      <c r="E65" s="6" t="n"/>
      <c r="F65" s="6" t="n"/>
    </row>
    <row r="66" ht="15" customHeight="1">
      <c r="A66" s="6" t="n"/>
      <c r="B66" s="6" t="n"/>
      <c r="C66" s="6" t="n"/>
      <c r="D66" s="6" t="n"/>
      <c r="E66" s="6" t="n"/>
      <c r="F66" s="6" t="n"/>
    </row>
  </sheetData>
  <mergeCells count="8">
    <mergeCell ref="A2:F2"/>
    <mergeCell ref="F4:G4"/>
    <mergeCell ref="J4:K4"/>
    <mergeCell ref="L4:M4"/>
    <mergeCell ref="A1:F1"/>
    <mergeCell ref="D4:E4"/>
    <mergeCell ref="H4:I4"/>
    <mergeCell ref="B4:C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1F3864"/>
    <outlinePr summaryBelow="1" summaryRight="1"/>
    <pageSetUpPr/>
  </sheetPr>
  <dimension ref="A1:M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3" customWidth="1" min="4" max="4"/>
    <col width="13" customWidth="1" min="5" max="5"/>
    <col width="11" customWidth="1" min="6" max="6"/>
    <col width="9" customWidth="1" min="7" max="7"/>
    <col width="30" customWidth="1" min="8" max="8"/>
  </cols>
  <sheetData>
    <row r="1" ht="26" customHeight="1">
      <c r="A1" s="1" t="inlineStr">
        <is>
          <t>RECON</t>
        </is>
      </c>
    </row>
    <row r="2">
      <c r="A2" s="2" t="inlineStr">
        <is>
          <t>Comparacao produto a produto. Legado (amarelo) vem da Planilha_Precificacao.xlsx (ver DATA_GAPS). Novo custo industrial e calculado (27_ACTUAL_COST).</t>
        </is>
      </c>
    </row>
    <row r="4">
      <c r="A4" s="7" t="inlineStr">
        <is>
          <t>Legenda:</t>
        </is>
      </c>
      <c r="B4" s="8" t="inlineStr">
        <is>
          <t>INPUT (editavel)</t>
        </is>
      </c>
      <c r="C4" s="9" t="n"/>
      <c r="D4" s="10" t="inlineStr">
        <is>
          <t>FORMULA</t>
        </is>
      </c>
      <c r="E4" s="9" t="n"/>
      <c r="F4" s="11" t="inlineStr">
        <is>
          <t>LINKED (de outra aba)</t>
        </is>
      </c>
      <c r="G4" s="9" t="n"/>
      <c r="H4" s="12" t="inlineStr">
        <is>
          <t>CONTROL</t>
        </is>
      </c>
      <c r="I4" s="9" t="n"/>
      <c r="J4" s="13" t="inlineStr">
        <is>
          <t>ALERT</t>
        </is>
      </c>
      <c r="K4" s="9" t="n"/>
      <c r="L4" s="14" t="inlineStr">
        <is>
          <t>CHAVE/ID</t>
        </is>
      </c>
      <c r="M4" s="9" t="n"/>
    </row>
    <row r="6" ht="30" customHeight="1">
      <c r="A6" s="5" t="inlineStr">
        <is>
          <t>PRODUCT_ID</t>
        </is>
      </c>
      <c r="B6" s="5" t="inlineStr">
        <is>
          <t>Preco atual
(legado)</t>
        </is>
      </c>
      <c r="C6" s="5" t="inlineStr">
        <is>
          <t>Custo atual
(legado)</t>
        </is>
      </c>
      <c r="D6" s="5" t="inlineStr">
        <is>
          <t>Novo custo
industrial R$/t</t>
        </is>
      </c>
      <c r="E6" s="5" t="inlineStr">
        <is>
          <t>Novo custo
economico R$/t</t>
        </is>
      </c>
      <c r="F6" s="5" t="inlineStr">
        <is>
          <t>Dif. abs.
R$/t</t>
        </is>
      </c>
      <c r="G6" s="5" t="inlineStr">
        <is>
          <t>Dif. %</t>
        </is>
      </c>
      <c r="H6" s="5" t="inlineStr">
        <is>
          <t>Causa da diferenca</t>
        </is>
      </c>
    </row>
    <row r="7">
      <c r="A7" s="15" t="inlineStr">
        <is>
          <t>P001</t>
        </is>
      </c>
      <c r="B7" s="21" t="n"/>
      <c r="C7" s="21" t="n"/>
      <c r="D7" s="31">
        <f>IFERROR(INDEX('27_ACTUAL_COST'!$H$7:$H$9,MATCH(A7,'27_ACTUAL_COST'!$A$7:$A$9,0)),0)</f>
        <v/>
      </c>
      <c r="E7" s="31">
        <f>D7</f>
        <v/>
      </c>
      <c r="F7" s="31">
        <f>IF(C7="","",D7-C7)</f>
        <v/>
      </c>
      <c r="G7" s="23">
        <f>IF(C7="","",IFERROR((D7-C7)/C7,0))</f>
        <v/>
      </c>
      <c r="H7" s="18" t="n"/>
    </row>
    <row r="8">
      <c r="A8" s="15" t="inlineStr">
        <is>
          <t>P002</t>
        </is>
      </c>
      <c r="B8" s="21" t="n"/>
      <c r="C8" s="21" t="n"/>
      <c r="D8" s="31">
        <f>IFERROR(INDEX('27_ACTUAL_COST'!$H$7:$H$9,MATCH(A8,'27_ACTUAL_COST'!$A$7:$A$9,0)),0)</f>
        <v/>
      </c>
      <c r="E8" s="31">
        <f>D8</f>
        <v/>
      </c>
      <c r="F8" s="31">
        <f>IF(C8="","",D8-C8)</f>
        <v/>
      </c>
      <c r="G8" s="23">
        <f>IF(C8="","",IFERROR((D8-C8)/C8,0))</f>
        <v/>
      </c>
      <c r="H8" s="18" t="n"/>
    </row>
    <row r="9">
      <c r="A9" s="15" t="inlineStr">
        <is>
          <t>P003</t>
        </is>
      </c>
      <c r="B9" s="21" t="n"/>
      <c r="C9" s="21" t="n"/>
      <c r="D9" s="31">
        <f>IFERROR(INDEX('27_ACTUAL_COST'!$H$7:$H$9,MATCH(A9,'27_ACTUAL_COST'!$A$7:$A$9,0)),0)</f>
        <v/>
      </c>
      <c r="E9" s="31">
        <f>D9</f>
        <v/>
      </c>
      <c r="F9" s="31">
        <f>IF(C9="","",D9-C9)</f>
        <v/>
      </c>
      <c r="G9" s="23">
        <f>IF(C9="","",IFERROR((D9-C9)/C9,0))</f>
        <v/>
      </c>
      <c r="H9" s="18" t="n"/>
    </row>
    <row r="11">
      <c r="A11" s="2" t="inlineStr">
        <is>
          <t>Preencha as colunas do legado ao receber Planilha_Precificacao.xlsx. Causas tipicas: divergencia de metodologia, premissa sem suporte, dado nao rastreavel.</t>
        </is>
      </c>
    </row>
  </sheetData>
  <mergeCells count="8">
    <mergeCell ref="F4:G4"/>
    <mergeCell ref="J4:K4"/>
    <mergeCell ref="L4:M4"/>
    <mergeCell ref="A2:H2"/>
    <mergeCell ref="D4:E4"/>
    <mergeCell ref="H4:I4"/>
    <mergeCell ref="A1:H1"/>
    <mergeCell ref="B4:C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C00000"/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40" customWidth="1" min="4" max="4"/>
  </cols>
  <sheetData>
    <row r="1" ht="26" customHeight="1">
      <c r="A1" s="1" t="inlineStr">
        <is>
          <t>CONTROLES E ALERTAS AUTOMATICOS</t>
        </is>
      </c>
    </row>
    <row r="2">
      <c r="A2" s="2" t="inlineStr">
        <is>
          <t>Verde = OK, Vermelho = investigar. Estes testes implementam a aceitacao do modelo (BOM fecha, Std+Var=Actual, sem custo negativo, etc.).</t>
        </is>
      </c>
    </row>
    <row r="4" ht="30" customHeight="1">
      <c r="B4" s="5" t="inlineStr">
        <is>
          <t>Verificacao</t>
        </is>
      </c>
      <c r="C4" s="5" t="inlineStr">
        <is>
          <t>Status</t>
        </is>
      </c>
      <c r="D4" s="5" t="inlineStr">
        <is>
          <t>Regra</t>
        </is>
      </c>
    </row>
    <row r="5">
      <c r="B5" s="6" t="inlineStr">
        <is>
          <t>BOM fecha (soma kg/t = 1000) — P001</t>
        </is>
      </c>
      <c r="C5" s="34">
        <f>IF(ABS(SUMIF('06_BOM'!$A$7:$A$67,"P001",'06_BOM'!$E$7:$E$67)-1000)&lt;=1,"OK","ALERTA")</f>
        <v/>
      </c>
      <c r="D5" s="7" t="inlineStr">
        <is>
          <t>Fechamento fisico da formulacao</t>
        </is>
      </c>
    </row>
    <row r="6">
      <c r="B6" s="6" t="inlineStr">
        <is>
          <t>BOM fecha — P002</t>
        </is>
      </c>
      <c r="C6" s="34">
        <f>IF(ABS(SUMIF('06_BOM'!$A$7:$A$67,"P002",'06_BOM'!$E$7:$E$67)-1000)&lt;=1,"OK","ALERTA")</f>
        <v/>
      </c>
      <c r="D6" s="7" t="inlineStr">
        <is>
          <t>Fechamento fisico</t>
        </is>
      </c>
    </row>
    <row r="7">
      <c r="B7" s="6" t="inlineStr">
        <is>
          <t>BOM fecha — P003</t>
        </is>
      </c>
      <c r="C7" s="34">
        <f>IF(ABS(SUMIF('06_BOM'!$A$7:$A$67,"P003",'06_BOM'!$E$7:$E$67)-1000)&lt;=1,"OK","ALERTA")</f>
        <v/>
      </c>
      <c r="D7" s="7" t="inlineStr">
        <is>
          <t>Fechamento fisico</t>
        </is>
      </c>
    </row>
    <row r="8">
      <c r="B8" s="6" t="inlineStr">
        <is>
          <t>Reconciliacao Std+Var=Actual (residual total)</t>
        </is>
      </c>
      <c r="C8" s="34">
        <f>IF(ABS(SUM('28_VARIANCES'!$N$7:$N$18))&lt;0.01,"OK","ALERTA")</f>
        <v/>
      </c>
      <c r="D8" s="7" t="inlineStr">
        <is>
          <t>Residual por linha -&gt; 0</t>
        </is>
      </c>
    </row>
    <row r="9">
      <c r="B9" s="6" t="inlineStr">
        <is>
          <t>Reconciliacao por produto (42_RECON_COST)</t>
        </is>
      </c>
      <c r="C9" s="34">
        <f>IF(ABS(SUM('42_RECON_COST'!$I$7:$I$9))&lt;0.01,"OK","ALERTA")</f>
        <v/>
      </c>
      <c r="D9" s="7" t="inlineStr">
        <is>
          <t>Std total + var = Actual</t>
        </is>
      </c>
    </row>
    <row r="10">
      <c r="B10" s="6" t="inlineStr">
        <is>
          <t>Sem custo real negativo</t>
        </is>
      </c>
      <c r="C10" s="34">
        <f>IF(MIN('27_ACTUAL_COST'!$H$7:$H$9)&gt;=0,"OK","ALERTA")</f>
        <v/>
      </c>
      <c r="D10" s="7" t="inlineStr">
        <is>
          <t>Custo/t nao pode ser negativo</t>
        </is>
      </c>
    </row>
    <row r="11">
      <c r="B11" s="6" t="inlineStr">
        <is>
          <t>Material sem landed cost (custo zero no BOM)</t>
        </is>
      </c>
      <c r="C11" s="34">
        <f>IF(SUMPRODUCT(('06_BOM'!$E$7:$E$67&gt;0)*('06_BOM'!$K$7:$K$67=0))=0,"OK","ALERTA")</f>
        <v/>
      </c>
      <c r="D11" s="7" t="inlineStr">
        <is>
          <t>Toda MP usada deve ter custo rastreavel</t>
        </is>
      </c>
    </row>
    <row r="12">
      <c r="B12" s="6" t="inlineStr">
        <is>
          <t>Perda nao explicada (mass balance)</t>
        </is>
      </c>
      <c r="C12" s="34">
        <f>IF(SUM('19_LOSSES'!$I$7:$I$67)&lt;=0.5,"OK","ALERTA")</f>
        <v/>
      </c>
      <c r="D12" s="7" t="inlineStr">
        <is>
          <t>Unaccounted loss nao absorvida</t>
        </is>
      </c>
    </row>
    <row r="13">
      <c r="B13" s="6" t="inlineStr">
        <is>
          <t>Produtos destruidores de valor</t>
        </is>
      </c>
      <c r="C13" s="34">
        <f>IF(COUNTIF('40_PROFITABILITY'!$S$7:$S$9,"DESTRUIDOR DE VALOR")=0,"OK","ALERTA")</f>
        <v/>
      </c>
      <c r="D13" s="7" t="inlineStr">
        <is>
          <t>Pocket margin &lt; 0</t>
        </is>
      </c>
    </row>
    <row r="14">
      <c r="B14" s="6" t="inlineStr">
        <is>
          <t>ICMS efetivo consistente (nominal x devido)</t>
        </is>
      </c>
      <c r="C14" s="34">
        <f>IF(ABS(ICMS_EFETIVO-ICMS_NOMINAL*(1-ICMS_REDUCAO))&lt;0.0001,"OK","ALERTA")</f>
        <v/>
      </c>
      <c r="D14" s="7" t="inlineStr">
        <is>
          <t>Sem hardcode de 4,5%</t>
        </is>
      </c>
    </row>
    <row r="16">
      <c r="B16" s="2" t="inlineStr">
        <is>
          <t>TESTES DE ACEITACAO (98): rastreabilidade de MP, BOM fecha, OF reconcilia, Std+Var=Actual, ponte contabil, sem alocacao sem driver, fonte+responsavel, preco decomponivel ate custo, saving reconciliavel, leitura em segundos.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C55A11"/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20" customWidth="1" min="4" max="4"/>
    <col width="40" customWidth="1" min="5" max="5"/>
  </cols>
  <sheetData>
    <row r="1" ht="26" customHeight="1">
      <c r="A1" s="1" t="inlineStr">
        <is>
          <t>DADOS REAIS — COMPRAS (NOTAS DE ENTRADA)</t>
        </is>
      </c>
    </row>
    <row r="2">
      <c r="A2" s="2" t="inlineStr">
        <is>
          <t>Fonte: 2026-01 (SKAL_Compras_2026-01_Extracao.xlsx), 2026-08 (SKAL_Compras_2026-08_Extracao.xlsx). Itens sem quantidade/valor legiveis no OCR foram descartados (nunca inferidos). Estes numeros SAO reais, ao contrario do dataset DEMO.</t>
        </is>
      </c>
    </row>
    <row r="4">
      <c r="B4" s="6" t="inlineStr">
        <is>
          <t>Arquivos ingeridos</t>
        </is>
      </c>
      <c r="C4" s="61" t="n">
        <v>2</v>
      </c>
    </row>
    <row r="5">
      <c r="B5" s="6" t="inlineStr">
        <is>
          <t>Fornecedores (dedup CNPJ)</t>
        </is>
      </c>
      <c r="C5" s="61" t="n">
        <v>81</v>
      </c>
    </row>
    <row r="6">
      <c r="B6" s="6" t="inlineStr">
        <is>
          <t>Gasto total mapeado (R$)</t>
        </is>
      </c>
      <c r="C6" s="49" t="n">
        <v>1341012.23</v>
      </c>
    </row>
    <row r="7">
      <c r="B7" s="6" t="inlineStr">
        <is>
          <t>Itens de produto legiveis</t>
        </is>
      </c>
      <c r="C7" s="61" t="n">
        <v>6</v>
      </c>
    </row>
    <row r="8">
      <c r="B8" s="6" t="inlineStr">
        <is>
          <t>Documentos no ledger</t>
        </is>
      </c>
      <c r="C8" s="61" t="n">
        <v>154</v>
      </c>
    </row>
    <row r="9">
      <c r="B9" s="6" t="inlineStr">
        <is>
          <t>CT-e de frete</t>
        </is>
      </c>
      <c r="C9" s="61" t="n">
        <v>31</v>
      </c>
    </row>
    <row r="10">
      <c r="B10" s="6" t="inlineStr">
        <is>
          <t>Registros de energia</t>
        </is>
      </c>
      <c r="C10" s="61" t="n">
        <v>5</v>
      </c>
    </row>
    <row r="12">
      <c r="B12" s="62" t="inlineStr">
        <is>
          <t>ACHADO-CHAVE</t>
        </is>
      </c>
      <c r="E12" s="63" t="inlineStr">
        <is>
          <t>O frete inbound do cimento (Apodi/CE -&gt; Teresina/PI) e um driver de custo de primeira ordem: ver R3_LANDED_REAL.</t>
        </is>
      </c>
    </row>
  </sheetData>
  <mergeCells count="3">
    <mergeCell ref="A2:E2"/>
    <mergeCell ref="E12"/>
    <mergeCell ref="A1:E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C55A11"/>
    <outlinePr summaryBelow="1" summaryRight="1"/>
    <pageSetUpPr/>
  </sheetPr>
  <dimension ref="A1:F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" customWidth="1" min="3" max="3"/>
    <col width="22" customWidth="1" min="4" max="4"/>
    <col width="14" customWidth="1" min="5" max="5"/>
    <col width="12" customWidth="1" min="6" max="6"/>
  </cols>
  <sheetData>
    <row r="1" ht="26" customHeight="1">
      <c r="A1" s="1" t="inlineStr">
        <is>
          <t>FORNECEDORES REAIS</t>
        </is>
      </c>
    </row>
    <row r="2">
      <c r="A2" s="2" t="inlineStr">
        <is>
          <t>Fonte: 2026-01 (SKAL_Compras_2026-01_Extracao.xlsx), 2026-08 (SKAL_Compras_2026-08_Extracao.xlsx) Gasto = soma dos documentos (ledger R4), agregado por CNPJ.</t>
        </is>
      </c>
    </row>
    <row r="3" ht="30" customHeight="1">
      <c r="A3" s="5" t="inlineStr">
        <is>
          <t>CNPJ</t>
        </is>
      </c>
      <c r="B3" s="5" t="inlineStr">
        <is>
          <t>Razao social</t>
        </is>
      </c>
      <c r="C3" s="5" t="inlineStr">
        <is>
          <t>UF</t>
        </is>
      </c>
      <c r="D3" s="5" t="inlineStr">
        <is>
          <t>Regime</t>
        </is>
      </c>
      <c r="E3" s="5" t="inlineStr">
        <is>
          <t>Gasto total R$</t>
        </is>
      </c>
      <c r="F3" s="5" t="inlineStr">
        <is>
          <t>Meses</t>
        </is>
      </c>
    </row>
    <row r="4">
      <c r="A4" s="15" t="n"/>
      <c r="B4" s="6" t="inlineStr">
        <is>
          <t>COMPANHIA INDUSTRIAL DE CIMENTO APODI</t>
        </is>
      </c>
      <c r="C4" s="17" t="inlineStr">
        <is>
          <t>CE</t>
        </is>
      </c>
      <c r="D4" s="6" t="n"/>
      <c r="E4" s="49" t="n">
        <v>353381.45</v>
      </c>
      <c r="F4" s="17" t="inlineStr">
        <is>
          <t>2026-01, 2026-08</t>
        </is>
      </c>
    </row>
    <row r="5">
      <c r="A5" s="15" t="n"/>
      <c r="B5" s="6" t="inlineStr">
        <is>
          <t>F G INTELIGENCIA EM LOGISTICA LTDA</t>
        </is>
      </c>
      <c r="C5" s="17" t="inlineStr">
        <is>
          <t>CE</t>
        </is>
      </c>
      <c r="D5" s="6" t="n"/>
      <c r="E5" s="49" t="n">
        <v>343917.6</v>
      </c>
      <c r="F5" s="17" t="inlineStr">
        <is>
          <t>2026-01, 2026-08</t>
        </is>
      </c>
    </row>
    <row r="6">
      <c r="A6" s="15" t="n"/>
      <c r="B6" s="6" t="inlineStr">
        <is>
          <t>FENIX PRESTADORA DE SERVICOS LTDA</t>
        </is>
      </c>
      <c r="C6" s="17" t="inlineStr">
        <is>
          <t>PI</t>
        </is>
      </c>
      <c r="D6" s="6" t="inlineStr">
        <is>
          <t>ME ou EPP optante pelo Simples Nacional</t>
        </is>
      </c>
      <c r="E6" s="49" t="n">
        <v>69350</v>
      </c>
      <c r="F6" s="17" t="inlineStr">
        <is>
          <t>2026-01, 2026-08</t>
        </is>
      </c>
    </row>
    <row r="7">
      <c r="A7" s="15" t="n"/>
      <c r="B7" s="6" t="inlineStr">
        <is>
          <t>PLASTER DISTRIBUIDORA LTDA</t>
        </is>
      </c>
      <c r="C7" s="17" t="n"/>
      <c r="D7" s="6" t="n"/>
      <c r="E7" s="49" t="n">
        <v>43536</v>
      </c>
      <c r="F7" s="17" t="inlineStr">
        <is>
          <t>2026-01</t>
        </is>
      </c>
    </row>
    <row r="8">
      <c r="A8" s="15" t="n"/>
      <c r="B8" s="6" t="inlineStr">
        <is>
          <t>G R DE MORAES CONSTRUCOES</t>
        </is>
      </c>
      <c r="C8" s="17" t="n"/>
      <c r="D8" s="6" t="n"/>
      <c r="E8" s="49" t="n">
        <v>40000</v>
      </c>
      <c r="F8" s="17" t="inlineStr">
        <is>
          <t>2026-01</t>
        </is>
      </c>
    </row>
    <row r="9">
      <c r="A9" s="15" t="n"/>
      <c r="B9" s="6" t="inlineStr">
        <is>
          <t>E &amp; P SOARES DOS SANTOS LTDA - ME</t>
        </is>
      </c>
      <c r="C9" s="17" t="n"/>
      <c r="D9" s="6" t="n"/>
      <c r="E9" s="49" t="n">
        <v>35238.7</v>
      </c>
      <c r="F9" s="17" t="inlineStr">
        <is>
          <t>2026-01</t>
        </is>
      </c>
    </row>
    <row r="10">
      <c r="A10" s="15" t="n"/>
      <c r="B10" s="6" t="inlineStr">
        <is>
          <t>VALORTOIICA MEERA) —_TOLABES.CACIGTES 3) DEAS. RCANDICLOANDO (RH GUNE DE CHIEUL DO MEGN RS) ALLY. (HK) VALOR DO HOON RS)</t>
        </is>
      </c>
      <c r="C10" s="17" t="n"/>
      <c r="D10" s="6" t="n"/>
      <c r="E10" s="49" t="n">
        <v>35238.7</v>
      </c>
      <c r="F10" s="17" t="inlineStr">
        <is>
          <t>2026-01</t>
        </is>
      </c>
    </row>
    <row r="11">
      <c r="A11" s="15" t="n"/>
      <c r="B11" s="6" t="inlineStr">
        <is>
          <t>POLI-GYN EMBALAGENS LTDA</t>
        </is>
      </c>
      <c r="C11" s="17" t="n"/>
      <c r="D11" s="6" t="n"/>
      <c r="E11" s="49" t="n">
        <v>32443.09</v>
      </c>
      <c r="F11" s="17" t="inlineStr">
        <is>
          <t>2026-01</t>
        </is>
      </c>
    </row>
    <row r="12">
      <c r="A12" s="15" t="n"/>
      <c r="B12" s="6" t="inlineStr">
        <is>
          <t>JUVENCIO REPRESENTACOES LIMITADA</t>
        </is>
      </c>
      <c r="C12" s="17" t="n"/>
      <c r="D12" s="6" t="n"/>
      <c r="E12" s="49" t="n">
        <v>31325.86</v>
      </c>
      <c r="F12" s="17" t="inlineStr">
        <is>
          <t>2026-01</t>
        </is>
      </c>
    </row>
    <row r="13">
      <c r="A13" s="15" t="n"/>
      <c r="B13" s="6" t="inlineStr">
        <is>
          <t>RENOVAR INDUSTRIA E COMERCIO DE EMBALAGENS EIRELI</t>
        </is>
      </c>
      <c r="C13" s="17" t="n"/>
      <c r="D13" s="6" t="n"/>
      <c r="E13" s="49" t="n">
        <v>29892.54</v>
      </c>
      <c r="F13" s="17" t="inlineStr">
        <is>
          <t>2026-01</t>
        </is>
      </c>
    </row>
    <row r="14">
      <c r="A14" s="15" t="n"/>
      <c r="B14" s="6" t="inlineStr">
        <is>
          <t>INOVE SOLUCOES EM PRODUTOS E EQUIPAMENTOS PARA LABORATORIOS</t>
        </is>
      </c>
      <c r="C14" s="17" t="n"/>
      <c r="D14" s="6" t="n"/>
      <c r="E14" s="49" t="n">
        <v>27000</v>
      </c>
      <c r="F14" s="17" t="inlineStr">
        <is>
          <t>2026-01</t>
        </is>
      </c>
    </row>
    <row r="15">
      <c r="A15" s="15" t="n"/>
      <c r="B15" s="6" t="inlineStr">
        <is>
          <t>EQUATORIAL PIAUI DISTRIBUIDORA DE ENERGIA S.A.</t>
        </is>
      </c>
      <c r="C15" s="17" t="n"/>
      <c r="D15" s="6" t="n"/>
      <c r="E15" s="49" t="n">
        <v>24691.95</v>
      </c>
      <c r="F15" s="17" t="inlineStr">
        <is>
          <t>2026-01</t>
        </is>
      </c>
    </row>
    <row r="16">
      <c r="A16" s="15" t="inlineStr">
        <is>
          <t>02.950.057/0001-87</t>
        </is>
      </c>
      <c r="B16" s="6" t="inlineStr">
        <is>
          <t>JOSIMAR INOCENCIO DE MORAIS - ME</t>
        </is>
      </c>
      <c r="C16" s="17" t="inlineStr">
        <is>
          <t>CE</t>
        </is>
      </c>
      <c r="D16" s="6" t="inlineStr">
        <is>
          <t>Não optante pelo Simples</t>
        </is>
      </c>
      <c r="E16" s="49" t="n">
        <v>16600</v>
      </c>
      <c r="F16" s="17" t="inlineStr">
        <is>
          <t>2026-08</t>
        </is>
      </c>
    </row>
    <row r="17">
      <c r="A17" s="15" t="n"/>
      <c r="B17" s="6" t="inlineStr">
        <is>
          <t>‘AORDE SANTEE ESCORT CONLONADE DEVCON CETERA (SON FEDO</t>
        </is>
      </c>
      <c r="C17" s="17" t="n"/>
      <c r="D17" s="6" t="n"/>
      <c r="E17" s="49" t="n">
        <v>15662.93</v>
      </c>
      <c r="F17" s="17" t="inlineStr">
        <is>
          <t>2026-01</t>
        </is>
      </c>
    </row>
    <row r="18">
      <c r="A18" s="15" t="n"/>
      <c r="B18" s="6" t="inlineStr">
        <is>
          <t>KLESIO KENNEDY REPRESENTACAO DE MATERIAL DE CONSTRUCAO LTDA</t>
        </is>
      </c>
      <c r="C18" s="17" t="n"/>
      <c r="D18" s="6" t="n"/>
      <c r="E18" s="49" t="n">
        <v>14933</v>
      </c>
      <c r="F18" s="17" t="inlineStr">
        <is>
          <t>2026-01</t>
        </is>
      </c>
    </row>
    <row r="19">
      <c r="A19" s="15" t="n"/>
      <c r="B19" s="6" t="inlineStr">
        <is>
          <t>FRANCISCO DAS CHAGAS BISPO DE ARAUJO JUNIOR</t>
        </is>
      </c>
      <c r="C19" s="17" t="n"/>
      <c r="D19" s="6" t="n"/>
      <c r="E19" s="49" t="n">
        <v>14800</v>
      </c>
      <c r="F19" s="17" t="inlineStr">
        <is>
          <t>2026-01</t>
        </is>
      </c>
    </row>
    <row r="20">
      <c r="A20" s="15" t="n"/>
      <c r="B20" s="6" t="inlineStr">
        <is>
          <t>JORGE GUILHERME COSTA FERREIRA</t>
        </is>
      </c>
      <c r="C20" s="17" t="inlineStr">
        <is>
          <t>PI</t>
        </is>
      </c>
      <c r="D20" s="6" t="inlineStr">
        <is>
          <t>MEI / Simples Nacional</t>
        </is>
      </c>
      <c r="E20" s="49" t="n">
        <v>14500</v>
      </c>
      <c r="F20" s="17" t="inlineStr">
        <is>
          <t>2026-01, 2026-08</t>
        </is>
      </c>
    </row>
    <row r="21">
      <c r="A21" s="15" t="n"/>
      <c r="B21" s="6" t="inlineStr">
        <is>
          <t>F J DE SOUSA REPRESENTACOES</t>
        </is>
      </c>
      <c r="C21" s="17" t="n"/>
      <c r="D21" s="6" t="n"/>
      <c r="E21" s="49" t="n">
        <v>14232.77</v>
      </c>
      <c r="F21" s="17" t="inlineStr">
        <is>
          <t>2026-01</t>
        </is>
      </c>
    </row>
    <row r="22">
      <c r="A22" s="15" t="n"/>
      <c r="B22" s="6" t="inlineStr">
        <is>
          <t>EDWARD MOURA SOCIEDADE INDIVIDUAL DE ADVOCACIA</t>
        </is>
      </c>
      <c r="C22" s="17" t="inlineStr">
        <is>
          <t>PI</t>
        </is>
      </c>
      <c r="D22" s="6" t="inlineStr">
        <is>
          <t>ME ou EPP optante pelo Simples Nacional</t>
        </is>
      </c>
      <c r="E22" s="49" t="n">
        <v>12225</v>
      </c>
      <c r="F22" s="17" t="inlineStr">
        <is>
          <t>2026-01, 2026-08</t>
        </is>
      </c>
    </row>
    <row r="23">
      <c r="A23" s="15" t="n"/>
      <c r="B23" s="6" t="inlineStr">
        <is>
          <t>LCM CONSULTING AND INFORMATION SERVICES LTDA</t>
        </is>
      </c>
      <c r="C23" s="17" t="n"/>
      <c r="D23" s="6" t="n"/>
      <c r="E23" s="49" t="n">
        <v>11478.08</v>
      </c>
      <c r="F23" s="17" t="inlineStr">
        <is>
          <t>2026-01</t>
        </is>
      </c>
    </row>
    <row r="24">
      <c r="A24" s="15" t="inlineStr">
        <is>
          <t>17.858.631/0001-49</t>
        </is>
      </c>
      <c r="B24" s="6" t="inlineStr">
        <is>
          <t>MATRIX COMERCIALIZADORA DE ENERGIA ELETRICA S/A</t>
        </is>
      </c>
      <c r="C24" s="17" t="inlineStr">
        <is>
          <t>SP</t>
        </is>
      </c>
      <c r="D24" s="6" t="n"/>
      <c r="E24" s="49" t="n">
        <v>10128.08</v>
      </c>
      <c r="F24" s="17" t="inlineStr">
        <is>
          <t>2026-08</t>
        </is>
      </c>
    </row>
    <row r="25">
      <c r="A25" s="15" t="n"/>
      <c r="B25" s="6" t="inlineStr">
        <is>
          <t>TELEVISAO PIONEIRA LTDA</t>
        </is>
      </c>
      <c r="C25" s="17" t="n"/>
      <c r="D25" s="6" t="n"/>
      <c r="E25" s="49" t="n">
        <v>10000</v>
      </c>
      <c r="F25" s="17" t="inlineStr">
        <is>
          <t>2026-01</t>
        </is>
      </c>
    </row>
    <row r="26">
      <c r="A26" s="15" t="n"/>
      <c r="B26" s="6" t="inlineStr">
        <is>
          <t>CONSULTING AND INFORMATION SERVICES LTOA</t>
        </is>
      </c>
      <c r="C26" s="17" t="n"/>
      <c r="D26" s="6" t="n"/>
      <c r="E26" s="49" t="n">
        <v>9689.93</v>
      </c>
      <c r="F26" s="17" t="inlineStr">
        <is>
          <t>2026-01</t>
        </is>
      </c>
    </row>
    <row r="27">
      <c r="A27" s="15" t="n"/>
      <c r="B27" s="6" t="inlineStr">
        <is>
          <t>EVERARDO SILVA DO NASCIMENTO</t>
        </is>
      </c>
      <c r="C27" s="17" t="n"/>
      <c r="D27" s="6" t="n"/>
      <c r="E27" s="49" t="n">
        <v>8238</v>
      </c>
      <c r="F27" s="17" t="inlineStr">
        <is>
          <t>2026-01</t>
        </is>
      </c>
    </row>
    <row r="28">
      <c r="A28" s="15" t="n"/>
      <c r="B28" s="6" t="inlineStr">
        <is>
          <t>FIXENGIODO 650M STAGE DO PREETADOR DO SANI PERA O SIMELENHECISNM EIN COPIA DO BIBWIGBE DO OS</t>
        </is>
      </c>
      <c r="C28" s="17" t="n"/>
      <c r="D28" s="6" t="n"/>
      <c r="E28" s="49" t="n">
        <v>8175</v>
      </c>
      <c r="F28" s="17" t="inlineStr">
        <is>
          <t>2026-01</t>
        </is>
      </c>
    </row>
    <row r="29">
      <c r="A29" s="15" t="n"/>
      <c r="B29" s="6" t="inlineStr">
        <is>
          <t>DALZEDOREDEENISABO — COMPETTINCTS = MIMOROFÉRIT ‘SSEENAC SA OS POND</t>
        </is>
      </c>
      <c r="C29" s="17" t="n"/>
      <c r="D29" s="6" t="n"/>
      <c r="E29" s="49" t="n">
        <v>8175</v>
      </c>
      <c r="F29" s="17" t="inlineStr">
        <is>
          <t>2026-01</t>
        </is>
      </c>
    </row>
    <row r="30">
      <c r="A30" s="15" t="n"/>
      <c r="B30" s="6" t="inlineStr">
        <is>
          <t>ATHOS MED SERVICOS EM SAUDE - LTDA</t>
        </is>
      </c>
      <c r="C30" s="17" t="n"/>
      <c r="D30" s="6" t="n"/>
      <c r="E30" s="49" t="n">
        <v>5922</v>
      </c>
      <c r="F30" s="17" t="inlineStr">
        <is>
          <t>2026-01</t>
        </is>
      </c>
    </row>
    <row r="31">
      <c r="A31" s="15" t="n"/>
      <c r="B31" s="6" t="inlineStr">
        <is>
          <t>HOSPITAIS E CLINICAS DO PIAUI S/S LTDA</t>
        </is>
      </c>
      <c r="C31" s="17" t="n"/>
      <c r="D31" s="6" t="n"/>
      <c r="E31" s="49" t="n">
        <v>5901.18</v>
      </c>
      <c r="F31" s="17" t="inlineStr">
        <is>
          <t>2026-01</t>
        </is>
      </c>
    </row>
    <row r="32">
      <c r="A32" s="15" t="n"/>
      <c r="B32" s="6" t="inlineStr">
        <is>
          <t>CAIEIRA CANTA GALO EXTRACAO E COMERCIO DE CALCARIO LTDA</t>
        </is>
      </c>
      <c r="C32" s="17" t="n"/>
      <c r="D32" s="6" t="n"/>
      <c r="E32" s="49" t="n">
        <v>4880</v>
      </c>
      <c r="F32" s="17" t="inlineStr">
        <is>
          <t>2026-01</t>
        </is>
      </c>
    </row>
    <row r="33">
      <c r="A33" s="15" t="n"/>
      <c r="B33" s="6" t="inlineStr">
        <is>
          <t>MICHELA MEDEIROS FRANCO</t>
        </is>
      </c>
      <c r="C33" s="17" t="n"/>
      <c r="D33" s="6" t="n"/>
      <c r="E33" s="49" t="n">
        <v>4800</v>
      </c>
      <c r="F33" s="17" t="inlineStr">
        <is>
          <t>2026-01</t>
        </is>
      </c>
    </row>
    <row r="34">
      <c r="A34" s="15" t="n"/>
      <c r="B34" s="6" t="inlineStr">
        <is>
          <t>GRACILENE MARIA BEZERRA DOS SANTOS</t>
        </is>
      </c>
      <c r="C34" s="17" t="n"/>
      <c r="D34" s="6" t="n"/>
      <c r="E34" s="49" t="n">
        <v>4782.92</v>
      </c>
      <c r="F34" s="17" t="inlineStr">
        <is>
          <t>2026-01</t>
        </is>
      </c>
    </row>
    <row r="35">
      <c r="A35" s="15" t="n"/>
      <c r="B35" s="6" t="inlineStr">
        <is>
          <t>EMERSON CANDIDO DE AQUINO 56476779320</t>
        </is>
      </c>
      <c r="C35" s="17" t="n"/>
      <c r="D35" s="6" t="n"/>
      <c r="E35" s="49" t="n">
        <v>4500</v>
      </c>
      <c r="F35" s="17" t="inlineStr">
        <is>
          <t>2026-01</t>
        </is>
      </c>
    </row>
    <row r="36">
      <c r="A36" s="15" t="n"/>
      <c r="B36" s="6" t="inlineStr">
        <is>
          <t>JESUINO@APOIOCONTABILP.COM</t>
        </is>
      </c>
      <c r="C36" s="17" t="n"/>
      <c r="D36" s="6" t="n"/>
      <c r="E36" s="49" t="n">
        <v>4198</v>
      </c>
      <c r="F36" s="17" t="inlineStr">
        <is>
          <t>2026-01</t>
        </is>
      </c>
    </row>
    <row r="37">
      <c r="A37" s="15" t="inlineStr">
        <is>
          <t>07.776.339/0002-04</t>
        </is>
      </c>
      <c r="B37" s="6" t="inlineStr">
        <is>
          <t>CALCARIO CANTA GALO EXTRACAO E COMERCIO DE CALCARIO LTDA</t>
        </is>
      </c>
      <c r="C37" s="17" t="inlineStr">
        <is>
          <t>CE</t>
        </is>
      </c>
      <c r="D37" s="6" t="n"/>
      <c r="E37" s="49" t="n">
        <v>4035</v>
      </c>
      <c r="F37" s="17" t="inlineStr">
        <is>
          <t>2026-08</t>
        </is>
      </c>
    </row>
    <row r="38">
      <c r="A38" s="15" t="n"/>
      <c r="B38" s="6" t="inlineStr">
        <is>
          <t>LOCAL DA PRESZAGDO DO SARVIGO AIA DA PRECTAGSO DO SERVIGO</t>
        </is>
      </c>
      <c r="C38" s="17" t="n"/>
      <c r="D38" s="6" t="n"/>
      <c r="E38" s="49" t="n">
        <v>4000</v>
      </c>
      <c r="F38" s="17" t="inlineStr">
        <is>
          <t>2026-01</t>
        </is>
      </c>
    </row>
    <row r="39">
      <c r="A39" s="15" t="inlineStr">
        <is>
          <t>28.399.452/0001-07</t>
        </is>
      </c>
      <c r="B39" s="6" t="inlineStr">
        <is>
          <t>VALDIR RIBEIRO DE MELO ME</t>
        </is>
      </c>
      <c r="C39" s="17" t="inlineStr">
        <is>
          <t>PI</t>
        </is>
      </c>
      <c r="D39" s="6" t="inlineStr">
        <is>
          <t>ME ou EPP optante pelo Simples Nacional</t>
        </is>
      </c>
      <c r="E39" s="49" t="n">
        <v>3750</v>
      </c>
      <c r="F39" s="17" t="inlineStr">
        <is>
          <t>2026-08</t>
        </is>
      </c>
    </row>
    <row r="40">
      <c r="A40" s="15" t="inlineStr">
        <is>
          <t>48.714.053/0001-09</t>
        </is>
      </c>
      <c r="B40" s="6" t="inlineStr">
        <is>
          <t>MOACIR GONCALVES PALMEIRA JUNIOR</t>
        </is>
      </c>
      <c r="C40" s="17" t="inlineStr">
        <is>
          <t>PI</t>
        </is>
      </c>
      <c r="D40" s="6" t="inlineStr">
        <is>
          <t>MEI / Simples Nacional</t>
        </is>
      </c>
      <c r="E40" s="49" t="n">
        <v>3681</v>
      </c>
      <c r="F40" s="17" t="inlineStr">
        <is>
          <t>2026-08</t>
        </is>
      </c>
    </row>
    <row r="41">
      <c r="A41" s="15" t="inlineStr">
        <is>
          <t>49.765.012/0001-04</t>
        </is>
      </c>
      <c r="B41" s="6" t="inlineStr">
        <is>
          <t>CLAUDIANE DE ARAUJO MENDES CIPRIANO</t>
        </is>
      </c>
      <c r="C41" s="17" t="inlineStr">
        <is>
          <t>PI</t>
        </is>
      </c>
      <c r="D41" s="6" t="inlineStr">
        <is>
          <t>MEI / Simples Nacional</t>
        </is>
      </c>
      <c r="E41" s="49" t="n">
        <v>3675.13</v>
      </c>
      <c r="F41" s="17" t="inlineStr">
        <is>
          <t>2026-08</t>
        </is>
      </c>
    </row>
    <row r="42">
      <c r="A42" s="15" t="n"/>
      <c r="B42" s="6" t="inlineStr">
        <is>
          <t>DISTRIBUIDORA DE BEBIDAS ATACADAO DA GELA</t>
        </is>
      </c>
      <c r="C42" s="17" t="n"/>
      <c r="D42" s="6" t="n"/>
      <c r="E42" s="49" t="n">
        <v>3600</v>
      </c>
      <c r="F42" s="17" t="inlineStr">
        <is>
          <t>2026-01</t>
        </is>
      </c>
    </row>
    <row r="43">
      <c r="A43" s="15" t="n"/>
      <c r="B43" s="6" t="inlineStr">
        <is>
          <t>J E SILVA LIMA - ME</t>
        </is>
      </c>
      <c r="C43" s="17" t="n"/>
      <c r="D43" s="6" t="n"/>
      <c r="E43" s="49" t="n">
        <v>3258</v>
      </c>
      <c r="F43" s="17" t="inlineStr">
        <is>
          <t>2026-01</t>
        </is>
      </c>
    </row>
    <row r="44">
      <c r="A44" s="15" t="n"/>
      <c r="B44" s="6" t="inlineStr">
        <is>
          <t>MARCEL DE MOURA GOMES LTDA</t>
        </is>
      </c>
      <c r="C44" s="17" t="n"/>
      <c r="D44" s="6" t="n"/>
      <c r="E44" s="49" t="n">
        <v>3000</v>
      </c>
      <c r="F44" s="17" t="inlineStr">
        <is>
          <t>2026-01</t>
        </is>
      </c>
    </row>
    <row r="45">
      <c r="A45" s="15" t="n"/>
      <c r="B45" s="6" t="inlineStr">
        <is>
          <t>SACK EXPLORACAO DE SALOES DE FESTAS, CENTRO DE CONVENCOES, ESCRITORIOS VIRTUNS. STANDS, QUADRAS ESPORTIVAS,ESTADIOS, GNASIOS,</t>
        </is>
      </c>
      <c r="C45" s="17" t="n"/>
      <c r="D45" s="6" t="n"/>
      <c r="E45" s="49" t="n">
        <v>3000</v>
      </c>
      <c r="F45" s="17" t="inlineStr">
        <is>
          <t>2026-01</t>
        </is>
      </c>
    </row>
    <row r="46">
      <c r="A46" s="15" t="n"/>
      <c r="B46" s="6" t="inlineStr">
        <is>
          <t>J K B FIALHO LTDA</t>
        </is>
      </c>
      <c r="C46" s="17" t="n"/>
      <c r="D46" s="6" t="n"/>
      <c r="E46" s="49" t="n">
        <v>3000</v>
      </c>
      <c r="F46" s="17" t="inlineStr">
        <is>
          <t>2026-01</t>
        </is>
      </c>
    </row>
    <row r="47">
      <c r="A47" s="15" t="n"/>
      <c r="B47" s="6" t="inlineStr">
        <is>
          <t>CONNECT INFORMACOES E TECNOLOGIA SA</t>
        </is>
      </c>
      <c r="C47" s="17" t="inlineStr">
        <is>
          <t>DF</t>
        </is>
      </c>
      <c r="D47" s="6" t="n"/>
      <c r="E47" s="49" t="n">
        <v>2961.88</v>
      </c>
      <c r="F47" s="17" t="inlineStr">
        <is>
          <t>2026-01, 2026-08</t>
        </is>
      </c>
    </row>
    <row r="48">
      <c r="A48" s="15" t="n"/>
      <c r="B48" s="6" t="inlineStr">
        <is>
          <t>BOA VISTA AUTO ELETRICA LTDA</t>
        </is>
      </c>
      <c r="C48" s="17" t="n"/>
      <c r="D48" s="6" t="n"/>
      <c r="E48" s="49" t="n">
        <v>2111</v>
      </c>
      <c r="F48" s="17" t="inlineStr">
        <is>
          <t>2026-01</t>
        </is>
      </c>
    </row>
    <row r="49">
      <c r="A49" s="15" t="n"/>
      <c r="B49" s="6" t="inlineStr">
        <is>
          <t>CACIQUE PNEUS INDUSTRIA E COMERCIO LTDA</t>
        </is>
      </c>
      <c r="C49" s="17" t="n"/>
      <c r="D49" s="6" t="n"/>
      <c r="E49" s="49" t="n">
        <v>2104.68</v>
      </c>
      <c r="F49" s="17" t="inlineStr">
        <is>
          <t>2026-01</t>
        </is>
      </c>
    </row>
    <row r="50">
      <c r="A50" s="15" t="n"/>
      <c r="B50" s="6" t="inlineStr">
        <is>
          <t>JAILSON DA CONCEICAO PAIVA</t>
        </is>
      </c>
      <c r="C50" s="17" t="n"/>
      <c r="D50" s="6" t="n"/>
      <c r="E50" s="49" t="n">
        <v>2000</v>
      </c>
      <c r="F50" s="17" t="inlineStr">
        <is>
          <t>2026-01</t>
        </is>
      </c>
    </row>
    <row r="51">
      <c r="A51" s="15" t="n"/>
      <c r="B51" s="6" t="inlineStr">
        <is>
          <t>APODI DISTRIBUICAO E LOGISTICA LTDA</t>
        </is>
      </c>
      <c r="C51" s="17" t="n"/>
      <c r="D51" s="6" t="n"/>
      <c r="E51" s="49" t="n">
        <v>1820</v>
      </c>
      <c r="F51" s="17" t="inlineStr">
        <is>
          <t>2026-01</t>
        </is>
      </c>
    </row>
    <row r="52">
      <c r="A52" s="15" t="n"/>
      <c r="B52" s="6" t="inlineStr">
        <is>
          <t>INTERMEDIARIO DO SERVIC NAO IDENTIACADO NA NFE'S.</t>
        </is>
      </c>
      <c r="C52" s="17" t="n"/>
      <c r="D52" s="6" t="n"/>
      <c r="E52" s="49" t="n">
        <v>1708.72</v>
      </c>
      <c r="F52" s="17" t="inlineStr">
        <is>
          <t>2026-01</t>
        </is>
      </c>
    </row>
    <row r="53">
      <c r="A53" s="15" t="n"/>
      <c r="B53" s="6" t="inlineStr">
        <is>
          <t>INDUMAK MAQUINAS LTDA</t>
        </is>
      </c>
      <c r="C53" s="17" t="n"/>
      <c r="D53" s="6" t="n"/>
      <c r="E53" s="49" t="n">
        <v>1587.23</v>
      </c>
      <c r="F53" s="17" t="inlineStr">
        <is>
          <t>2026-01</t>
        </is>
      </c>
    </row>
    <row r="54">
      <c r="A54" s="15" t="n"/>
      <c r="B54" s="6" t="inlineStr">
        <is>
          <t>GESTAO - INOVACAO EMPRESARIAL LTDA</t>
        </is>
      </c>
      <c r="C54" s="17" t="n"/>
      <c r="D54" s="6" t="n"/>
      <c r="E54" s="49" t="n">
        <v>1518</v>
      </c>
      <c r="F54" s="17" t="inlineStr">
        <is>
          <t>2026-01</t>
        </is>
      </c>
    </row>
    <row r="55">
      <c r="A55" s="15" t="n"/>
      <c r="B55" s="6" t="inlineStr">
        <is>
          <t>NATUS AMBIENTAL LTDA</t>
        </is>
      </c>
      <c r="C55" s="17" t="n"/>
      <c r="D55" s="6" t="n"/>
      <c r="E55" s="49" t="n">
        <v>1516.1</v>
      </c>
      <c r="F55" s="17" t="inlineStr">
        <is>
          <t>2026-01</t>
        </is>
      </c>
    </row>
    <row r="56">
      <c r="A56" s="15" t="n"/>
      <c r="B56" s="6" t="inlineStr">
        <is>
          <t>MILMAQ METALURGICA E MANUTENCAO INDUSTRIAL LTDA - ME</t>
        </is>
      </c>
      <c r="C56" s="17" t="n"/>
      <c r="D56" s="6" t="n"/>
      <c r="E56" s="49" t="n">
        <v>1500</v>
      </c>
      <c r="F56" s="17" t="inlineStr">
        <is>
          <t>2026-01</t>
        </is>
      </c>
    </row>
    <row r="57">
      <c r="A57" s="15" t="n"/>
      <c r="B57" s="6" t="inlineStr">
        <is>
          <t>A LUIZ NETO LTDA</t>
        </is>
      </c>
      <c r="C57" s="17" t="n"/>
      <c r="D57" s="6" t="n"/>
      <c r="E57" s="49" t="n">
        <v>1500</v>
      </c>
      <c r="F57" s="17" t="inlineStr">
        <is>
          <t>2026-01</t>
        </is>
      </c>
    </row>
    <row r="58">
      <c r="A58" s="15" t="inlineStr">
        <is>
          <t>63.865.191/0001-74</t>
        </is>
      </c>
      <c r="B58" s="6" t="inlineStr">
        <is>
          <t>DUO OPERACOES PROTOS LTDA</t>
        </is>
      </c>
      <c r="C58" s="17" t="inlineStr">
        <is>
          <t>PI</t>
        </is>
      </c>
      <c r="D58" s="6" t="inlineStr">
        <is>
          <t>Optante pelo Simples Nacional</t>
        </is>
      </c>
      <c r="E58" s="49" t="n">
        <v>1300</v>
      </c>
      <c r="F58" s="17" t="inlineStr">
        <is>
          <t>2026-08</t>
        </is>
      </c>
    </row>
    <row r="59">
      <c r="A59" s="15" t="n"/>
      <c r="B59" s="6" t="inlineStr">
        <is>
          <t>AUTO SHOP RASTREAMENTO LTDA</t>
        </is>
      </c>
      <c r="C59" s="17" t="n"/>
      <c r="D59" s="6" t="n"/>
      <c r="E59" s="49" t="n">
        <v>1198</v>
      </c>
      <c r="F59" s="17" t="inlineStr">
        <is>
          <t>2026-01</t>
        </is>
      </c>
    </row>
    <row r="60">
      <c r="A60" s="15" t="n"/>
      <c r="B60" s="6" t="inlineStr">
        <is>
          <t>ELITE PECAS E MAQUINAS LTDA</t>
        </is>
      </c>
      <c r="C60" s="17" t="n"/>
      <c r="D60" s="6" t="n"/>
      <c r="E60" s="49" t="n">
        <v>1016.4</v>
      </c>
      <c r="F60" s="17" t="inlineStr">
        <is>
          <t>2026-01</t>
        </is>
      </c>
    </row>
    <row r="61">
      <c r="A61" s="15" t="n"/>
      <c r="B61" s="6" t="inlineStr">
        <is>
          <t>MARCOS JOSE FONTANA HANUS</t>
        </is>
      </c>
      <c r="C61" s="17" t="n"/>
      <c r="D61" s="6" t="n"/>
      <c r="E61" s="49" t="n">
        <v>932</v>
      </c>
      <c r="F61" s="17" t="inlineStr">
        <is>
          <t>2026-01</t>
        </is>
      </c>
    </row>
    <row r="62">
      <c r="A62" s="15" t="n"/>
      <c r="B62" s="6" t="inlineStr">
        <is>
          <t>AREA CONTRIBUTENTE: MENSAGENS PRIORITARIAS / AVISOS AO CONSUMIDOR .</t>
        </is>
      </c>
      <c r="C62" s="17" t="n"/>
      <c r="D62" s="6" t="n"/>
      <c r="E62" s="49" t="n">
        <v>900</v>
      </c>
      <c r="F62" s="17" t="inlineStr">
        <is>
          <t>2026-01</t>
        </is>
      </c>
    </row>
    <row r="63">
      <c r="A63" s="15" t="n"/>
      <c r="B63" s="6" t="inlineStr">
        <is>
          <t>BORGES &amp; CAMURCA RESTAURANTES LTDA</t>
        </is>
      </c>
      <c r="C63" s="17" t="n"/>
      <c r="D63" s="6" t="n"/>
      <c r="E63" s="49" t="n">
        <v>819</v>
      </c>
      <c r="F63" s="17" t="inlineStr">
        <is>
          <t>2026-01</t>
        </is>
      </c>
    </row>
    <row r="64">
      <c r="A64" s="15" t="n"/>
      <c r="B64" s="6" t="inlineStr">
        <is>
          <t>DISTRIBUICAO DE ALIMENTOS VANGUARDA S/A</t>
        </is>
      </c>
      <c r="C64" s="17" t="n"/>
      <c r="D64" s="6" t="n"/>
      <c r="E64" s="49" t="n">
        <v>800</v>
      </c>
      <c r="F64" s="17" t="inlineStr">
        <is>
          <t>2026-01</t>
        </is>
      </c>
    </row>
    <row r="65">
      <c r="A65" s="15" t="n"/>
      <c r="B65" s="6" t="inlineStr">
        <is>
          <t>- REPRESENTANTES COMERCIAIS E AGENTES DO COMERGIO DE MADEIRA, MATERIAL DE CONSTRUCAO E FERRAGENS,</t>
        </is>
      </c>
      <c r="C65" s="17" t="n"/>
      <c r="D65" s="6" t="n"/>
      <c r="E65" s="49" t="n">
        <v>797.5599999999999</v>
      </c>
      <c r="F65" s="17" t="inlineStr">
        <is>
          <t>2026-01</t>
        </is>
      </c>
    </row>
    <row r="66">
      <c r="A66" s="15" t="n"/>
      <c r="B66" s="6" t="inlineStr">
        <is>
          <t>F. ALVES CAMINHA - ME</t>
        </is>
      </c>
      <c r="C66" s="17" t="n"/>
      <c r="D66" s="6" t="n"/>
      <c r="E66" s="49" t="n">
        <v>797.5599999999999</v>
      </c>
      <c r="F66" s="17" t="inlineStr">
        <is>
          <t>2026-01</t>
        </is>
      </c>
    </row>
    <row r="67">
      <c r="A67" s="15" t="n"/>
      <c r="B67" s="6" t="inlineStr">
        <is>
          <t>MINERAR ENGENHARIA E MEIO AMBIENTE LTDA</t>
        </is>
      </c>
      <c r="C67" s="17" t="n"/>
      <c r="D67" s="6" t="n"/>
      <c r="E67" s="49" t="n">
        <v>759</v>
      </c>
      <c r="F67" s="17" t="inlineStr">
        <is>
          <t>2026-01</t>
        </is>
      </c>
    </row>
    <row r="68">
      <c r="A68" s="15" t="inlineStr">
        <is>
          <t>08.877.746/0001-90</t>
        </is>
      </c>
      <c r="B68" s="6" t="inlineStr">
        <is>
          <t>K F DA S B LEMOS - ME</t>
        </is>
      </c>
      <c r="C68" s="17" t="inlineStr">
        <is>
          <t>PI</t>
        </is>
      </c>
      <c r="D68" s="6" t="inlineStr">
        <is>
          <t>ME ou EPP optante pelo Simples Nacional</t>
        </is>
      </c>
      <c r="E68" s="49" t="n">
        <v>756.27</v>
      </c>
      <c r="F68" s="17" t="inlineStr">
        <is>
          <t>2026-08</t>
        </is>
      </c>
    </row>
    <row r="69">
      <c r="A69" s="15" t="n"/>
      <c r="B69" s="6" t="inlineStr">
        <is>
          <t>R F DAS B LEMOS - ME</t>
        </is>
      </c>
      <c r="C69" s="17" t="n"/>
      <c r="D69" s="6" t="n"/>
      <c r="E69" s="49" t="n">
        <v>751.47</v>
      </c>
      <c r="F69" s="17" t="inlineStr">
        <is>
          <t>2026-01</t>
        </is>
      </c>
    </row>
    <row r="70">
      <c r="A70" s="15" t="n"/>
      <c r="B70" s="6" t="inlineStr">
        <is>
          <t>BEER WO REVES ORO MOO PAROLE MHRUNZOUDRAMLOTE AAR MEAL TREEAPRORASE OA077.60</t>
        </is>
      </c>
      <c r="C70" s="17" t="n"/>
      <c r="D70" s="6" t="n"/>
      <c r="E70" s="49" t="n">
        <v>751.47</v>
      </c>
      <c r="F70" s="17" t="inlineStr">
        <is>
          <t>2026-01</t>
        </is>
      </c>
    </row>
    <row r="71">
      <c r="A71" s="15" t="n"/>
      <c r="B71" s="6" t="inlineStr">
        <is>
          <t>LENCO CENTRO DE CONTROLE TECNOLOGICO LTDA</t>
        </is>
      </c>
      <c r="C71" s="17" t="n"/>
      <c r="D71" s="6" t="n"/>
      <c r="E71" s="49" t="n">
        <v>750</v>
      </c>
      <c r="F71" s="17" t="inlineStr">
        <is>
          <t>2026-01</t>
        </is>
      </c>
    </row>
    <row r="72">
      <c r="A72" s="15" t="n"/>
      <c r="B72" s="6" t="inlineStr">
        <is>
          <t>TRANS VNC TRANSPORTES EIRELI</t>
        </is>
      </c>
      <c r="C72" s="17" t="n"/>
      <c r="D72" s="6" t="n"/>
      <c r="E72" s="49" t="n">
        <v>703</v>
      </c>
      <c r="F72" s="17" t="inlineStr">
        <is>
          <t>2026-01</t>
        </is>
      </c>
    </row>
    <row r="73">
      <c r="A73" s="15" t="n"/>
      <c r="B73" s="6" t="inlineStr">
        <is>
          <t>MARINA NAYARA FLORES GUIMARAES - ME</t>
        </is>
      </c>
      <c r="C73" s="17" t="n"/>
      <c r="D73" s="6" t="n"/>
      <c r="E73" s="49" t="n">
        <v>480</v>
      </c>
      <c r="F73" s="17" t="inlineStr">
        <is>
          <t>2026-01</t>
        </is>
      </c>
    </row>
    <row r="74">
      <c r="A74" s="15" t="inlineStr">
        <is>
          <t>18.787.111/0001-55</t>
        </is>
      </c>
      <c r="B74" s="6" t="inlineStr">
        <is>
          <t>AGUIA EXPRESS RH PRESTADORA DE SERVICOS EIRELI EPP</t>
        </is>
      </c>
      <c r="C74" s="17" t="inlineStr">
        <is>
          <t>CE</t>
        </is>
      </c>
      <c r="D74" s="6" t="inlineStr">
        <is>
          <t>Não optante pelo Simples na data de competência</t>
        </is>
      </c>
      <c r="E74" s="49" t="n">
        <v>450</v>
      </c>
      <c r="F74" s="17" t="inlineStr">
        <is>
          <t>2026-08</t>
        </is>
      </c>
    </row>
    <row r="75">
      <c r="A75" s="15" t="n"/>
      <c r="B75" s="6" t="inlineStr">
        <is>
          <t>TICKET LOG / EDENRED SOLUCOES INSTITUICAO DE PAGAMENTO HA S.A.</t>
        </is>
      </c>
      <c r="C75" s="17" t="n"/>
      <c r="D75" s="6" t="n"/>
      <c r="E75" s="49" t="n">
        <v>358.58</v>
      </c>
      <c r="F75" s="17" t="inlineStr">
        <is>
          <t>2026-01</t>
        </is>
      </c>
    </row>
    <row r="76">
      <c r="A76" s="15" t="n"/>
      <c r="B76" s="6" t="inlineStr">
        <is>
          <t>ROMILSON SILVA DE ASSIS</t>
        </is>
      </c>
      <c r="C76" s="17" t="n"/>
      <c r="D76" s="6" t="n"/>
      <c r="E76" s="49" t="n">
        <v>350</v>
      </c>
      <c r="F76" s="17" t="inlineStr">
        <is>
          <t>2026-01</t>
        </is>
      </c>
    </row>
    <row r="77">
      <c r="A77" s="15" t="n"/>
      <c r="B77" s="6" t="inlineStr">
        <is>
          <t>DUO TELECOM LTDA</t>
        </is>
      </c>
      <c r="C77" s="17" t="n"/>
      <c r="D77" s="6" t="n"/>
      <c r="E77" s="49" t="n">
        <v>300</v>
      </c>
      <c r="F77" s="17" t="inlineStr">
        <is>
          <t>2026-01</t>
        </is>
      </c>
    </row>
    <row r="78">
      <c r="A78" s="15" t="n"/>
      <c r="B78" s="6" t="inlineStr">
        <is>
          <t>VANGUARD PECAS E SERVICOS AUTOMOTIVOS LTDA</t>
        </is>
      </c>
      <c r="C78" s="17" t="n"/>
      <c r="D78" s="6" t="n"/>
      <c r="E78" s="49" t="n">
        <v>270</v>
      </c>
      <c r="F78" s="17" t="inlineStr">
        <is>
          <t>2026-01</t>
        </is>
      </c>
    </row>
    <row r="79">
      <c r="A79" s="15" t="n"/>
      <c r="B79" s="6" t="inlineStr">
        <is>
          <t>PAZ &amp; SAMPAIO LTDA - MM LOCACOES</t>
        </is>
      </c>
      <c r="C79" s="17" t="n"/>
      <c r="D79" s="6" t="n"/>
      <c r="E79" s="49" t="n">
        <v>265</v>
      </c>
      <c r="F79" s="17" t="inlineStr">
        <is>
          <t>2026-01</t>
        </is>
      </c>
    </row>
    <row r="80">
      <c r="A80" s="15" t="n"/>
      <c r="B80" s="6" t="inlineStr">
        <is>
          <t>J R C DE ANDRADES LTDA</t>
        </is>
      </c>
      <c r="C80" s="17" t="n"/>
      <c r="D80" s="6" t="n"/>
      <c r="E80" s="49" t="n">
        <v>139.9</v>
      </c>
      <c r="F80" s="17" t="inlineStr">
        <is>
          <t>2026-01</t>
        </is>
      </c>
    </row>
    <row r="81">
      <c r="A81" s="15" t="n"/>
      <c r="B81" s="6" t="inlineStr">
        <is>
          <t>M H F SANTOS AUTOPECAS</t>
        </is>
      </c>
      <c r="C81" s="17" t="n"/>
      <c r="D81" s="6" t="n"/>
      <c r="E81" s="49" t="n">
        <v>120</v>
      </c>
      <c r="F81" s="17" t="inlineStr">
        <is>
          <t>2026-01</t>
        </is>
      </c>
    </row>
    <row r="82">
      <c r="A82" s="15" t="n"/>
      <c r="B82" s="6" t="inlineStr">
        <is>
          <t>ERENDR SHO RNCRCO MOM SAND EXTREMA FENCES I ARAGL SRARES80</t>
        </is>
      </c>
      <c r="C82" s="17" t="n"/>
      <c r="D82" s="6" t="n"/>
      <c r="E82" s="49" t="n">
        <v>75</v>
      </c>
      <c r="F82" s="17" t="inlineStr">
        <is>
          <t>2026-01</t>
        </is>
      </c>
    </row>
    <row r="83">
      <c r="A83" s="15" t="n"/>
      <c r="B83" s="6" t="inlineStr">
        <is>
          <t>TERRA NOVA (LOT. MECO 16459, SAO SEBASTIAO.</t>
        </is>
      </c>
      <c r="C83" s="17" t="n"/>
      <c r="D83" s="6" t="n"/>
      <c r="E83" s="49" t="n">
        <v>7.5</v>
      </c>
      <c r="F83" s="17" t="inlineStr">
        <is>
          <t>2026-01</t>
        </is>
      </c>
    </row>
    <row r="84">
      <c r="A84" s="15" t="n"/>
      <c r="B84" s="6" t="inlineStr">
        <is>
          <t>F'OE0 522 MICHELA MEDEIROS FRANCO MICHELAMEDEIROBZ3€2GMAILCOM</t>
        </is>
      </c>
      <c r="C84" s="17" t="n"/>
      <c r="D84" s="6" t="n"/>
      <c r="E84" s="49" t="n">
        <v>0</v>
      </c>
      <c r="F84" s="17" t="inlineStr">
        <is>
          <t>2026-01</t>
        </is>
      </c>
    </row>
    <row r="85">
      <c r="D85" s="64" t="inlineStr">
        <is>
          <t>TOTAL</t>
        </is>
      </c>
      <c r="E85" s="46">
        <f>SUM(E4:E84)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C55A11"/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2" customWidth="1" min="4" max="4"/>
    <col width="6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" t="inlineStr">
        <is>
          <t>COMPRAS REAIS POR ITEM</t>
        </is>
      </c>
    </row>
    <row r="2">
      <c r="A2" s="2" t="inlineStr">
        <is>
          <t>Fonte: 2026-01 (SKAL_Compras_2026-01_Extracao.xlsx), 2026-08 (SKAL_Compras_2026-08_Extracao.xlsx) Somente itens com quantidade e valor unitario numericos.</t>
        </is>
      </c>
    </row>
    <row r="3" ht="30" customHeight="1">
      <c r="A3" s="5" t="inlineStr">
        <is>
          <t>Mes</t>
        </is>
      </c>
      <c r="B3" s="5" t="inlineStr">
        <is>
          <t>Doc</t>
        </is>
      </c>
      <c r="C3" s="5" t="inlineStr">
        <is>
          <t>Descricao</t>
        </is>
      </c>
      <c r="D3" s="5" t="inlineStr">
        <is>
          <t>NCM</t>
        </is>
      </c>
      <c r="E3" s="5" t="inlineStr">
        <is>
          <t>Un</t>
        </is>
      </c>
      <c r="F3" s="5" t="inlineStr">
        <is>
          <t>Qtd</t>
        </is>
      </c>
      <c r="G3" s="5" t="inlineStr">
        <is>
          <t>Valor unit. R$</t>
        </is>
      </c>
      <c r="H3" s="5" t="inlineStr">
        <is>
          <t>Valor total R$</t>
        </is>
      </c>
      <c r="I3" s="5" t="inlineStr">
        <is>
          <t>Emitente</t>
        </is>
      </c>
    </row>
    <row r="4">
      <c r="A4" s="15" t="inlineStr">
        <is>
          <t>2026-08</t>
        </is>
      </c>
      <c r="B4" s="17" t="inlineStr">
        <is>
          <t>D005</t>
        </is>
      </c>
      <c r="C4" s="6" t="inlineStr">
        <is>
          <t>ENERGIA ELETRICA</t>
        </is>
      </c>
      <c r="D4" s="17" t="inlineStr">
        <is>
          <t>27160000</t>
        </is>
      </c>
      <c r="E4" s="17" t="inlineStr">
        <is>
          <t>MWH</t>
        </is>
      </c>
      <c r="F4" s="49" t="n">
        <v>27.59</v>
      </c>
      <c r="G4" s="49" t="n">
        <v>280.31</v>
      </c>
      <c r="H4" s="31" t="n">
        <v>7733.75</v>
      </c>
      <c r="I4" s="6" t="inlineStr">
        <is>
          <t>MATRIX COMERCIALIZADORA DE ENERGIA ELETRICA S/A</t>
        </is>
      </c>
    </row>
    <row r="5">
      <c r="A5" s="15" t="inlineStr">
        <is>
          <t>2026-08</t>
        </is>
      </c>
      <c r="B5" s="17" t="inlineStr">
        <is>
          <t>D011</t>
        </is>
      </c>
      <c r="C5" s="6" t="inlineStr">
        <is>
          <t>CIMENTO PORTLAND - CP V ARI</t>
        </is>
      </c>
      <c r="D5" s="17" t="inlineStr">
        <is>
          <t>25232910</t>
        </is>
      </c>
      <c r="E5" s="17" t="inlineStr">
        <is>
          <t>T</t>
        </is>
      </c>
      <c r="F5" s="49" t="n">
        <v>37.97</v>
      </c>
      <c r="G5" s="49" t="n">
        <v>505</v>
      </c>
      <c r="H5" s="31" t="n">
        <v>19174.85</v>
      </c>
      <c r="I5" s="6" t="inlineStr">
        <is>
          <t>COMPANHIA INDUSTRIAL DE CIMENTO APODI</t>
        </is>
      </c>
    </row>
    <row r="6">
      <c r="A6" s="15" t="inlineStr">
        <is>
          <t>2026-08</t>
        </is>
      </c>
      <c r="B6" s="17" t="inlineStr">
        <is>
          <t>D012</t>
        </is>
      </c>
      <c r="C6" s="6" t="inlineStr">
        <is>
          <t>CIMENTO PORTLAND - CP V ARI</t>
        </is>
      </c>
      <c r="D6" s="17" t="inlineStr">
        <is>
          <t>25232910</t>
        </is>
      </c>
      <c r="E6" s="17" t="inlineStr">
        <is>
          <t>T</t>
        </is>
      </c>
      <c r="F6" s="49" t="n">
        <v>37.69</v>
      </c>
      <c r="G6" s="49" t="n">
        <v>505</v>
      </c>
      <c r="H6" s="31" t="n">
        <v>19033.45</v>
      </c>
      <c r="I6" s="6" t="inlineStr">
        <is>
          <t>COMPANHIA INDUSTRIAL DE CIMENTO APODI</t>
        </is>
      </c>
    </row>
    <row r="7">
      <c r="A7" s="15" t="inlineStr">
        <is>
          <t>2026-08</t>
        </is>
      </c>
      <c r="B7" s="17" t="inlineStr">
        <is>
          <t>D017</t>
        </is>
      </c>
      <c r="C7" s="6" t="inlineStr">
        <is>
          <t>CIMENTO PORTLAND - CP V ARI</t>
        </is>
      </c>
      <c r="D7" s="17" t="inlineStr">
        <is>
          <t>25232910</t>
        </is>
      </c>
      <c r="E7" s="17" t="inlineStr">
        <is>
          <t>T</t>
        </is>
      </c>
      <c r="F7" s="49" t="n">
        <v>0.08</v>
      </c>
      <c r="G7" s="49" t="n">
        <v>505</v>
      </c>
      <c r="H7" s="31" t="n">
        <v>40.4</v>
      </c>
      <c r="I7" s="6" t="inlineStr">
        <is>
          <t>COMPANHIA INDUSTRIAL DE CIMENTO APODI</t>
        </is>
      </c>
    </row>
    <row r="8">
      <c r="A8" s="15" t="inlineStr">
        <is>
          <t>2026-08</t>
        </is>
      </c>
      <c r="B8" s="17" t="inlineStr">
        <is>
          <t>D017</t>
        </is>
      </c>
      <c r="C8" s="6" t="inlineStr">
        <is>
          <t>CIMENTO PORTLAND - CP V ARI</t>
        </is>
      </c>
      <c r="D8" s="17" t="inlineStr">
        <is>
          <t>25232910</t>
        </is>
      </c>
      <c r="E8" s="17" t="inlineStr">
        <is>
          <t>T</t>
        </is>
      </c>
      <c r="F8" s="49" t="n">
        <v>38</v>
      </c>
      <c r="G8" s="49" t="n">
        <v>505</v>
      </c>
      <c r="H8" s="31" t="n">
        <v>19190</v>
      </c>
      <c r="I8" s="6" t="inlineStr">
        <is>
          <t>COMPANHIA INDUSTRIAL DE CIMENTO APODI</t>
        </is>
      </c>
    </row>
    <row r="9">
      <c r="A9" s="15" t="inlineStr">
        <is>
          <t>2026-08</t>
        </is>
      </c>
      <c r="B9" s="17" t="inlineStr">
        <is>
          <t>D018</t>
        </is>
      </c>
      <c r="C9" s="6" t="inlineStr">
        <is>
          <t>CALCARIO DOLOMITICO #170 (SACOS 25 KG)</t>
        </is>
      </c>
      <c r="D9" s="17" t="inlineStr">
        <is>
          <t>25181000</t>
        </is>
      </c>
      <c r="E9" s="17" t="inlineStr">
        <is>
          <t>T</t>
        </is>
      </c>
      <c r="F9" s="49" t="n">
        <v>15</v>
      </c>
      <c r="G9" s="49" t="n">
        <v>269</v>
      </c>
      <c r="H9" s="31" t="n">
        <v>4035</v>
      </c>
      <c r="I9" s="6" t="inlineStr">
        <is>
          <t>CALCARIO CANTA GALO EXTRACAO E COMERCIO DE CALCARIO LTDA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C55A11"/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LANDED COST REAL — AGOSTO 2026</t>
        </is>
      </c>
    </row>
    <row r="2">
      <c r="A2" s="2" t="inlineStr">
        <is>
          <t>Preco de NF NAO e custo. O frete inbound entra no custo posto fabrica. Cimento CST 500 = ICMS por substituicao (sem credito na entrada).</t>
        </is>
      </c>
    </row>
    <row r="4" ht="30" customHeight="1">
      <c r="A4" s="5" t="inlineStr"/>
      <c r="B4" s="5" t="inlineStr">
        <is>
          <t>Material</t>
        </is>
      </c>
      <c r="C4" s="5" t="inlineStr">
        <is>
          <t>Qtd (t)</t>
        </is>
      </c>
      <c r="D4" s="5" t="inlineStr">
        <is>
          <t>NF R$/t</t>
        </is>
      </c>
      <c r="E4" s="5" t="inlineStr">
        <is>
          <t>Frete R$/t</t>
        </is>
      </c>
      <c r="F4" s="5" t="inlineStr">
        <is>
          <t>LANDED R$/t</t>
        </is>
      </c>
      <c r="G4" s="5" t="inlineStr">
        <is>
          <t>% frete s/ NF</t>
        </is>
      </c>
    </row>
    <row r="5">
      <c r="B5" s="6" t="inlineStr">
        <is>
          <t>Cimento CP-V ARI (Apodi)</t>
        </is>
      </c>
      <c r="C5" s="49" t="n">
        <v>113.74</v>
      </c>
      <c r="D5" s="49" t="n">
        <v>505</v>
      </c>
      <c r="E5" s="49" t="n">
        <v>330</v>
      </c>
      <c r="F5" s="41">
        <f>D5+E5</f>
        <v/>
      </c>
      <c r="G5" s="57">
        <f>IFERROR(E5/D5,0)</f>
        <v/>
      </c>
    </row>
    <row r="6">
      <c r="B6" s="6" t="inlineStr">
        <is>
          <t>Calcario dolomitico #170</t>
        </is>
      </c>
      <c r="C6" s="49" t="n">
        <v>15</v>
      </c>
      <c r="D6" s="49" t="n">
        <v>269</v>
      </c>
      <c r="E6" s="21" t="n"/>
      <c r="F6" s="41">
        <f>D6+IF(E6="",0,E6)</f>
        <v/>
      </c>
      <c r="G6" s="57">
        <f>IFERROR(IF(E6="",0,E6)/D6,0)</f>
        <v/>
      </c>
    </row>
    <row r="8">
      <c r="B8" s="2" t="inlineStr">
        <is>
          <t>Frete cimento total (Apodi, ago): R$ 37534.20  em 113 t  =&gt;  R$ 330.00/t</t>
        </is>
      </c>
    </row>
    <row r="9">
      <c r="B9" s="2" t="inlineStr">
        <is>
          <t>Leitura: a NF do cimento e R$505/t, mas o LANDED e ~R$835/t. O frete inbound adiciona ~65% ao custo. Calcario: confirmar frete (DATA_GAPS).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C55A11"/>
    <outlinePr summaryBelow="1" summaryRight="1"/>
    <pageSetUpPr/>
  </sheetPr>
  <dimension ref="A1:J1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40" customWidth="1" min="6" max="6"/>
    <col width="18" customWidth="1" min="7" max="7"/>
    <col width="14" customWidth="1" min="8" max="8"/>
    <col width="10" customWidth="1" min="9" max="9"/>
    <col width="12" customWidth="1" min="10" max="10"/>
  </cols>
  <sheetData>
    <row r="1" ht="26" customHeight="1">
      <c r="A1" s="1" t="inlineStr">
        <is>
          <t>NOTAS DE ENTRADA — LEDGER</t>
        </is>
      </c>
    </row>
    <row r="2">
      <c r="A2" s="2" t="inlineStr">
        <is>
          <t>Fonte: 2026-01 (SKAL_Compras_2026-01_Extracao.xlsx), 2026-08 (SKAL_Compras_2026-08_Extracao.xlsx) Nivel documento (Tributos_por_Doc): valor e ICMS por nota.</t>
        </is>
      </c>
    </row>
    <row r="3" ht="30" customHeight="1">
      <c r="A3" s="5" t="inlineStr">
        <is>
          <t>Mes</t>
        </is>
      </c>
      <c r="B3" s="5" t="inlineStr">
        <is>
          <t>Doc</t>
        </is>
      </c>
      <c r="C3" s="5" t="inlineStr">
        <is>
          <t>Tipo</t>
        </is>
      </c>
      <c r="D3" s="5" t="inlineStr">
        <is>
          <t>Numero</t>
        </is>
      </c>
      <c r="E3" s="5" t="inlineStr">
        <is>
          <t>Unidade</t>
        </is>
      </c>
      <c r="F3" s="5" t="inlineStr">
        <is>
          <t>Emitente</t>
        </is>
      </c>
      <c r="G3" s="5" t="inlineStr">
        <is>
          <t>CNPJ</t>
        </is>
      </c>
      <c r="H3" s="5" t="inlineStr">
        <is>
          <t>Valor doc R$</t>
        </is>
      </c>
      <c r="I3" s="5" t="inlineStr">
        <is>
          <t>Aliq ICMS</t>
        </is>
      </c>
      <c r="J3" s="5" t="inlineStr">
        <is>
          <t>ICMS R$</t>
        </is>
      </c>
    </row>
    <row r="4">
      <c r="A4" s="15" t="inlineStr">
        <is>
          <t>2026-01</t>
        </is>
      </c>
      <c r="B4" s="17" t="inlineStr">
        <is>
          <t>JAN26-P001</t>
        </is>
      </c>
      <c r="C4" s="17" t="inlineStr">
        <is>
          <t>Energia/NF3e</t>
        </is>
      </c>
      <c r="D4" s="17" t="inlineStr">
        <is>
          <t>67912850</t>
        </is>
      </c>
      <c r="E4" s="17" t="n"/>
      <c r="F4" s="6" t="inlineStr">
        <is>
          <t>EQUATORIAL PIAUI DISTRIBUIDORA DE ENERGIA S.A.</t>
        </is>
      </c>
      <c r="G4" s="17" t="n"/>
      <c r="H4" s="49" t="n">
        <v>23789.49</v>
      </c>
      <c r="I4" s="23" t="n">
        <v>0.225</v>
      </c>
      <c r="J4" s="31" t="n">
        <v>4892.56</v>
      </c>
    </row>
    <row r="5">
      <c r="A5" s="15" t="inlineStr">
        <is>
          <t>2026-01</t>
        </is>
      </c>
      <c r="B5" s="17" t="inlineStr">
        <is>
          <t>JAN26-P003</t>
        </is>
      </c>
      <c r="C5" s="17" t="inlineStr">
        <is>
          <t>Energia/NF3e</t>
        </is>
      </c>
      <c r="D5" s="17" t="inlineStr">
        <is>
          <t>67620505</t>
        </is>
      </c>
      <c r="E5" s="17" t="n"/>
      <c r="F5" s="6" t="inlineStr">
        <is>
          <t>EQUATORIAL PIAUI DISTRIBUIDORA DE ENERGIA S.A.</t>
        </is>
      </c>
      <c r="G5" s="17" t="n"/>
      <c r="H5" s="49" t="n">
        <v>29.6</v>
      </c>
      <c r="I5" s="23" t="n"/>
      <c r="J5" s="31" t="n">
        <v>0</v>
      </c>
    </row>
    <row r="6">
      <c r="A6" s="15" t="inlineStr">
        <is>
          <t>2026-01</t>
        </is>
      </c>
      <c r="B6" s="17" t="inlineStr">
        <is>
          <t>JAN26-P004</t>
        </is>
      </c>
      <c r="C6" s="17" t="inlineStr">
        <is>
          <t>Energia/NF3e</t>
        </is>
      </c>
      <c r="D6" s="17" t="inlineStr">
        <is>
          <t>67003437</t>
        </is>
      </c>
      <c r="E6" s="17" t="n"/>
      <c r="F6" s="6" t="inlineStr">
        <is>
          <t>EQUATORIAL PIAUI DISTRIBUIDORA DE ENERGIA S.A.</t>
        </is>
      </c>
      <c r="G6" s="17" t="n"/>
      <c r="H6" s="49" t="n">
        <v>29.78</v>
      </c>
      <c r="I6" s="23" t="n"/>
      <c r="J6" s="31" t="n">
        <v>0</v>
      </c>
    </row>
    <row r="7">
      <c r="A7" s="15" t="inlineStr">
        <is>
          <t>2026-01</t>
        </is>
      </c>
      <c r="B7" s="17" t="inlineStr">
        <is>
          <t>JAN26-P005</t>
        </is>
      </c>
      <c r="C7" s="17" t="inlineStr">
        <is>
          <t>Energia/NF3e</t>
        </is>
      </c>
      <c r="D7" s="17" t="inlineStr">
        <is>
          <t>67888805</t>
        </is>
      </c>
      <c r="E7" s="17" t="n"/>
      <c r="F7" s="6" t="inlineStr">
        <is>
          <t>EQUATORIAL PIAUI DISTRIBUIDORA DE ENERGIA S.A.</t>
        </is>
      </c>
      <c r="G7" s="17" t="n"/>
      <c r="H7" s="49" t="n">
        <v>843.08</v>
      </c>
      <c r="I7" s="23" t="n">
        <v>0.225</v>
      </c>
      <c r="J7" s="31" t="n">
        <v>174.11</v>
      </c>
    </row>
    <row r="8">
      <c r="A8" s="15" t="inlineStr">
        <is>
          <t>2026-01</t>
        </is>
      </c>
      <c r="B8" s="17" t="inlineStr">
        <is>
          <t>JAN26-P012</t>
        </is>
      </c>
      <c r="C8" s="17" t="inlineStr">
        <is>
          <t>NFS-e</t>
        </is>
      </c>
      <c r="D8" s="17" t="inlineStr">
        <is>
          <t>863</t>
        </is>
      </c>
      <c r="E8" s="17" t="n"/>
      <c r="F8" s="6" t="inlineStr">
        <is>
          <t>GESTAO - INOVACAO EMPRESARIAL LTDA</t>
        </is>
      </c>
      <c r="G8" s="17" t="n"/>
      <c r="H8" s="49" t="n">
        <v>759</v>
      </c>
      <c r="I8" s="23" t="n"/>
      <c r="J8" s="31" t="n"/>
    </row>
    <row r="9">
      <c r="A9" s="15" t="inlineStr">
        <is>
          <t>2026-01</t>
        </is>
      </c>
      <c r="B9" s="17" t="inlineStr">
        <is>
          <t>JAN26-P013</t>
        </is>
      </c>
      <c r="C9" s="17" t="inlineStr">
        <is>
          <t>NFS-e</t>
        </is>
      </c>
      <c r="D9" s="17" t="inlineStr">
        <is>
          <t>863</t>
        </is>
      </c>
      <c r="E9" s="17" t="n"/>
      <c r="F9" s="6" t="inlineStr">
        <is>
          <t>GESTAO - INOVACAO EMPRESARIAL LTDA</t>
        </is>
      </c>
      <c r="G9" s="17" t="n"/>
      <c r="H9" s="49" t="n">
        <v>759</v>
      </c>
      <c r="I9" s="23" t="n"/>
      <c r="J9" s="31" t="n"/>
    </row>
    <row r="10">
      <c r="A10" s="15" t="inlineStr">
        <is>
          <t>2026-01</t>
        </is>
      </c>
      <c r="B10" s="17" t="inlineStr">
        <is>
          <t>JAN26-P014</t>
        </is>
      </c>
      <c r="C10" s="17" t="inlineStr">
        <is>
          <t>NFCom</t>
        </is>
      </c>
      <c r="D10" s="17" t="inlineStr">
        <is>
          <t>303</t>
        </is>
      </c>
      <c r="E10" s="17" t="n"/>
      <c r="F10" s="6" t="inlineStr">
        <is>
          <t>TELEVISAO PIONEIRA LTDA</t>
        </is>
      </c>
      <c r="G10" s="17" t="n"/>
      <c r="H10" s="49" t="n">
        <v>10000</v>
      </c>
      <c r="I10" s="23" t="n"/>
      <c r="J10" s="31" t="n">
        <v>0</v>
      </c>
    </row>
    <row r="11">
      <c r="A11" s="15" t="inlineStr">
        <is>
          <t>2026-01</t>
        </is>
      </c>
      <c r="B11" s="17" t="inlineStr">
        <is>
          <t>JAN26-P017</t>
        </is>
      </c>
      <c r="C11" s="17" t="inlineStr">
        <is>
          <t>CT-e</t>
        </is>
      </c>
      <c r="D11" s="17" t="inlineStr">
        <is>
          <t>446</t>
        </is>
      </c>
      <c r="E11" s="17" t="n"/>
      <c r="F11" s="6" t="inlineStr">
        <is>
          <t>F G INTELIGENCIA EM LOGISTICA LTDA</t>
        </is>
      </c>
      <c r="G11" s="17" t="n"/>
      <c r="H11" s="49" t="n">
        <v>11702.5</v>
      </c>
      <c r="I11" s="23" t="n">
        <v>0.12</v>
      </c>
      <c r="J11" s="31" t="n">
        <v>1404.3</v>
      </c>
    </row>
    <row r="12">
      <c r="A12" s="15" t="inlineStr">
        <is>
          <t>2026-01</t>
        </is>
      </c>
      <c r="B12" s="17" t="inlineStr">
        <is>
          <t>JAN26-P018</t>
        </is>
      </c>
      <c r="C12" s="17" t="inlineStr">
        <is>
          <t>CT-e</t>
        </is>
      </c>
      <c r="D12" s="17" t="inlineStr">
        <is>
          <t>445</t>
        </is>
      </c>
      <c r="E12" s="17" t="n"/>
      <c r="F12" s="6" t="inlineStr">
        <is>
          <t>F G INTELIGENCIA EM LOGISTICA LTDA</t>
        </is>
      </c>
      <c r="G12" s="17" t="n"/>
      <c r="H12" s="49" t="n">
        <v>11838.9</v>
      </c>
      <c r="I12" s="23" t="n">
        <v>0.12</v>
      </c>
      <c r="J12" s="31" t="n">
        <v>1420.67</v>
      </c>
    </row>
    <row r="13">
      <c r="A13" s="15" t="inlineStr">
        <is>
          <t>2026-01</t>
        </is>
      </c>
      <c r="B13" s="17" t="inlineStr">
        <is>
          <t>JAN26-P019</t>
        </is>
      </c>
      <c r="C13" s="17" t="inlineStr">
        <is>
          <t>CT-e</t>
        </is>
      </c>
      <c r="D13" s="17" t="inlineStr">
        <is>
          <t>443</t>
        </is>
      </c>
      <c r="E13" s="17" t="n"/>
      <c r="F13" s="6" t="inlineStr">
        <is>
          <t>F G INTELIGENCIA EM LOGISTICA LTDA</t>
        </is>
      </c>
      <c r="G13" s="17" t="n"/>
      <c r="H13" s="49" t="n">
        <v>11789.3</v>
      </c>
      <c r="I13" s="23" t="n">
        <v>0.12</v>
      </c>
      <c r="J13" s="31" t="n">
        <v>1414.72</v>
      </c>
    </row>
    <row r="14">
      <c r="A14" s="15" t="inlineStr">
        <is>
          <t>2026-01</t>
        </is>
      </c>
      <c r="B14" s="17" t="inlineStr">
        <is>
          <t>JAN26-P022</t>
        </is>
      </c>
      <c r="C14" s="17" t="inlineStr">
        <is>
          <t>NF-e</t>
        </is>
      </c>
      <c r="D14" s="17" t="inlineStr">
        <is>
          <t>537098</t>
        </is>
      </c>
      <c r="E14" s="17" t="n"/>
      <c r="F14" s="6" t="inlineStr">
        <is>
          <t>COMPANHIA INDUSTRIAL DE CIMENTO APODI</t>
        </is>
      </c>
      <c r="G14" s="17" t="n"/>
      <c r="H14" s="49" t="n">
        <v>18686.25</v>
      </c>
      <c r="I14" s="23" t="n">
        <v>0.12</v>
      </c>
      <c r="J14" s="31" t="n">
        <v>2242.35</v>
      </c>
    </row>
    <row r="15">
      <c r="A15" s="15" t="inlineStr">
        <is>
          <t>2026-01</t>
        </is>
      </c>
      <c r="B15" s="17" t="inlineStr">
        <is>
          <t>JAN26-P023</t>
        </is>
      </c>
      <c r="C15" s="17" t="inlineStr">
        <is>
          <t>NF-e</t>
        </is>
      </c>
      <c r="D15" s="17" t="inlineStr">
        <is>
          <t>536966</t>
        </is>
      </c>
      <c r="E15" s="17" t="n"/>
      <c r="F15" s="6" t="inlineStr">
        <is>
          <t>COMPANHIA INDUSTRIAL DE CIMENTO APODI</t>
        </is>
      </c>
      <c r="G15" s="17" t="n"/>
      <c r="H15" s="49" t="n">
        <v>18904.05</v>
      </c>
      <c r="I15" s="23" t="n">
        <v>0.12</v>
      </c>
      <c r="J15" s="31" t="n">
        <v>2268.49</v>
      </c>
    </row>
    <row r="16">
      <c r="A16" s="15" t="inlineStr">
        <is>
          <t>2026-01</t>
        </is>
      </c>
      <c r="B16" s="17" t="inlineStr">
        <is>
          <t>JAN26-P024</t>
        </is>
      </c>
      <c r="C16" s="17" t="inlineStr">
        <is>
          <t>NF-e</t>
        </is>
      </c>
      <c r="D16" s="17" t="inlineStr">
        <is>
          <t>536748</t>
        </is>
      </c>
      <c r="E16" s="17" t="n"/>
      <c r="F16" s="6" t="inlineStr">
        <is>
          <t>COMPANHIA INDUSTRIAL DE CIMENTO APODI</t>
        </is>
      </c>
      <c r="G16" s="17" t="n"/>
      <c r="H16" s="49" t="n">
        <v>18824.85</v>
      </c>
      <c r="I16" s="23" t="n">
        <v>0.12</v>
      </c>
      <c r="J16" s="31" t="n">
        <v>2258.98</v>
      </c>
    </row>
    <row r="17">
      <c r="A17" s="15" t="inlineStr">
        <is>
          <t>2026-01</t>
        </is>
      </c>
      <c r="B17" s="17" t="inlineStr">
        <is>
          <t>JAN26-P025</t>
        </is>
      </c>
      <c r="C17" s="17" t="inlineStr">
        <is>
          <t>CT-e</t>
        </is>
      </c>
      <c r="D17" s="17" t="n"/>
      <c r="E17" s="17" t="n"/>
      <c r="F17" s="6" t="inlineStr">
        <is>
          <t>TRANS VNC TRANSPORTES EIRELI</t>
        </is>
      </c>
      <c r="G17" s="17" t="n"/>
      <c r="H17" s="49" t="n">
        <v>703</v>
      </c>
      <c r="I17" s="23" t="n">
        <v>0.12</v>
      </c>
      <c r="J17" s="31" t="n">
        <v>49.21</v>
      </c>
    </row>
    <row r="18">
      <c r="A18" s="15" t="inlineStr">
        <is>
          <t>2026-01</t>
        </is>
      </c>
      <c r="B18" s="17" t="inlineStr">
        <is>
          <t>JAN26-P028</t>
        </is>
      </c>
      <c r="C18" s="17" t="inlineStr">
        <is>
          <t>NFS-e</t>
        </is>
      </c>
      <c r="D18" s="17" t="n"/>
      <c r="E18" s="17" t="n"/>
      <c r="F18" s="6" t="inlineStr">
        <is>
          <t>TERRA NOVA (LOT. MECO 16459, SAO SEBASTIAO.</t>
        </is>
      </c>
      <c r="G18" s="17" t="n"/>
      <c r="H18" s="49" t="n">
        <v>7.5</v>
      </c>
      <c r="I18" s="23" t="n"/>
      <c r="J18" s="31" t="n"/>
    </row>
    <row r="19">
      <c r="A19" s="15" t="inlineStr">
        <is>
          <t>2026-01</t>
        </is>
      </c>
      <c r="B19" s="17" t="inlineStr">
        <is>
          <t>JAN26-P030</t>
        </is>
      </c>
      <c r="C19" s="17" t="inlineStr">
        <is>
          <t>NFS-e</t>
        </is>
      </c>
      <c r="D19" s="17" t="n"/>
      <c r="E19" s="17" t="n"/>
      <c r="F19" s="6" t="inlineStr">
        <is>
          <t>JESUINO@APOIOCONTABILP.COM</t>
        </is>
      </c>
      <c r="G19" s="17" t="n"/>
      <c r="H19" s="49" t="n">
        <v>4198</v>
      </c>
      <c r="I19" s="23" t="n"/>
      <c r="J19" s="31" t="n"/>
    </row>
    <row r="20">
      <c r="A20" s="15" t="inlineStr">
        <is>
          <t>2026-01</t>
        </is>
      </c>
      <c r="B20" s="17" t="inlineStr">
        <is>
          <t>JAN26-P031</t>
        </is>
      </c>
      <c r="C20" s="17" t="inlineStr">
        <is>
          <t>NFS-e</t>
        </is>
      </c>
      <c r="D20" s="17" t="inlineStr">
        <is>
          <t>5</t>
        </is>
      </c>
      <c r="E20" s="17" t="n"/>
      <c r="F20" s="6" t="inlineStr">
        <is>
          <t>- REPRESENTANTES COMERCIAIS E AGENTES DO COMERGIO DE MADEIRA, MATERIAL DE CONSTRUCAO E FERRAGENS,</t>
        </is>
      </c>
      <c r="G20" s="17" t="n"/>
      <c r="H20" s="49" t="n">
        <v>797.5599999999999</v>
      </c>
      <c r="I20" s="23" t="n"/>
      <c r="J20" s="31" t="n"/>
    </row>
    <row r="21">
      <c r="A21" s="15" t="inlineStr">
        <is>
          <t>2026-01</t>
        </is>
      </c>
      <c r="B21" s="17" t="inlineStr">
        <is>
          <t>JAN26-P035</t>
        </is>
      </c>
      <c r="C21" s="17" t="inlineStr">
        <is>
          <t>NFS-e</t>
        </is>
      </c>
      <c r="D21" s="17" t="inlineStr">
        <is>
          <t>0</t>
        </is>
      </c>
      <c r="E21" s="17" t="n"/>
      <c r="F21" s="6" t="inlineStr">
        <is>
          <t>CONSULTING AND INFORMATION SERVICES LTOA</t>
        </is>
      </c>
      <c r="G21" s="17" t="n"/>
      <c r="H21" s="49" t="n">
        <v>9689.93</v>
      </c>
      <c r="I21" s="23" t="n"/>
      <c r="J21" s="31" t="n"/>
    </row>
    <row r="22">
      <c r="A22" s="15" t="inlineStr">
        <is>
          <t>2026-01</t>
        </is>
      </c>
      <c r="B22" s="17" t="inlineStr">
        <is>
          <t>JAN26-P039</t>
        </is>
      </c>
      <c r="C22" s="17" t="inlineStr">
        <is>
          <t>NFS-e</t>
        </is>
      </c>
      <c r="D22" s="17" t="n"/>
      <c r="E22" s="17" t="n"/>
      <c r="F22" s="6" t="inlineStr">
        <is>
          <t>AUTO SHOP RASTREAMENTO LTDA</t>
        </is>
      </c>
      <c r="G22" s="17" t="n"/>
      <c r="H22" s="49" t="n">
        <v>1198</v>
      </c>
      <c r="I22" s="23" t="n"/>
      <c r="J22" s="31" t="n"/>
    </row>
    <row r="23">
      <c r="A23" s="15" t="inlineStr">
        <is>
          <t>2026-01</t>
        </is>
      </c>
      <c r="B23" s="17" t="inlineStr">
        <is>
          <t>JAN26-P041</t>
        </is>
      </c>
      <c r="C23" s="17" t="inlineStr">
        <is>
          <t>NF-e</t>
        </is>
      </c>
      <c r="D23" s="17" t="inlineStr">
        <is>
          <t>536564</t>
        </is>
      </c>
      <c r="E23" s="17" t="n"/>
      <c r="F23" s="6" t="inlineStr">
        <is>
          <t>COMPANHIA INDUSTRIAL DE CIMENTO APODI</t>
        </is>
      </c>
      <c r="G23" s="17" t="n"/>
      <c r="H23" s="49" t="n">
        <v>17790.3</v>
      </c>
      <c r="I23" s="23" t="n">
        <v>0.12</v>
      </c>
      <c r="J23" s="31" t="n">
        <v>2134.84</v>
      </c>
    </row>
    <row r="24">
      <c r="A24" s="15" t="inlineStr">
        <is>
          <t>2026-01</t>
        </is>
      </c>
      <c r="B24" s="17" t="inlineStr">
        <is>
          <t>JAN26-P042</t>
        </is>
      </c>
      <c r="C24" s="17" t="inlineStr">
        <is>
          <t>NF-e</t>
        </is>
      </c>
      <c r="D24" s="17" t="inlineStr">
        <is>
          <t>536357</t>
        </is>
      </c>
      <c r="E24" s="17" t="n"/>
      <c r="F24" s="6" t="inlineStr">
        <is>
          <t>COMPANHIA INDUSTRIAL DE CIMENTO APODI</t>
        </is>
      </c>
      <c r="G24" s="17" t="n"/>
      <c r="H24" s="49" t="n">
        <v>18607.05</v>
      </c>
      <c r="I24" s="23" t="n">
        <v>0.12</v>
      </c>
      <c r="J24" s="31" t="n">
        <v>2232.85</v>
      </c>
    </row>
    <row r="25">
      <c r="A25" s="15" t="inlineStr">
        <is>
          <t>2026-01</t>
        </is>
      </c>
      <c r="B25" s="17" t="inlineStr">
        <is>
          <t>JAN26-P043</t>
        </is>
      </c>
      <c r="C25" s="17" t="inlineStr">
        <is>
          <t>NF-e</t>
        </is>
      </c>
      <c r="D25" s="17" t="inlineStr">
        <is>
          <t>536302</t>
        </is>
      </c>
      <c r="E25" s="17" t="n"/>
      <c r="F25" s="6" t="inlineStr">
        <is>
          <t>COMPANHIA INDUSTRIAL DE CIMENTO APODI</t>
        </is>
      </c>
      <c r="G25" s="17" t="n"/>
      <c r="H25" s="49" t="n">
        <v>18711</v>
      </c>
      <c r="I25" s="23" t="n">
        <v>0.12</v>
      </c>
      <c r="J25" s="31" t="n">
        <v>2245.32</v>
      </c>
    </row>
    <row r="26">
      <c r="A26" s="15" t="inlineStr">
        <is>
          <t>2026-01</t>
        </is>
      </c>
      <c r="B26" s="17" t="inlineStr">
        <is>
          <t>JAN26-P044</t>
        </is>
      </c>
      <c r="C26" s="17" t="inlineStr">
        <is>
          <t>NF-e</t>
        </is>
      </c>
      <c r="D26" s="17" t="inlineStr">
        <is>
          <t>536108</t>
        </is>
      </c>
      <c r="E26" s="17" t="n"/>
      <c r="F26" s="6" t="inlineStr">
        <is>
          <t>COMPANHIA INDUSTRIAL DE CIMENTO APODI</t>
        </is>
      </c>
      <c r="G26" s="17" t="n"/>
      <c r="H26" s="49" t="n">
        <v>18814.95</v>
      </c>
      <c r="I26" s="23" t="n">
        <v>0.12</v>
      </c>
      <c r="J26" s="31" t="n">
        <v>2257.79</v>
      </c>
    </row>
    <row r="27">
      <c r="A27" s="15" t="inlineStr">
        <is>
          <t>2026-01</t>
        </is>
      </c>
      <c r="B27" s="17" t="inlineStr">
        <is>
          <t>JAN26-P045</t>
        </is>
      </c>
      <c r="C27" s="17" t="inlineStr">
        <is>
          <t>NF-e</t>
        </is>
      </c>
      <c r="D27" s="17" t="inlineStr">
        <is>
          <t>535954</t>
        </is>
      </c>
      <c r="E27" s="17" t="n"/>
      <c r="F27" s="6" t="inlineStr">
        <is>
          <t>COMPANHIA INDUSTRIAL DE CIMENTO APODI</t>
        </is>
      </c>
      <c r="G27" s="17" t="n"/>
      <c r="H27" s="49" t="n">
        <v>18621.9</v>
      </c>
      <c r="I27" s="23" t="n">
        <v>0.12</v>
      </c>
      <c r="J27" s="31" t="n">
        <v>2234.63</v>
      </c>
    </row>
    <row r="28">
      <c r="A28" s="15" t="inlineStr">
        <is>
          <t>2026-01</t>
        </is>
      </c>
      <c r="B28" s="17" t="inlineStr">
        <is>
          <t>JAN26-P046</t>
        </is>
      </c>
      <c r="C28" s="17" t="inlineStr">
        <is>
          <t>NF-e</t>
        </is>
      </c>
      <c r="D28" s="17" t="inlineStr">
        <is>
          <t>535509</t>
        </is>
      </c>
      <c r="E28" s="17" t="n"/>
      <c r="F28" s="6" t="inlineStr">
        <is>
          <t>COMPANHIA INDUSTRIAL DE CIMENTO APODI</t>
        </is>
      </c>
      <c r="G28" s="17" t="n"/>
      <c r="H28" s="49" t="n">
        <v>18839.7</v>
      </c>
      <c r="I28" s="23" t="n">
        <v>0.12</v>
      </c>
      <c r="J28" s="31" t="n">
        <v>2260.76</v>
      </c>
    </row>
    <row r="29">
      <c r="A29" s="15" t="inlineStr">
        <is>
          <t>2026-01</t>
        </is>
      </c>
      <c r="B29" s="17" t="inlineStr">
        <is>
          <t>JAN26-P047</t>
        </is>
      </c>
      <c r="C29" s="17" t="inlineStr">
        <is>
          <t>CT-e</t>
        </is>
      </c>
      <c r="D29" s="17" t="inlineStr">
        <is>
          <t>438</t>
        </is>
      </c>
      <c r="E29" s="17" t="n"/>
      <c r="F29" s="6" t="inlineStr">
        <is>
          <t>F G INTELIGENCIA EM LOGISTICA LTDA</t>
        </is>
      </c>
      <c r="G29" s="17" t="n"/>
      <c r="H29" s="49" t="n">
        <v>11141.4</v>
      </c>
      <c r="I29" s="23" t="n">
        <v>0.12</v>
      </c>
      <c r="J29" s="31" t="n">
        <v>1336.97</v>
      </c>
    </row>
    <row r="30">
      <c r="A30" s="15" t="inlineStr">
        <is>
          <t>2026-01</t>
        </is>
      </c>
      <c r="B30" s="17" t="inlineStr">
        <is>
          <t>JAN26-P048</t>
        </is>
      </c>
      <c r="C30" s="17" t="inlineStr">
        <is>
          <t>CT-e</t>
        </is>
      </c>
      <c r="D30" s="17" t="inlineStr">
        <is>
          <t>433</t>
        </is>
      </c>
      <c r="E30" s="17" t="n"/>
      <c r="F30" s="6" t="inlineStr">
        <is>
          <t>F G INTELIGENCIA EM LOGISTICA LTDA</t>
        </is>
      </c>
      <c r="G30" s="17" t="n"/>
      <c r="H30" s="49" t="n">
        <v>11652.9</v>
      </c>
      <c r="I30" s="23" t="n">
        <v>0.12</v>
      </c>
      <c r="J30" s="31" t="n">
        <v>1398.35</v>
      </c>
    </row>
    <row r="31">
      <c r="A31" s="15" t="inlineStr">
        <is>
          <t>2026-01</t>
        </is>
      </c>
      <c r="B31" s="17" t="inlineStr">
        <is>
          <t>JAN26-P049</t>
        </is>
      </c>
      <c r="C31" s="17" t="inlineStr">
        <is>
          <t>CT-e</t>
        </is>
      </c>
      <c r="D31" s="17" t="inlineStr">
        <is>
          <t>431</t>
        </is>
      </c>
      <c r="E31" s="17" t="n"/>
      <c r="F31" s="6" t="inlineStr">
        <is>
          <t>F G INTELIGENCIA EM LOGISTICA LTDA</t>
        </is>
      </c>
      <c r="G31" s="17" t="n"/>
      <c r="H31" s="49" t="n">
        <v>11718</v>
      </c>
      <c r="I31" s="23" t="n">
        <v>0.12</v>
      </c>
      <c r="J31" s="31" t="n">
        <v>1406.16</v>
      </c>
    </row>
    <row r="32">
      <c r="A32" s="15" t="inlineStr">
        <is>
          <t>2026-01</t>
        </is>
      </c>
      <c r="B32" s="17" t="inlineStr">
        <is>
          <t>JAN26-P050</t>
        </is>
      </c>
      <c r="C32" s="17" t="inlineStr">
        <is>
          <t>CT-e</t>
        </is>
      </c>
      <c r="D32" s="17" t="inlineStr">
        <is>
          <t>426</t>
        </is>
      </c>
      <c r="E32" s="17" t="n"/>
      <c r="F32" s="6" t="inlineStr">
        <is>
          <t>F G INTELIGENCIA EM LOGISTICA LTDA</t>
        </is>
      </c>
      <c r="G32" s="17" t="n"/>
      <c r="H32" s="49" t="n">
        <v>11783.1</v>
      </c>
      <c r="I32" s="23" t="n">
        <v>0.12</v>
      </c>
      <c r="J32" s="31" t="n">
        <v>1413.97</v>
      </c>
    </row>
    <row r="33">
      <c r="A33" s="15" t="inlineStr">
        <is>
          <t>2026-01</t>
        </is>
      </c>
      <c r="B33" s="17" t="inlineStr">
        <is>
          <t>JAN26-P051</t>
        </is>
      </c>
      <c r="C33" s="17" t="inlineStr">
        <is>
          <t>CT-e</t>
        </is>
      </c>
      <c r="D33" s="17" t="inlineStr">
        <is>
          <t>421</t>
        </is>
      </c>
      <c r="E33" s="17" t="n"/>
      <c r="F33" s="6" t="inlineStr">
        <is>
          <t>F G INTELIGENCIA EM LOGISTICA LTDA</t>
        </is>
      </c>
      <c r="G33" s="17" t="n"/>
      <c r="H33" s="49" t="n">
        <v>11662.2</v>
      </c>
      <c r="I33" s="23" t="n">
        <v>0.12</v>
      </c>
      <c r="J33" s="31" t="n">
        <v>1399.46</v>
      </c>
    </row>
    <row r="34">
      <c r="A34" s="15" t="inlineStr">
        <is>
          <t>2026-01</t>
        </is>
      </c>
      <c r="B34" s="17" t="inlineStr">
        <is>
          <t>JAN26-P052</t>
        </is>
      </c>
      <c r="C34" s="17" t="inlineStr">
        <is>
          <t>CT-e</t>
        </is>
      </c>
      <c r="D34" s="17" t="inlineStr">
        <is>
          <t>418</t>
        </is>
      </c>
      <c r="E34" s="17" t="n"/>
      <c r="F34" s="6" t="inlineStr">
        <is>
          <t>F G INTELIGENCIA EM LOGISTICA LTDA</t>
        </is>
      </c>
      <c r="G34" s="17" t="n"/>
      <c r="H34" s="49" t="n">
        <v>11798.6</v>
      </c>
      <c r="I34" s="23" t="n">
        <v>0.12</v>
      </c>
      <c r="J34" s="31" t="n">
        <v>1415.83</v>
      </c>
    </row>
    <row r="35">
      <c r="A35" s="15" t="inlineStr">
        <is>
          <t>2026-01</t>
        </is>
      </c>
      <c r="B35" s="17" t="inlineStr">
        <is>
          <t>JAN26-P053</t>
        </is>
      </c>
      <c r="C35" s="17" t="inlineStr">
        <is>
          <t>NF-e</t>
        </is>
      </c>
      <c r="D35" s="17" t="inlineStr">
        <is>
          <t>2198</t>
        </is>
      </c>
      <c r="E35" s="17" t="n"/>
      <c r="F35" s="6" t="inlineStr">
        <is>
          <t>CAIEIRA CANTA GALO EXTRACAO E COMERCIO DE CALCARIO LTDA</t>
        </is>
      </c>
      <c r="G35" s="17" t="n"/>
      <c r="H35" s="49" t="n">
        <v>488</v>
      </c>
      <c r="I35" s="23" t="n">
        <v>0.12</v>
      </c>
      <c r="J35" s="31" t="n">
        <v>25.86</v>
      </c>
    </row>
    <row r="36">
      <c r="A36" s="15" t="inlineStr">
        <is>
          <t>2026-01</t>
        </is>
      </c>
      <c r="B36" s="17" t="inlineStr">
        <is>
          <t>JAN26-P054</t>
        </is>
      </c>
      <c r="C36" s="17" t="inlineStr">
        <is>
          <t>NF-e</t>
        </is>
      </c>
      <c r="D36" s="17" t="inlineStr">
        <is>
          <t>2181</t>
        </is>
      </c>
      <c r="E36" s="17" t="n"/>
      <c r="F36" s="6" t="inlineStr">
        <is>
          <t>CAIEIRA CANTA GALO EXTRACAO E COMERCIO DE CALCARIO LTDA</t>
        </is>
      </c>
      <c r="G36" s="17" t="n"/>
      <c r="H36" s="49" t="n">
        <v>4392</v>
      </c>
      <c r="I36" s="23" t="n">
        <v>0.12</v>
      </c>
      <c r="J36" s="31" t="n">
        <v>232.74</v>
      </c>
    </row>
    <row r="37">
      <c r="A37" s="15" t="inlineStr">
        <is>
          <t>2026-01</t>
        </is>
      </c>
      <c r="B37" s="17" t="inlineStr">
        <is>
          <t>JAN26-P055</t>
        </is>
      </c>
      <c r="C37" s="17" t="inlineStr">
        <is>
          <t>NF-e</t>
        </is>
      </c>
      <c r="D37" s="17" t="inlineStr">
        <is>
          <t>17232</t>
        </is>
      </c>
      <c r="E37" s="17" t="n"/>
      <c r="F37" s="6" t="inlineStr">
        <is>
          <t>PLASTER DISTRIBUIDORA LTDA</t>
        </is>
      </c>
      <c r="G37" s="17" t="n"/>
      <c r="H37" s="49" t="n">
        <v>43536</v>
      </c>
      <c r="I37" s="23" t="n"/>
      <c r="J37" s="31" t="n">
        <v>5059.87</v>
      </c>
    </row>
    <row r="38">
      <c r="A38" s="15" t="inlineStr">
        <is>
          <t>2026-01</t>
        </is>
      </c>
      <c r="B38" s="17" t="inlineStr">
        <is>
          <t>JAN26-P056</t>
        </is>
      </c>
      <c r="C38" s="17" t="inlineStr">
        <is>
          <t>NFS-e</t>
        </is>
      </c>
      <c r="D38" s="17" t="inlineStr">
        <is>
          <t>27</t>
        </is>
      </c>
      <c r="E38" s="17" t="n"/>
      <c r="F38" s="6" t="inlineStr">
        <is>
          <t>JAILSON DA CONCEICAO PAIVA</t>
        </is>
      </c>
      <c r="G38" s="17" t="n"/>
      <c r="H38" s="49" t="n">
        <v>2000</v>
      </c>
      <c r="I38" s="23" t="n"/>
      <c r="J38" s="31" t="n"/>
    </row>
    <row r="39">
      <c r="A39" s="15" t="inlineStr">
        <is>
          <t>2026-01</t>
        </is>
      </c>
      <c r="B39" s="17" t="inlineStr">
        <is>
          <t>JAN26-P057</t>
        </is>
      </c>
      <c r="C39" s="17" t="inlineStr">
        <is>
          <t>NFS-e</t>
        </is>
      </c>
      <c r="D39" s="17" t="inlineStr">
        <is>
          <t>24</t>
        </is>
      </c>
      <c r="E39" s="17" t="n"/>
      <c r="F39" s="6" t="inlineStr">
        <is>
          <t>EMERSON CANDIDO DE AQUINO 56476779320</t>
        </is>
      </c>
      <c r="G39" s="17" t="n"/>
      <c r="H39" s="49" t="n">
        <v>2500</v>
      </c>
      <c r="I39" s="23" t="n"/>
      <c r="J39" s="31" t="n"/>
    </row>
    <row r="40">
      <c r="A40" s="15" t="inlineStr">
        <is>
          <t>2026-01</t>
        </is>
      </c>
      <c r="B40" s="17" t="inlineStr">
        <is>
          <t>JAN26-P058</t>
        </is>
      </c>
      <c r="C40" s="17" t="inlineStr">
        <is>
          <t>NFS-e</t>
        </is>
      </c>
      <c r="D40" s="17" t="inlineStr">
        <is>
          <t>960441</t>
        </is>
      </c>
      <c r="E40" s="17" t="n"/>
      <c r="F40" s="6" t="inlineStr">
        <is>
          <t>HOSPITAIS E CLINICAS DO PIAUI S/S LTDA</t>
        </is>
      </c>
      <c r="G40" s="17" t="n"/>
      <c r="H40" s="49" t="n">
        <v>5901.18</v>
      </c>
      <c r="I40" s="23" t="n"/>
      <c r="J40" s="31" t="n"/>
    </row>
    <row r="41">
      <c r="A41" s="15" t="inlineStr">
        <is>
          <t>2026-01</t>
        </is>
      </c>
      <c r="B41" s="17" t="inlineStr">
        <is>
          <t>JAN26-P059</t>
        </is>
      </c>
      <c r="C41" s="17" t="inlineStr">
        <is>
          <t>NF-e</t>
        </is>
      </c>
      <c r="D41" s="17" t="inlineStr">
        <is>
          <t>832</t>
        </is>
      </c>
      <c r="E41" s="17" t="n"/>
      <c r="F41" s="6" t="inlineStr">
        <is>
          <t>ROMILSON SILVA DE ASSIS</t>
        </is>
      </c>
      <c r="G41" s="17" t="n"/>
      <c r="H41" s="49" t="n">
        <v>350</v>
      </c>
      <c r="I41" s="23" t="n"/>
      <c r="J41" s="31" t="n"/>
    </row>
    <row r="42">
      <c r="A42" s="15" t="inlineStr">
        <is>
          <t>2026-01</t>
        </is>
      </c>
      <c r="B42" s="17" t="inlineStr">
        <is>
          <t>JAN26-P060</t>
        </is>
      </c>
      <c r="C42" s="17" t="inlineStr">
        <is>
          <t>NFS-e</t>
        </is>
      </c>
      <c r="D42" s="17" t="inlineStr">
        <is>
          <t>36</t>
        </is>
      </c>
      <c r="E42" s="17" t="n"/>
      <c r="F42" s="6" t="inlineStr">
        <is>
          <t>MARCOS JOSE FONTANA HANUS</t>
        </is>
      </c>
      <c r="G42" s="17" t="n"/>
      <c r="H42" s="49" t="n">
        <v>52</v>
      </c>
      <c r="I42" s="23" t="n"/>
      <c r="J42" s="31" t="n"/>
    </row>
    <row r="43">
      <c r="A43" s="15" t="inlineStr">
        <is>
          <t>2026-01</t>
        </is>
      </c>
      <c r="B43" s="17" t="inlineStr">
        <is>
          <t>JAN26-P061</t>
        </is>
      </c>
      <c r="C43" s="17" t="inlineStr">
        <is>
          <t>NFS-e</t>
        </is>
      </c>
      <c r="D43" s="17" t="inlineStr">
        <is>
          <t>330</t>
        </is>
      </c>
      <c r="E43" s="17" t="n"/>
      <c r="F43" s="6" t="inlineStr">
        <is>
          <t>MINERAR ENGENHARIA E MEIO AMBIENTE LTDA</t>
        </is>
      </c>
      <c r="G43" s="17" t="n"/>
      <c r="H43" s="49" t="n">
        <v>759</v>
      </c>
      <c r="I43" s="23" t="n"/>
      <c r="J43" s="31" t="n"/>
    </row>
    <row r="44">
      <c r="A44" s="15" t="inlineStr">
        <is>
          <t>2026-01</t>
        </is>
      </c>
      <c r="B44" s="17" t="inlineStr">
        <is>
          <t>JAN26-P062</t>
        </is>
      </c>
      <c r="C44" s="17" t="inlineStr">
        <is>
          <t>NFS-e</t>
        </is>
      </c>
      <c r="D44" s="17" t="inlineStr">
        <is>
          <t>53</t>
        </is>
      </c>
      <c r="E44" s="17" t="n"/>
      <c r="F44" s="6" t="inlineStr">
        <is>
          <t>KLESIO KENNEDY REPRESENTACAO DE MATERIAL DE CONSTRUCAO LTDA</t>
        </is>
      </c>
      <c r="G44" s="17" t="n"/>
      <c r="H44" s="49" t="n">
        <v>14933</v>
      </c>
      <c r="I44" s="23" t="n"/>
      <c r="J44" s="31" t="n"/>
    </row>
    <row r="45">
      <c r="A45" s="15" t="inlineStr">
        <is>
          <t>2026-01</t>
        </is>
      </c>
      <c r="B45" s="17" t="inlineStr">
        <is>
          <t>JAN26-P063</t>
        </is>
      </c>
      <c r="C45" s="17" t="inlineStr">
        <is>
          <t>NFS-e</t>
        </is>
      </c>
      <c r="D45" s="17" t="inlineStr">
        <is>
          <t>244</t>
        </is>
      </c>
      <c r="E45" s="17" t="n"/>
      <c r="F45" s="6" t="inlineStr">
        <is>
          <t>F. ALVES CAMINHA - ME</t>
        </is>
      </c>
      <c r="G45" s="17" t="n"/>
      <c r="H45" s="49" t="n">
        <v>797.5599999999999</v>
      </c>
      <c r="I45" s="23" t="n"/>
      <c r="J45" s="31" t="n"/>
    </row>
    <row r="46">
      <c r="A46" s="15" t="inlineStr">
        <is>
          <t>2026-01</t>
        </is>
      </c>
      <c r="B46" s="17" t="inlineStr">
        <is>
          <t>JAN26-P064</t>
        </is>
      </c>
      <c r="C46" s="17" t="inlineStr">
        <is>
          <t>NFS-e</t>
        </is>
      </c>
      <c r="D46" s="17" t="inlineStr">
        <is>
          <t>221</t>
        </is>
      </c>
      <c r="E46" s="17" t="n"/>
      <c r="F46" s="6" t="inlineStr">
        <is>
          <t>E &amp; P SOARES DOS SANTOS LTDA - ME</t>
        </is>
      </c>
      <c r="G46" s="17" t="n"/>
      <c r="H46" s="49" t="n">
        <v>35238.7</v>
      </c>
      <c r="I46" s="23" t="n"/>
      <c r="J46" s="31" t="n"/>
    </row>
    <row r="47">
      <c r="A47" s="15" t="inlineStr">
        <is>
          <t>2026-01</t>
        </is>
      </c>
      <c r="B47" s="17" t="inlineStr">
        <is>
          <t>JAN26-P065</t>
        </is>
      </c>
      <c r="C47" s="17" t="inlineStr">
        <is>
          <t>NFS-e</t>
        </is>
      </c>
      <c r="D47" s="17" t="inlineStr">
        <is>
          <t>57</t>
        </is>
      </c>
      <c r="E47" s="17" t="n"/>
      <c r="F47" s="6" t="inlineStr">
        <is>
          <t>F J DE SOUSA REPRESENTACOES</t>
        </is>
      </c>
      <c r="G47" s="17" t="n"/>
      <c r="H47" s="49" t="n">
        <v>14232.77</v>
      </c>
      <c r="I47" s="23" t="n"/>
      <c r="J47" s="31" t="n"/>
    </row>
    <row r="48">
      <c r="A48" s="15" t="inlineStr">
        <is>
          <t>2026-01</t>
        </is>
      </c>
      <c r="B48" s="17" t="inlineStr">
        <is>
          <t>JAN26-P066</t>
        </is>
      </c>
      <c r="C48" s="17" t="inlineStr">
        <is>
          <t>NFS-e</t>
        </is>
      </c>
      <c r="D48" s="17" t="inlineStr">
        <is>
          <t>32</t>
        </is>
      </c>
      <c r="E48" s="17" t="n"/>
      <c r="F48" s="6" t="inlineStr">
        <is>
          <t>GRACILENE MARIA BEZERRA DOS SANTOS</t>
        </is>
      </c>
      <c r="G48" s="17" t="n"/>
      <c r="H48" s="49" t="n">
        <v>4782.92</v>
      </c>
      <c r="I48" s="23" t="n"/>
      <c r="J48" s="31" t="n"/>
    </row>
    <row r="49">
      <c r="A49" s="15" t="inlineStr">
        <is>
          <t>2026-01</t>
        </is>
      </c>
      <c r="B49" s="17" t="inlineStr">
        <is>
          <t>JAN26-P069</t>
        </is>
      </c>
      <c r="C49" s="17" t="inlineStr">
        <is>
          <t>NFS-e</t>
        </is>
      </c>
      <c r="D49" s="17" t="inlineStr">
        <is>
          <t>4</t>
        </is>
      </c>
      <c r="E49" s="17" t="n"/>
      <c r="F49" s="6" t="inlineStr">
        <is>
          <t>JUVENCIO REPRESENTACOES LIMITADA</t>
        </is>
      </c>
      <c r="G49" s="17" t="n"/>
      <c r="H49" s="49" t="n">
        <v>15662.93</v>
      </c>
      <c r="I49" s="23" t="n"/>
      <c r="J49" s="31" t="n"/>
    </row>
    <row r="50">
      <c r="A50" s="15" t="inlineStr">
        <is>
          <t>2026-01</t>
        </is>
      </c>
      <c r="B50" s="17" t="inlineStr">
        <is>
          <t>JAN26-P070</t>
        </is>
      </c>
      <c r="C50" s="17" t="inlineStr">
        <is>
          <t>NFS-e</t>
        </is>
      </c>
      <c r="D50" s="17" t="inlineStr">
        <is>
          <t>3</t>
        </is>
      </c>
      <c r="E50" s="17" t="n"/>
      <c r="F50" s="6" t="inlineStr">
        <is>
          <t>JUVENCIO REPRESENTACOES LIMITADA</t>
        </is>
      </c>
      <c r="G50" s="17" t="n"/>
      <c r="H50" s="49" t="n">
        <v>15662.93</v>
      </c>
      <c r="I50" s="23" t="n"/>
      <c r="J50" s="31" t="n"/>
    </row>
    <row r="51">
      <c r="A51" s="15" t="inlineStr">
        <is>
          <t>2026-01</t>
        </is>
      </c>
      <c r="B51" s="17" t="inlineStr">
        <is>
          <t>JAN26-P077</t>
        </is>
      </c>
      <c r="C51" s="17" t="inlineStr">
        <is>
          <t>NF-e</t>
        </is>
      </c>
      <c r="D51" s="17" t="inlineStr">
        <is>
          <t>535011</t>
        </is>
      </c>
      <c r="E51" s="17" t="n"/>
      <c r="F51" s="6" t="inlineStr">
        <is>
          <t>COMPANHIA INDUSTRIAL DE CIMENTO APODI</t>
        </is>
      </c>
      <c r="G51" s="17" t="n"/>
      <c r="H51" s="49" t="n">
        <v>15797.5</v>
      </c>
      <c r="I51" s="23" t="n">
        <v>0.12</v>
      </c>
      <c r="J51" s="31" t="n">
        <v>1895.7</v>
      </c>
    </row>
    <row r="52">
      <c r="A52" s="15" t="inlineStr">
        <is>
          <t>2026-01</t>
        </is>
      </c>
      <c r="B52" s="17" t="inlineStr">
        <is>
          <t>JAN26-P078</t>
        </is>
      </c>
      <c r="C52" s="17" t="inlineStr">
        <is>
          <t>NF-e</t>
        </is>
      </c>
      <c r="D52" s="17" t="inlineStr">
        <is>
          <t>861</t>
        </is>
      </c>
      <c r="E52" s="17" t="n"/>
      <c r="F52" s="6" t="inlineStr">
        <is>
          <t>INOVE SOLUCOES EM PRODUTOS E EQUIPAMENTOS PARA LABORATORIOS</t>
        </is>
      </c>
      <c r="G52" s="17" t="n"/>
      <c r="H52" s="49" t="n">
        <v>27000</v>
      </c>
      <c r="I52" s="23" t="n"/>
      <c r="J52" s="31" t="n"/>
    </row>
    <row r="53">
      <c r="A53" s="15" t="inlineStr">
        <is>
          <t>2026-01</t>
        </is>
      </c>
      <c r="B53" s="17" t="inlineStr">
        <is>
          <t>JAN26-P080</t>
        </is>
      </c>
      <c r="C53" s="17" t="inlineStr">
        <is>
          <t>NFCom</t>
        </is>
      </c>
      <c r="D53" s="17" t="inlineStr">
        <is>
          <t>5011</t>
        </is>
      </c>
      <c r="E53" s="17" t="n"/>
      <c r="F53" s="6" t="inlineStr">
        <is>
          <t>J R C DE ANDRADES LTDA</t>
        </is>
      </c>
      <c r="G53" s="17" t="n"/>
      <c r="H53" s="49" t="n">
        <v>139.9</v>
      </c>
      <c r="I53" s="23" t="n"/>
      <c r="J53" s="31" t="n">
        <v>0</v>
      </c>
    </row>
    <row r="54">
      <c r="A54" s="15" t="inlineStr">
        <is>
          <t>2026-01</t>
        </is>
      </c>
      <c r="B54" s="17" t="inlineStr">
        <is>
          <t>JAN26-P081</t>
        </is>
      </c>
      <c r="C54" s="17" t="inlineStr">
        <is>
          <t>NF-e</t>
        </is>
      </c>
      <c r="D54" s="17" t="inlineStr">
        <is>
          <t>60587</t>
        </is>
      </c>
      <c r="E54" s="17" t="n"/>
      <c r="F54" s="6" t="inlineStr">
        <is>
          <t>DISTRIBUICAO DE ALIMENTOS VANGUARDA S/A</t>
        </is>
      </c>
      <c r="G54" s="17" t="n"/>
      <c r="H54" s="49" t="n">
        <v>800</v>
      </c>
      <c r="I54" s="23" t="n"/>
      <c r="J54" s="31" t="n"/>
    </row>
    <row r="55">
      <c r="A55" s="15" t="inlineStr">
        <is>
          <t>2026-01</t>
        </is>
      </c>
      <c r="B55" s="17" t="inlineStr">
        <is>
          <t>JAN26-P082</t>
        </is>
      </c>
      <c r="C55" s="17" t="inlineStr">
        <is>
          <t>NFS-e</t>
        </is>
      </c>
      <c r="D55" s="17" t="inlineStr">
        <is>
          <t>767</t>
        </is>
      </c>
      <c r="E55" s="17" t="n"/>
      <c r="F55" s="6" t="inlineStr">
        <is>
          <t>EDWARD MOURA SOCIEDADE INDIVIDUAL DE ADVOCACIA</t>
        </is>
      </c>
      <c r="G55" s="17" t="n"/>
      <c r="H55" s="49" t="n">
        <v>4075</v>
      </c>
      <c r="I55" s="23" t="n"/>
      <c r="J55" s="31" t="n"/>
    </row>
    <row r="56">
      <c r="A56" s="15" t="inlineStr">
        <is>
          <t>2026-01</t>
        </is>
      </c>
      <c r="B56" s="17" t="inlineStr">
        <is>
          <t>JAN26-P083</t>
        </is>
      </c>
      <c r="C56" s="17" t="inlineStr">
        <is>
          <t>NFS-e</t>
        </is>
      </c>
      <c r="D56" s="17" t="inlineStr">
        <is>
          <t>3331</t>
        </is>
      </c>
      <c r="E56" s="17" t="n"/>
      <c r="F56" s="6" t="inlineStr">
        <is>
          <t>LCM CONSULTING AND INFORMATION SERVICES LTDA</t>
        </is>
      </c>
      <c r="G56" s="17" t="n"/>
      <c r="H56" s="49" t="n">
        <v>9689.33</v>
      </c>
      <c r="I56" s="23" t="n"/>
      <c r="J56" s="31" t="n"/>
    </row>
    <row r="57">
      <c r="A57" s="15" t="inlineStr">
        <is>
          <t>2026-01</t>
        </is>
      </c>
      <c r="B57" s="17" t="inlineStr">
        <is>
          <t>JAN26-P084</t>
        </is>
      </c>
      <c r="C57" s="17" t="inlineStr">
        <is>
          <t>NF-e</t>
        </is>
      </c>
      <c r="D57" s="17" t="inlineStr">
        <is>
          <t>232676</t>
        </is>
      </c>
      <c r="E57" s="17" t="n"/>
      <c r="F57" s="6" t="inlineStr">
        <is>
          <t>INDUMAK MAQUINAS LTDA</t>
        </is>
      </c>
      <c r="G57" s="17" t="n"/>
      <c r="H57" s="49" t="n">
        <v>1587.23</v>
      </c>
      <c r="I57" s="23" t="n"/>
      <c r="J57" s="31" t="n">
        <v>100.51</v>
      </c>
    </row>
    <row r="58">
      <c r="A58" s="15" t="inlineStr">
        <is>
          <t>2026-01</t>
        </is>
      </c>
      <c r="B58" s="17" t="inlineStr">
        <is>
          <t>JAN26-P087</t>
        </is>
      </c>
      <c r="C58" s="17" t="inlineStr">
        <is>
          <t>CT-e</t>
        </is>
      </c>
      <c r="D58" s="17" t="inlineStr">
        <is>
          <t>409</t>
        </is>
      </c>
      <c r="E58" s="17" t="n"/>
      <c r="F58" s="6" t="inlineStr">
        <is>
          <t>F G INTELIGENCIA EM LOGISTICA LTDA</t>
        </is>
      </c>
      <c r="G58" s="17" t="n"/>
      <c r="H58" s="49" t="n">
        <v>11683.9</v>
      </c>
      <c r="I58" s="23" t="n">
        <v>0.12</v>
      </c>
      <c r="J58" s="31" t="n">
        <v>1402.07</v>
      </c>
    </row>
    <row r="59">
      <c r="A59" s="15" t="inlineStr">
        <is>
          <t>2026-01</t>
        </is>
      </c>
      <c r="B59" s="17" t="inlineStr">
        <is>
          <t>JAN26-P088</t>
        </is>
      </c>
      <c r="C59" s="17" t="inlineStr">
        <is>
          <t>CT-e</t>
        </is>
      </c>
      <c r="D59" s="17" t="inlineStr">
        <is>
          <t>408</t>
        </is>
      </c>
      <c r="E59" s="17" t="n"/>
      <c r="F59" s="6" t="inlineStr">
        <is>
          <t>F G INTELIGENCIA EM LOGISTICA LTDA</t>
        </is>
      </c>
      <c r="G59" s="17" t="n"/>
      <c r="H59" s="49" t="n">
        <v>11776.9</v>
      </c>
      <c r="I59" s="23" t="n">
        <v>0.12</v>
      </c>
      <c r="J59" s="31" t="n">
        <v>1413.23</v>
      </c>
    </row>
    <row r="60">
      <c r="A60" s="15" t="inlineStr">
        <is>
          <t>2026-01</t>
        </is>
      </c>
      <c r="B60" s="17" t="inlineStr">
        <is>
          <t>JAN26-P089</t>
        </is>
      </c>
      <c r="C60" s="17" t="inlineStr">
        <is>
          <t>CT-e</t>
        </is>
      </c>
      <c r="D60" s="17" t="inlineStr">
        <is>
          <t>407</t>
        </is>
      </c>
      <c r="E60" s="17" t="n"/>
      <c r="F60" s="6" t="inlineStr">
        <is>
          <t>F G INTELIGENCIA EM LOGISTICA LTDA</t>
        </is>
      </c>
      <c r="G60" s="17" t="n"/>
      <c r="H60" s="49" t="n">
        <v>2307.5</v>
      </c>
      <c r="I60" s="23" t="n">
        <v>0.12</v>
      </c>
      <c r="J60" s="31" t="n">
        <v>276.9</v>
      </c>
    </row>
    <row r="61">
      <c r="A61" s="15" t="inlineStr">
        <is>
          <t>2026-01</t>
        </is>
      </c>
      <c r="B61" s="17" t="inlineStr">
        <is>
          <t>JAN26-P090</t>
        </is>
      </c>
      <c r="C61" s="17" t="inlineStr">
        <is>
          <t>CT-e</t>
        </is>
      </c>
      <c r="D61" s="17" t="inlineStr">
        <is>
          <t>405</t>
        </is>
      </c>
      <c r="E61" s="17" t="n"/>
      <c r="F61" s="6" t="inlineStr">
        <is>
          <t>F G INTELIGENCIA EM LOGISTICA LTDA</t>
        </is>
      </c>
      <c r="G61" s="17" t="n"/>
      <c r="H61" s="49" t="n">
        <v>11711.8</v>
      </c>
      <c r="I61" s="23" t="n">
        <v>0.12</v>
      </c>
      <c r="J61" s="31" t="n">
        <v>1405.42</v>
      </c>
    </row>
    <row r="62">
      <c r="A62" s="15" t="inlineStr">
        <is>
          <t>2026-01</t>
        </is>
      </c>
      <c r="B62" s="17" t="inlineStr">
        <is>
          <t>JAN26-P091</t>
        </is>
      </c>
      <c r="C62" s="17" t="inlineStr">
        <is>
          <t>CT-e</t>
        </is>
      </c>
      <c r="D62" s="17" t="inlineStr">
        <is>
          <t>401</t>
        </is>
      </c>
      <c r="E62" s="17" t="n"/>
      <c r="F62" s="6" t="inlineStr">
        <is>
          <t>F G INTELIGENCIA EM LOGISTICA LTDA</t>
        </is>
      </c>
      <c r="G62" s="17" t="n"/>
      <c r="H62" s="49" t="n">
        <v>11764.5</v>
      </c>
      <c r="I62" s="23" t="n">
        <v>0.12</v>
      </c>
      <c r="J62" s="31" t="n">
        <v>1411.74</v>
      </c>
    </row>
    <row r="63">
      <c r="A63" s="15" t="inlineStr">
        <is>
          <t>2026-01</t>
        </is>
      </c>
      <c r="B63" s="17" t="inlineStr">
        <is>
          <t>JAN26-P092</t>
        </is>
      </c>
      <c r="C63" s="17" t="inlineStr">
        <is>
          <t>NF-e</t>
        </is>
      </c>
      <c r="D63" s="17" t="inlineStr">
        <is>
          <t>535504</t>
        </is>
      </c>
      <c r="E63" s="17" t="n"/>
      <c r="F63" s="6" t="inlineStr">
        <is>
          <t>COMPANHIA INDUSTRIAL DE CIMENTO APODI</t>
        </is>
      </c>
      <c r="G63" s="17" t="n"/>
      <c r="H63" s="49" t="n">
        <v>18676.35</v>
      </c>
      <c r="I63" s="23" t="n">
        <v>0.12</v>
      </c>
      <c r="J63" s="31" t="n">
        <v>2241.16</v>
      </c>
    </row>
    <row r="64">
      <c r="A64" s="15" t="inlineStr">
        <is>
          <t>2026-01</t>
        </is>
      </c>
      <c r="B64" s="17" t="inlineStr">
        <is>
          <t>JAN26-P093</t>
        </is>
      </c>
      <c r="C64" s="17" t="inlineStr">
        <is>
          <t>NF-e</t>
        </is>
      </c>
      <c r="D64" s="17" t="inlineStr">
        <is>
          <t>535252</t>
        </is>
      </c>
      <c r="E64" s="17" t="n"/>
      <c r="F64" s="6" t="inlineStr">
        <is>
          <t>COMPANHIA INDUSTRIAL DE CIMENTO APODI</t>
        </is>
      </c>
      <c r="G64" s="17" t="n"/>
      <c r="H64" s="49" t="n">
        <v>18720.9</v>
      </c>
      <c r="I64" s="23" t="n">
        <v>0.12</v>
      </c>
      <c r="J64" s="31" t="n">
        <v>2246.51</v>
      </c>
    </row>
    <row r="65">
      <c r="A65" s="15" t="inlineStr">
        <is>
          <t>2026-01</t>
        </is>
      </c>
      <c r="B65" s="17" t="inlineStr">
        <is>
          <t>JAN26-P094</t>
        </is>
      </c>
      <c r="C65" s="17" t="inlineStr">
        <is>
          <t>NF-e</t>
        </is>
      </c>
      <c r="D65" s="17" t="inlineStr">
        <is>
          <t>535128</t>
        </is>
      </c>
      <c r="E65" s="17" t="n"/>
      <c r="F65" s="6" t="inlineStr">
        <is>
          <t>COMPANHIA INDUSTRIAL DE CIMENTO APODI</t>
        </is>
      </c>
      <c r="G65" s="17" t="n"/>
      <c r="H65" s="49" t="n">
        <v>18656.55</v>
      </c>
      <c r="I65" s="23" t="n">
        <v>0.12</v>
      </c>
      <c r="J65" s="31" t="n">
        <v>2238.79</v>
      </c>
    </row>
    <row r="66">
      <c r="A66" s="15" t="inlineStr">
        <is>
          <t>2026-01</t>
        </is>
      </c>
      <c r="B66" s="17" t="inlineStr">
        <is>
          <t>JAN26-P096</t>
        </is>
      </c>
      <c r="C66" s="17" t="inlineStr">
        <is>
          <t>NF-e</t>
        </is>
      </c>
      <c r="D66" s="17" t="inlineStr">
        <is>
          <t>534870</t>
        </is>
      </c>
      <c r="E66" s="17" t="n"/>
      <c r="F66" s="6" t="inlineStr">
        <is>
          <t>COMPANHIA INDUSTRIAL DE CIMENTO APODI</t>
        </is>
      </c>
      <c r="G66" s="17" t="n"/>
      <c r="H66" s="49" t="n">
        <v>18701.1</v>
      </c>
      <c r="I66" s="23" t="n">
        <v>0.12</v>
      </c>
      <c r="J66" s="31" t="n">
        <v>2244.13</v>
      </c>
    </row>
    <row r="67">
      <c r="A67" s="15" t="inlineStr">
        <is>
          <t>2026-01</t>
        </is>
      </c>
      <c r="B67" s="17" t="inlineStr">
        <is>
          <t>JAN26-P097</t>
        </is>
      </c>
      <c r="C67" s="17" t="inlineStr">
        <is>
          <t>NF-e</t>
        </is>
      </c>
      <c r="D67" s="17" t="inlineStr">
        <is>
          <t>534761</t>
        </is>
      </c>
      <c r="E67" s="17" t="n"/>
      <c r="F67" s="6" t="inlineStr">
        <is>
          <t>COMPANHIA INDUSTRIAL DE CIMENTO APODI</t>
        </is>
      </c>
      <c r="G67" s="17" t="n"/>
      <c r="H67" s="49" t="n">
        <v>18785.25</v>
      </c>
      <c r="I67" s="23" t="n">
        <v>0.12</v>
      </c>
      <c r="J67" s="31" t="n">
        <v>2254.23</v>
      </c>
    </row>
    <row r="68">
      <c r="A68" s="15" t="inlineStr">
        <is>
          <t>2026-01</t>
        </is>
      </c>
      <c r="B68" s="17" t="inlineStr">
        <is>
          <t>JAN26-P098</t>
        </is>
      </c>
      <c r="C68" s="17" t="inlineStr">
        <is>
          <t>CT-e</t>
        </is>
      </c>
      <c r="D68" s="17" t="inlineStr">
        <is>
          <t>373</t>
        </is>
      </c>
      <c r="E68" s="17" t="n"/>
      <c r="F68" s="6" t="inlineStr">
        <is>
          <t>F G INTELIGENCIA EM LOGISTICA LTDA</t>
        </is>
      </c>
      <c r="G68" s="17" t="n"/>
      <c r="H68" s="49" t="n">
        <v>11795.5</v>
      </c>
      <c r="I68" s="23" t="n">
        <v>0.12</v>
      </c>
      <c r="J68" s="31" t="n">
        <v>1415.46</v>
      </c>
    </row>
    <row r="69">
      <c r="A69" s="15" t="inlineStr">
        <is>
          <t>2026-01</t>
        </is>
      </c>
      <c r="B69" s="17" t="inlineStr">
        <is>
          <t>JAN26-P100</t>
        </is>
      </c>
      <c r="C69" s="17" t="inlineStr">
        <is>
          <t>CT-e</t>
        </is>
      </c>
      <c r="D69" s="17" t="inlineStr">
        <is>
          <t>376</t>
        </is>
      </c>
      <c r="E69" s="17" t="n"/>
      <c r="F69" s="6" t="inlineStr">
        <is>
          <t>F G INTELIGENCIA EM LOGISTICA LTDA</t>
        </is>
      </c>
      <c r="G69" s="17" t="n"/>
      <c r="H69" s="49" t="n">
        <v>11687</v>
      </c>
      <c r="I69" s="23" t="n">
        <v>0.12</v>
      </c>
      <c r="J69" s="31" t="n">
        <v>1402.44</v>
      </c>
    </row>
    <row r="70">
      <c r="A70" s="15" t="inlineStr">
        <is>
          <t>2026-01</t>
        </is>
      </c>
      <c r="B70" s="17" t="inlineStr">
        <is>
          <t>JAN26-P102</t>
        </is>
      </c>
      <c r="C70" s="17" t="inlineStr">
        <is>
          <t>CT-e</t>
        </is>
      </c>
      <c r="D70" s="17" t="inlineStr">
        <is>
          <t>381</t>
        </is>
      </c>
      <c r="E70" s="17" t="n"/>
      <c r="F70" s="6" t="inlineStr">
        <is>
          <t>F G INTELIGENCIA EM LOGISTICA LTDA</t>
        </is>
      </c>
      <c r="G70" s="17" t="n"/>
      <c r="H70" s="49" t="n">
        <v>11780</v>
      </c>
      <c r="I70" s="23" t="n">
        <v>0.12</v>
      </c>
      <c r="J70" s="31" t="n">
        <v>1413.6</v>
      </c>
    </row>
    <row r="71">
      <c r="A71" s="15" t="inlineStr">
        <is>
          <t>2026-01</t>
        </is>
      </c>
      <c r="B71" s="17" t="inlineStr">
        <is>
          <t>JAN26-P104</t>
        </is>
      </c>
      <c r="C71" s="17" t="inlineStr">
        <is>
          <t>CT-e</t>
        </is>
      </c>
      <c r="D71" s="17" t="inlineStr">
        <is>
          <t>383</t>
        </is>
      </c>
      <c r="E71" s="17" t="n"/>
      <c r="F71" s="6" t="inlineStr">
        <is>
          <t>F G INTELIGENCIA EM LOGISTICA LTDA</t>
        </is>
      </c>
      <c r="G71" s="17" t="n"/>
      <c r="H71" s="49" t="n">
        <v>11383.2</v>
      </c>
      <c r="I71" s="23" t="n">
        <v>0.12</v>
      </c>
      <c r="J71" s="31" t="n">
        <v>1365.98</v>
      </c>
    </row>
    <row r="72">
      <c r="A72" s="15" t="inlineStr">
        <is>
          <t>2026-01</t>
        </is>
      </c>
      <c r="B72" s="17" t="inlineStr">
        <is>
          <t>JAN26-P106</t>
        </is>
      </c>
      <c r="C72" s="17" t="inlineStr">
        <is>
          <t>CT-e</t>
        </is>
      </c>
      <c r="D72" s="17" t="inlineStr">
        <is>
          <t>385</t>
        </is>
      </c>
      <c r="E72" s="17" t="n"/>
      <c r="F72" s="6" t="inlineStr">
        <is>
          <t>F G INTELIGENCIA EM LOGISTICA LTDA</t>
        </is>
      </c>
      <c r="G72" s="17" t="n"/>
      <c r="H72" s="49" t="n">
        <v>11727.3</v>
      </c>
      <c r="I72" s="23" t="n">
        <v>0.12</v>
      </c>
      <c r="J72" s="31" t="n">
        <v>1407.28</v>
      </c>
    </row>
    <row r="73">
      <c r="A73" s="15" t="inlineStr">
        <is>
          <t>2026-01</t>
        </is>
      </c>
      <c r="B73" s="17" t="inlineStr">
        <is>
          <t>JAN26-P108</t>
        </is>
      </c>
      <c r="C73" s="17" t="inlineStr">
        <is>
          <t>CT-e</t>
        </is>
      </c>
      <c r="D73" s="17" t="inlineStr">
        <is>
          <t>389</t>
        </is>
      </c>
      <c r="E73" s="17" t="n"/>
      <c r="F73" s="6" t="inlineStr">
        <is>
          <t>F G INTELIGENCIA EM LOGISTICA LTDA</t>
        </is>
      </c>
      <c r="G73" s="17" t="n"/>
      <c r="H73" s="49" t="n">
        <v>11612.6</v>
      </c>
      <c r="I73" s="23" t="n">
        <v>0.12</v>
      </c>
      <c r="J73" s="31" t="n">
        <v>1393.51</v>
      </c>
    </row>
    <row r="74">
      <c r="A74" s="15" t="inlineStr">
        <is>
          <t>2026-01</t>
        </is>
      </c>
      <c r="B74" s="17" t="inlineStr">
        <is>
          <t>JAN26-P111</t>
        </is>
      </c>
      <c r="C74" s="17" t="inlineStr">
        <is>
          <t>NFS-e</t>
        </is>
      </c>
      <c r="D74" s="17" t="inlineStr">
        <is>
          <t>536943</t>
        </is>
      </c>
      <c r="E74" s="17" t="n"/>
      <c r="F74" s="6" t="inlineStr">
        <is>
          <t>CONNECT INFORMACOES E TECNOLOGIA SA</t>
        </is>
      </c>
      <c r="G74" s="17" t="n"/>
      <c r="H74" s="49" t="n">
        <v>460</v>
      </c>
      <c r="I74" s="23" t="n"/>
      <c r="J74" s="31" t="n"/>
    </row>
    <row r="75">
      <c r="A75" s="15" t="inlineStr">
        <is>
          <t>2026-01</t>
        </is>
      </c>
      <c r="B75" s="17" t="inlineStr">
        <is>
          <t>JAN26-P112</t>
        </is>
      </c>
      <c r="C75" s="17" t="inlineStr">
        <is>
          <t>NF-e</t>
        </is>
      </c>
      <c r="D75" s="17" t="inlineStr">
        <is>
          <t>402080</t>
        </is>
      </c>
      <c r="E75" s="17" t="n"/>
      <c r="F75" s="6" t="inlineStr">
        <is>
          <t>APODI DISTRIBUICAO E LOGISTICA LTDA</t>
        </is>
      </c>
      <c r="G75" s="17" t="n"/>
      <c r="H75" s="49" t="n">
        <v>1820</v>
      </c>
      <c r="I75" s="23" t="n"/>
      <c r="J75" s="31" t="n"/>
    </row>
    <row r="76">
      <c r="A76" s="15" t="inlineStr">
        <is>
          <t>2026-01</t>
        </is>
      </c>
      <c r="B76" s="17" t="inlineStr">
        <is>
          <t>JAN26-P113</t>
        </is>
      </c>
      <c r="C76" s="17" t="inlineStr">
        <is>
          <t>NFS-e</t>
        </is>
      </c>
      <c r="D76" s="17" t="inlineStr">
        <is>
          <t>22</t>
        </is>
      </c>
      <c r="E76" s="17" t="n"/>
      <c r="F76" s="6" t="inlineStr">
        <is>
          <t>JORGE GUILHERME COSTA FERREIRA</t>
        </is>
      </c>
      <c r="G76" s="17" t="n"/>
      <c r="H76" s="49" t="n">
        <v>500</v>
      </c>
      <c r="I76" s="23" t="n"/>
      <c r="J76" s="31" t="n"/>
    </row>
    <row r="77">
      <c r="A77" s="15" t="inlineStr">
        <is>
          <t>2026-01</t>
        </is>
      </c>
      <c r="B77" s="17" t="inlineStr">
        <is>
          <t>JAN26-P114</t>
        </is>
      </c>
      <c r="C77" s="17" t="inlineStr">
        <is>
          <t>NF-e</t>
        </is>
      </c>
      <c r="D77" s="17" t="inlineStr">
        <is>
          <t>20113</t>
        </is>
      </c>
      <c r="E77" s="17" t="n"/>
      <c r="F77" s="6" t="inlineStr">
        <is>
          <t>DISTRIBUIDORA DE BEBIDAS ATACADAO DA GELA</t>
        </is>
      </c>
      <c r="G77" s="17" t="n"/>
      <c r="H77" s="49" t="n">
        <v>3600</v>
      </c>
      <c r="I77" s="23" t="n"/>
      <c r="J77" s="31" t="n"/>
    </row>
    <row r="78">
      <c r="A78" s="15" t="inlineStr">
        <is>
          <t>2026-01</t>
        </is>
      </c>
      <c r="B78" s="17" t="inlineStr">
        <is>
          <t>JAN26-P116</t>
        </is>
      </c>
      <c r="C78" s="17" t="inlineStr">
        <is>
          <t>NF-e</t>
        </is>
      </c>
      <c r="D78" s="17" t="inlineStr">
        <is>
          <t>172</t>
        </is>
      </c>
      <c r="E78" s="17" t="n"/>
      <c r="F78" s="6" t="inlineStr">
        <is>
          <t>EVERARDO SILVA DO NASCIMENTO</t>
        </is>
      </c>
      <c r="G78" s="17" t="n"/>
      <c r="H78" s="49" t="n">
        <v>8238</v>
      </c>
      <c r="I78" s="23" t="n"/>
      <c r="J78" s="31" t="n"/>
    </row>
    <row r="79">
      <c r="A79" s="15" t="inlineStr">
        <is>
          <t>2026-01</t>
        </is>
      </c>
      <c r="B79" s="17" t="inlineStr">
        <is>
          <t>JAN26-P117</t>
        </is>
      </c>
      <c r="C79" s="17" t="inlineStr">
        <is>
          <t>CT-e</t>
        </is>
      </c>
      <c r="D79" s="17" t="inlineStr">
        <is>
          <t>417</t>
        </is>
      </c>
      <c r="E79" s="17" t="n"/>
      <c r="F79" s="6" t="inlineStr">
        <is>
          <t>F G INTELIGENCIA EM LOGISTICA LTDA</t>
        </is>
      </c>
      <c r="G79" s="17" t="n"/>
      <c r="H79" s="49" t="n">
        <v>11696.3</v>
      </c>
      <c r="I79" s="23" t="n">
        <v>0.12</v>
      </c>
      <c r="J79" s="31" t="n">
        <v>1403.56</v>
      </c>
    </row>
    <row r="80">
      <c r="A80" s="15" t="inlineStr">
        <is>
          <t>2026-01</t>
        </is>
      </c>
      <c r="B80" s="17" t="inlineStr">
        <is>
          <t>JAN26-P118</t>
        </is>
      </c>
      <c r="C80" s="17" t="inlineStr">
        <is>
          <t>CT-e</t>
        </is>
      </c>
      <c r="D80" s="17" t="inlineStr">
        <is>
          <t>411</t>
        </is>
      </c>
      <c r="E80" s="17" t="n"/>
      <c r="F80" s="6" t="inlineStr">
        <is>
          <t>F G INTELIGENCIA EM LOGISTICA LTDA</t>
        </is>
      </c>
      <c r="G80" s="17" t="n"/>
      <c r="H80" s="49" t="n">
        <v>11724.2</v>
      </c>
      <c r="I80" s="23" t="n">
        <v>0.12</v>
      </c>
      <c r="J80" s="31" t="n">
        <v>1406.9</v>
      </c>
    </row>
    <row r="81">
      <c r="A81" s="15" t="inlineStr">
        <is>
          <t>2026-01</t>
        </is>
      </c>
      <c r="B81" s="17" t="inlineStr">
        <is>
          <t>JAN26-P119</t>
        </is>
      </c>
      <c r="C81" s="17" t="inlineStr">
        <is>
          <t>NF-e</t>
        </is>
      </c>
      <c r="D81" s="17" t="inlineStr">
        <is>
          <t>77338</t>
        </is>
      </c>
      <c r="E81" s="17" t="n"/>
      <c r="F81" s="6" t="inlineStr">
        <is>
          <t>POLI-GYN EMBALAGENS LTDA</t>
        </is>
      </c>
      <c r="G81" s="17" t="n"/>
      <c r="H81" s="49" t="n">
        <v>32443.09</v>
      </c>
      <c r="I81" s="23" t="n"/>
      <c r="J81" s="31" t="n">
        <v>1182.44</v>
      </c>
    </row>
    <row r="82">
      <c r="A82" s="15" t="inlineStr">
        <is>
          <t>2026-01</t>
        </is>
      </c>
      <c r="B82" s="17" t="inlineStr">
        <is>
          <t>JAN26-P120</t>
        </is>
      </c>
      <c r="C82" s="17" t="inlineStr">
        <is>
          <t>NF-e</t>
        </is>
      </c>
      <c r="D82" s="17" t="inlineStr">
        <is>
          <t>535055</t>
        </is>
      </c>
      <c r="E82" s="17" t="n"/>
      <c r="F82" s="6" t="inlineStr">
        <is>
          <t>COMPANHIA INDUSTRIAL DE CIMENTO APODI</t>
        </is>
      </c>
      <c r="G82" s="17" t="n"/>
      <c r="H82" s="49" t="n">
        <v>18805.05</v>
      </c>
      <c r="I82" s="23" t="n">
        <v>0.12</v>
      </c>
      <c r="J82" s="31" t="n">
        <v>2256.61</v>
      </c>
    </row>
    <row r="83">
      <c r="A83" s="15" t="inlineStr">
        <is>
          <t>2026-01</t>
        </is>
      </c>
      <c r="B83" s="17" t="inlineStr">
        <is>
          <t>JAN26-P121</t>
        </is>
      </c>
      <c r="C83" s="17" t="inlineStr">
        <is>
          <t>CT-e</t>
        </is>
      </c>
      <c r="D83" s="17" t="inlineStr">
        <is>
          <t>392</t>
        </is>
      </c>
      <c r="E83" s="17" t="n"/>
      <c r="F83" s="6" t="inlineStr">
        <is>
          <t>F G INTELIGENCIA EM LOGISTICA LTDA</t>
        </is>
      </c>
      <c r="G83" s="17" t="n"/>
      <c r="H83" s="49" t="n">
        <v>11625</v>
      </c>
      <c r="I83" s="23" t="n">
        <v>0.12</v>
      </c>
      <c r="J83" s="31" t="n">
        <v>1395</v>
      </c>
    </row>
    <row r="84">
      <c r="A84" s="15" t="inlineStr">
        <is>
          <t>2026-01</t>
        </is>
      </c>
      <c r="B84" s="17" t="inlineStr">
        <is>
          <t>JAN26-P123</t>
        </is>
      </c>
      <c r="C84" s="17" t="inlineStr">
        <is>
          <t>CT-e</t>
        </is>
      </c>
      <c r="D84" s="17" t="inlineStr">
        <is>
          <t>393</t>
        </is>
      </c>
      <c r="E84" s="17" t="n"/>
      <c r="F84" s="6" t="inlineStr">
        <is>
          <t>F G INTELIGENCIA EM LOGISTICA LTDA</t>
        </is>
      </c>
      <c r="G84" s="17" t="n"/>
      <c r="H84" s="49" t="n">
        <v>11770.7</v>
      </c>
      <c r="I84" s="23" t="n">
        <v>0.12</v>
      </c>
      <c r="J84" s="31" t="n">
        <v>1412.48</v>
      </c>
    </row>
    <row r="85">
      <c r="A85" s="15" t="inlineStr">
        <is>
          <t>2026-01</t>
        </is>
      </c>
      <c r="B85" s="17" t="inlineStr">
        <is>
          <t>JAN26-P126</t>
        </is>
      </c>
      <c r="C85" s="17" t="inlineStr">
        <is>
          <t>CT-e</t>
        </is>
      </c>
      <c r="D85" s="17" t="inlineStr">
        <is>
          <t>394</t>
        </is>
      </c>
      <c r="E85" s="17" t="n"/>
      <c r="F85" s="6" t="inlineStr">
        <is>
          <t>F G INTELIGENCIA EM LOGISTICA LTDA</t>
        </is>
      </c>
      <c r="G85" s="17" t="n"/>
      <c r="H85" s="49" t="n">
        <v>11745.9</v>
      </c>
      <c r="I85" s="23" t="n">
        <v>0.12</v>
      </c>
      <c r="J85" s="31" t="n">
        <v>1409.51</v>
      </c>
    </row>
    <row r="86">
      <c r="A86" s="15" t="inlineStr">
        <is>
          <t>2026-01</t>
        </is>
      </c>
      <c r="B86" s="17" t="inlineStr">
        <is>
          <t>JAN26-P128</t>
        </is>
      </c>
      <c r="C86" s="17" t="inlineStr">
        <is>
          <t>CT-e</t>
        </is>
      </c>
      <c r="D86" s="17" t="inlineStr">
        <is>
          <t>396</t>
        </is>
      </c>
      <c r="E86" s="17" t="n"/>
      <c r="F86" s="6" t="inlineStr">
        <is>
          <t>F G INTELIGENCIA EM LOGISTICA LTDA</t>
        </is>
      </c>
      <c r="G86" s="17" t="n"/>
      <c r="H86" s="49" t="n">
        <v>11804.8</v>
      </c>
      <c r="I86" s="23" t="n">
        <v>0.12</v>
      </c>
      <c r="J86" s="31" t="n">
        <v>1416.58</v>
      </c>
    </row>
    <row r="87">
      <c r="A87" s="15" t="inlineStr">
        <is>
          <t>2026-01</t>
        </is>
      </c>
      <c r="B87" s="17" t="inlineStr">
        <is>
          <t>JAN26-P129</t>
        </is>
      </c>
      <c r="C87" s="17" t="inlineStr">
        <is>
          <t>CT-e</t>
        </is>
      </c>
      <c r="D87" s="17" t="inlineStr">
        <is>
          <t>397</t>
        </is>
      </c>
      <c r="E87" s="17" t="n"/>
      <c r="F87" s="6" t="inlineStr">
        <is>
          <t>F G INTELIGENCIA EM LOGISTICA LTDA</t>
        </is>
      </c>
      <c r="G87" s="17" t="n"/>
      <c r="H87" s="49" t="n">
        <v>11699.4</v>
      </c>
      <c r="I87" s="23" t="n">
        <v>0.12</v>
      </c>
      <c r="J87" s="31" t="n">
        <v>1403.93</v>
      </c>
    </row>
    <row r="88">
      <c r="A88" s="15" t="inlineStr">
        <is>
          <t>2026-01</t>
        </is>
      </c>
      <c r="B88" s="17" t="inlineStr">
        <is>
          <t>JAN26-P130</t>
        </is>
      </c>
      <c r="C88" s="17" t="inlineStr">
        <is>
          <t>Fatura/Locacao</t>
        </is>
      </c>
      <c r="D88" s="17" t="inlineStr">
        <is>
          <t>003260</t>
        </is>
      </c>
      <c r="E88" s="17" t="n"/>
      <c r="F88" s="6" t="inlineStr">
        <is>
          <t>PAZ &amp; SAMPAIO LTDA - MM LOCACOES</t>
        </is>
      </c>
      <c r="G88" s="17" t="n"/>
      <c r="H88" s="49" t="n">
        <v>265</v>
      </c>
      <c r="I88" s="23" t="n"/>
      <c r="J88" s="31" t="n"/>
    </row>
    <row r="89">
      <c r="A89" s="15" t="inlineStr">
        <is>
          <t>2026-01</t>
        </is>
      </c>
      <c r="B89" s="17" t="inlineStr">
        <is>
          <t>JAN26-P131</t>
        </is>
      </c>
      <c r="C89" s="17" t="inlineStr">
        <is>
          <t>NFS-e</t>
        </is>
      </c>
      <c r="D89" s="17" t="inlineStr">
        <is>
          <t>167</t>
        </is>
      </c>
      <c r="E89" s="17" t="n"/>
      <c r="F89" s="6" t="inlineStr">
        <is>
          <t>FENIX PRESTADORA DE SERVICOS LTDA</t>
        </is>
      </c>
      <c r="G89" s="17" t="n"/>
      <c r="H89" s="49" t="n">
        <v>8175</v>
      </c>
      <c r="I89" s="23" t="n"/>
      <c r="J89" s="31" t="n"/>
    </row>
    <row r="90">
      <c r="A90" s="15" t="inlineStr">
        <is>
          <t>2026-01</t>
        </is>
      </c>
      <c r="B90" s="17" t="inlineStr">
        <is>
          <t>JAN26-P132</t>
        </is>
      </c>
      <c r="C90" s="17" t="inlineStr">
        <is>
          <t>NFS-e</t>
        </is>
      </c>
      <c r="D90" s="17" t="inlineStr">
        <is>
          <t>166</t>
        </is>
      </c>
      <c r="E90" s="17" t="n"/>
      <c r="F90" s="6" t="inlineStr">
        <is>
          <t>FENIX PRESTADORA DE SERVICOS LTDA</t>
        </is>
      </c>
      <c r="G90" s="17" t="n"/>
      <c r="H90" s="49" t="n">
        <v>8175</v>
      </c>
      <c r="I90" s="23" t="n"/>
      <c r="J90" s="31" t="n"/>
    </row>
    <row r="91">
      <c r="A91" s="15" t="inlineStr">
        <is>
          <t>2026-01</t>
        </is>
      </c>
      <c r="B91" s="17" t="inlineStr">
        <is>
          <t>JAN26-P133</t>
        </is>
      </c>
      <c r="C91" s="17" t="inlineStr">
        <is>
          <t>NFS-e</t>
        </is>
      </c>
      <c r="D91" s="17" t="inlineStr">
        <is>
          <t>22</t>
        </is>
      </c>
      <c r="E91" s="17" t="n"/>
      <c r="F91" s="6" t="inlineStr">
        <is>
          <t>EMERSON CANDIDO DE AQUINO 56476779320</t>
        </is>
      </c>
      <c r="G91" s="17" t="n"/>
      <c r="H91" s="49" t="n">
        <v>2000</v>
      </c>
      <c r="I91" s="23" t="n"/>
      <c r="J91" s="31" t="n"/>
    </row>
    <row r="92">
      <c r="A92" s="15" t="inlineStr">
        <is>
          <t>2026-01</t>
        </is>
      </c>
      <c r="B92" s="17" t="inlineStr">
        <is>
          <t>JAN26-P134</t>
        </is>
      </c>
      <c r="C92" s="17" t="inlineStr">
        <is>
          <t>NFS-e</t>
        </is>
      </c>
      <c r="D92" s="17" t="inlineStr">
        <is>
          <t>767</t>
        </is>
      </c>
      <c r="E92" s="17" t="n"/>
      <c r="F92" s="6" t="inlineStr">
        <is>
          <t>EDWARD MOURA SOCIEDADE INDIVIDUAL DE ADVOCACIA</t>
        </is>
      </c>
      <c r="G92" s="17" t="n"/>
      <c r="H92" s="49" t="n">
        <v>4075</v>
      </c>
      <c r="I92" s="23" t="n"/>
      <c r="J92" s="31" t="n"/>
    </row>
    <row r="93">
      <c r="A93" s="15" t="inlineStr">
        <is>
          <t>2026-01</t>
        </is>
      </c>
      <c r="B93" s="17" t="inlineStr">
        <is>
          <t>JAN26-P135</t>
        </is>
      </c>
      <c r="C93" s="17" t="inlineStr">
        <is>
          <t>NFS-e</t>
        </is>
      </c>
      <c r="D93" s="17" t="inlineStr">
        <is>
          <t>16004</t>
        </is>
      </c>
      <c r="E93" s="17" t="n"/>
      <c r="F93" s="6" t="inlineStr">
        <is>
          <t>LENCO CENTRO DE CONTROLE TECNOLOGICO LTDA</t>
        </is>
      </c>
      <c r="G93" s="17" t="n"/>
      <c r="H93" s="49" t="n">
        <v>750</v>
      </c>
      <c r="I93" s="23" t="n"/>
      <c r="J93" s="31" t="n"/>
    </row>
    <row r="94">
      <c r="A94" s="15" t="inlineStr">
        <is>
          <t>2026-01</t>
        </is>
      </c>
      <c r="B94" s="17" t="inlineStr">
        <is>
          <t>JAN26-P136</t>
        </is>
      </c>
      <c r="C94" s="17" t="inlineStr">
        <is>
          <t>NFS-e</t>
        </is>
      </c>
      <c r="D94" s="17" t="inlineStr">
        <is>
          <t>3320</t>
        </is>
      </c>
      <c r="E94" s="17" t="n"/>
      <c r="F94" s="6" t="inlineStr">
        <is>
          <t>LCM CONSULTING AND INFORMATION SERVICES LTDA</t>
        </is>
      </c>
      <c r="G94" s="17" t="n"/>
      <c r="H94" s="49" t="n">
        <v>1788.75</v>
      </c>
      <c r="I94" s="23" t="n"/>
      <c r="J94" s="31" t="n"/>
    </row>
    <row r="95">
      <c r="A95" s="15" t="inlineStr">
        <is>
          <t>2026-01</t>
        </is>
      </c>
      <c r="B95" s="17" t="inlineStr">
        <is>
          <t>JAN26-P143</t>
        </is>
      </c>
      <c r="C95" s="17" t="inlineStr">
        <is>
          <t>NFS-e</t>
        </is>
      </c>
      <c r="D95" s="17" t="inlineStr">
        <is>
          <t>3</t>
        </is>
      </c>
      <c r="E95" s="17" t="n"/>
      <c r="F95" s="6" t="inlineStr">
        <is>
          <t>MICHELA MEDEIROS FRANCO</t>
        </is>
      </c>
      <c r="G95" s="17" t="n"/>
      <c r="H95" s="49" t="n">
        <v>4800</v>
      </c>
      <c r="I95" s="23" t="n"/>
      <c r="J95" s="31" t="n"/>
    </row>
    <row r="96">
      <c r="A96" s="15" t="inlineStr">
        <is>
          <t>2026-01</t>
        </is>
      </c>
      <c r="B96" s="17" t="inlineStr">
        <is>
          <t>JAN26-P144</t>
        </is>
      </c>
      <c r="C96" s="17" t="inlineStr">
        <is>
          <t>NFS-e</t>
        </is>
      </c>
      <c r="D96" s="17" t="inlineStr">
        <is>
          <t>18513</t>
        </is>
      </c>
      <c r="E96" s="17" t="n"/>
      <c r="F96" s="6" t="inlineStr">
        <is>
          <t>VANGUARD PECAS E SERVICOS AUTOMOTIVOS LTDA</t>
        </is>
      </c>
      <c r="G96" s="17" t="n"/>
      <c r="H96" s="49" t="n">
        <v>270</v>
      </c>
      <c r="I96" s="23" t="n"/>
      <c r="J96" s="31" t="n"/>
    </row>
    <row r="97">
      <c r="A97" s="15" t="inlineStr">
        <is>
          <t>2026-01</t>
        </is>
      </c>
      <c r="B97" s="17" t="inlineStr">
        <is>
          <t>JAN26-P145</t>
        </is>
      </c>
      <c r="C97" s="17" t="inlineStr">
        <is>
          <t>NFS-e</t>
        </is>
      </c>
      <c r="D97" s="17" t="inlineStr">
        <is>
          <t>9</t>
        </is>
      </c>
      <c r="E97" s="17" t="n"/>
      <c r="F97" s="6" t="inlineStr">
        <is>
          <t>MARCEL DE MOURA GOMES LTDA</t>
        </is>
      </c>
      <c r="G97" s="17" t="n"/>
      <c r="H97" s="49" t="n">
        <v>3000</v>
      </c>
      <c r="I97" s="23" t="n"/>
      <c r="J97" s="31" t="n"/>
    </row>
    <row r="98">
      <c r="A98" s="15" t="inlineStr">
        <is>
          <t>2026-01</t>
        </is>
      </c>
      <c r="B98" s="17" t="inlineStr">
        <is>
          <t>JAN26-P146</t>
        </is>
      </c>
      <c r="C98" s="17" t="inlineStr">
        <is>
          <t>Fatura/Reembolso</t>
        </is>
      </c>
      <c r="D98" s="17" t="inlineStr">
        <is>
          <t>67178532</t>
        </is>
      </c>
      <c r="E98" s="17" t="n"/>
      <c r="F98" s="6" t="inlineStr">
        <is>
          <t>TICKET LOG / EDENRED SOLUCOES INSTITUICAO DE PAGAMENTO HA S.A.</t>
        </is>
      </c>
      <c r="G98" s="17" t="n"/>
      <c r="H98" s="49" t="n">
        <v>358.58</v>
      </c>
      <c r="I98" s="23" t="n"/>
      <c r="J98" s="31" t="n"/>
    </row>
    <row r="99">
      <c r="A99" s="15" t="inlineStr">
        <is>
          <t>2026-01</t>
        </is>
      </c>
      <c r="B99" s="17" t="inlineStr">
        <is>
          <t>JAN26-P147</t>
        </is>
      </c>
      <c r="C99" s="17" t="inlineStr">
        <is>
          <t>NF-e</t>
        </is>
      </c>
      <c r="D99" s="17" t="inlineStr">
        <is>
          <t>3520</t>
        </is>
      </c>
      <c r="E99" s="17" t="n"/>
      <c r="F99" s="6" t="inlineStr">
        <is>
          <t>BORGES &amp; CAMURCA RESTAURANTES LTDA</t>
        </is>
      </c>
      <c r="G99" s="17" t="n"/>
      <c r="H99" s="49" t="n">
        <v>819</v>
      </c>
      <c r="I99" s="23" t="n"/>
      <c r="J99" s="31" t="n"/>
    </row>
    <row r="100">
      <c r="A100" s="15" t="inlineStr">
        <is>
          <t>2026-01</t>
        </is>
      </c>
      <c r="B100" s="17" t="inlineStr">
        <is>
          <t>JAN26-P148</t>
        </is>
      </c>
      <c r="C100" s="17" t="inlineStr">
        <is>
          <t>NF-e</t>
        </is>
      </c>
      <c r="D100" s="17" t="inlineStr">
        <is>
          <t>16028</t>
        </is>
      </c>
      <c r="E100" s="17" t="n"/>
      <c r="F100" s="6" t="inlineStr">
        <is>
          <t>RENOVAR INDUSTRIA E COMERCIO DE EMBALAGENS EIRELI</t>
        </is>
      </c>
      <c r="G100" s="17" t="n"/>
      <c r="H100" s="49" t="n">
        <v>29892.54</v>
      </c>
      <c r="I100" s="23" t="n"/>
      <c r="J100" s="31" t="n">
        <v>3268.43</v>
      </c>
    </row>
    <row r="101">
      <c r="A101" s="15" t="inlineStr">
        <is>
          <t>2026-01</t>
        </is>
      </c>
      <c r="B101" s="17" t="inlineStr">
        <is>
          <t>JAN26-P149</t>
        </is>
      </c>
      <c r="C101" s="17" t="inlineStr">
        <is>
          <t>NFCom</t>
        </is>
      </c>
      <c r="D101" s="17" t="inlineStr">
        <is>
          <t>213</t>
        </is>
      </c>
      <c r="E101" s="17" t="n"/>
      <c r="F101" s="6" t="inlineStr">
        <is>
          <t>DUO TELECOM LTDA</t>
        </is>
      </c>
      <c r="G101" s="17" t="n"/>
      <c r="H101" s="49" t="n">
        <v>300</v>
      </c>
      <c r="I101" s="23" t="n"/>
      <c r="J101" s="31" t="n">
        <v>0</v>
      </c>
    </row>
    <row r="102">
      <c r="A102" s="15" t="inlineStr">
        <is>
          <t>2026-01</t>
        </is>
      </c>
      <c r="B102" s="17" t="inlineStr">
        <is>
          <t>JAN26-P150</t>
        </is>
      </c>
      <c r="C102" s="17" t="inlineStr">
        <is>
          <t>NF-e</t>
        </is>
      </c>
      <c r="D102" s="17" t="inlineStr">
        <is>
          <t>4834</t>
        </is>
      </c>
      <c r="E102" s="17" t="n"/>
      <c r="F102" s="6" t="inlineStr">
        <is>
          <t>ELITE PECAS E MAQUINAS LTDA</t>
        </is>
      </c>
      <c r="G102" s="17" t="n"/>
      <c r="H102" s="49" t="n">
        <v>1016.4</v>
      </c>
      <c r="I102" s="23" t="n"/>
      <c r="J102" s="31" t="n">
        <v>61.6</v>
      </c>
    </row>
    <row r="103">
      <c r="A103" s="15" t="inlineStr">
        <is>
          <t>2026-01</t>
        </is>
      </c>
      <c r="B103" s="17" t="inlineStr">
        <is>
          <t>JAN26-P153</t>
        </is>
      </c>
      <c r="C103" s="17" t="inlineStr">
        <is>
          <t>NFS-e</t>
        </is>
      </c>
      <c r="D103" s="17" t="inlineStr">
        <is>
          <t>221</t>
        </is>
      </c>
      <c r="E103" s="17" t="n"/>
      <c r="F103" s="6" t="inlineStr">
        <is>
          <t>VALORTOIICA MEERA) —_TOLABES.CACIGTES 3) DEAS. RCANDICLOANDO (RH GUNE DE CHIEUL DO MEGN RS) ALLY. (HK) VALOR DO HOON RS)</t>
        </is>
      </c>
      <c r="G103" s="17" t="n"/>
      <c r="H103" s="49" t="n">
        <v>35238.7</v>
      </c>
      <c r="I103" s="23" t="n"/>
      <c r="J103" s="31" t="n"/>
    </row>
    <row r="104">
      <c r="A104" s="15" t="inlineStr">
        <is>
          <t>2026-01</t>
        </is>
      </c>
      <c r="B104" s="17" t="inlineStr">
        <is>
          <t>JAN26-P154</t>
        </is>
      </c>
      <c r="C104" s="17" t="inlineStr">
        <is>
          <t>NFS-e</t>
        </is>
      </c>
      <c r="D104" s="17" t="inlineStr">
        <is>
          <t>3992/U</t>
        </is>
      </c>
      <c r="E104" s="17" t="n"/>
      <c r="F104" s="6" t="inlineStr">
        <is>
          <t>R F DAS B LEMOS - ME</t>
        </is>
      </c>
      <c r="G104" s="17" t="n"/>
      <c r="H104" s="49" t="n">
        <v>751.47</v>
      </c>
      <c r="I104" s="23" t="n"/>
      <c r="J104" s="31" t="n"/>
    </row>
    <row r="105">
      <c r="A105" s="15" t="inlineStr">
        <is>
          <t>2026-01</t>
        </is>
      </c>
      <c r="B105" s="17" t="inlineStr">
        <is>
          <t>JAN26-P156</t>
        </is>
      </c>
      <c r="C105" s="17" t="inlineStr">
        <is>
          <t>NFS-e</t>
        </is>
      </c>
      <c r="D105" s="17" t="inlineStr">
        <is>
          <t>3992/U</t>
        </is>
      </c>
      <c r="E105" s="17" t="n"/>
      <c r="F105" s="6" t="inlineStr">
        <is>
          <t>BEER WO REVES ORO MOO PAROLE MHRUNZOUDRAMLOTE AAR MEAL TREEAPRORASE OA077.60</t>
        </is>
      </c>
      <c r="G105" s="17" t="n"/>
      <c r="H105" s="49" t="n">
        <v>751.47</v>
      </c>
      <c r="I105" s="23" t="n"/>
      <c r="J105" s="31" t="n"/>
    </row>
    <row r="106">
      <c r="A106" s="15" t="inlineStr">
        <is>
          <t>2026-01</t>
        </is>
      </c>
      <c r="B106" s="17" t="inlineStr">
        <is>
          <t>JAN26-P157</t>
        </is>
      </c>
      <c r="C106" s="17" t="inlineStr">
        <is>
          <t>NFS-e</t>
        </is>
      </c>
      <c r="D106" s="17" t="inlineStr">
        <is>
          <t>154628/U</t>
        </is>
      </c>
      <c r="E106" s="17" t="n"/>
      <c r="F106" s="6" t="inlineStr">
        <is>
          <t>NATUS AMBIENTAL LTDA</t>
        </is>
      </c>
      <c r="G106" s="17" t="n"/>
      <c r="H106" s="49" t="n">
        <v>1265.53</v>
      </c>
      <c r="I106" s="23" t="n"/>
      <c r="J106" s="31" t="n"/>
    </row>
    <row r="107">
      <c r="A107" s="15" t="inlineStr">
        <is>
          <t>2026-01</t>
        </is>
      </c>
      <c r="B107" s="17" t="inlineStr">
        <is>
          <t>JAN26-P158</t>
        </is>
      </c>
      <c r="C107" s="17" t="inlineStr">
        <is>
          <t>NFS-e</t>
        </is>
      </c>
      <c r="D107" s="17" t="inlineStr">
        <is>
          <t>154627/U</t>
        </is>
      </c>
      <c r="E107" s="17" t="n"/>
      <c r="F107" s="6" t="inlineStr">
        <is>
          <t>NATUS AMBIENTAL LTDA</t>
        </is>
      </c>
      <c r="G107" s="17" t="n"/>
      <c r="H107" s="49" t="n">
        <v>250.57</v>
      </c>
      <c r="I107" s="23" t="n"/>
      <c r="J107" s="31" t="n"/>
    </row>
    <row r="108">
      <c r="A108" s="15" t="inlineStr">
        <is>
          <t>2026-01</t>
        </is>
      </c>
      <c r="B108" s="17" t="inlineStr">
        <is>
          <t>JAN26-P159</t>
        </is>
      </c>
      <c r="C108" s="17" t="inlineStr">
        <is>
          <t>NFS-e</t>
        </is>
      </c>
      <c r="D108" s="17" t="inlineStr">
        <is>
          <t>21</t>
        </is>
      </c>
      <c r="E108" s="17" t="n"/>
      <c r="F108" s="6" t="inlineStr">
        <is>
          <t>JORGE GUILHERME COSTA FERREIRA</t>
        </is>
      </c>
      <c r="G108" s="17" t="n"/>
      <c r="H108" s="49" t="n">
        <v>7000</v>
      </c>
      <c r="I108" s="23" t="n"/>
      <c r="J108" s="31" t="n"/>
    </row>
    <row r="109">
      <c r="A109" s="15" t="inlineStr">
        <is>
          <t>2026-01</t>
        </is>
      </c>
      <c r="B109" s="17" t="inlineStr">
        <is>
          <t>JAN26-P161</t>
        </is>
      </c>
      <c r="C109" s="17" t="inlineStr">
        <is>
          <t>NFCom</t>
        </is>
      </c>
      <c r="D109" s="17" t="inlineStr">
        <is>
          <t>21</t>
        </is>
      </c>
      <c r="E109" s="17" t="n"/>
      <c r="F109" s="6" t="inlineStr">
        <is>
          <t>AREA CONTRIBUTENTE: MENSAGENS PRIORITARIAS / AVISOS AO CONSUMIDOR .</t>
        </is>
      </c>
      <c r="G109" s="17" t="n"/>
      <c r="H109" s="49" t="n">
        <v>900</v>
      </c>
      <c r="I109" s="23" t="n"/>
      <c r="J109" s="31" t="n"/>
    </row>
    <row r="110">
      <c r="A110" s="15" t="inlineStr">
        <is>
          <t>2026-01</t>
        </is>
      </c>
      <c r="B110" s="17" t="inlineStr">
        <is>
          <t>JAN26-P165</t>
        </is>
      </c>
      <c r="C110" s="17" t="inlineStr">
        <is>
          <t>NFS-e</t>
        </is>
      </c>
      <c r="D110" s="17" t="inlineStr">
        <is>
          <t>167</t>
        </is>
      </c>
      <c r="E110" s="17" t="n"/>
      <c r="F110" s="6" t="inlineStr">
        <is>
          <t>FIXENGIODO 650M STAGE DO PREETADOR DO SANI PERA O SIMELENHECISNM EIN COPIA DO BIBWIGBE DO OS</t>
        </is>
      </c>
      <c r="G110" s="17" t="n"/>
      <c r="H110" s="49" t="n">
        <v>8175</v>
      </c>
      <c r="I110" s="23" t="n"/>
      <c r="J110" s="31" t="n"/>
    </row>
    <row r="111">
      <c r="A111" s="15" t="inlineStr">
        <is>
          <t>2026-01</t>
        </is>
      </c>
      <c r="B111" s="17" t="inlineStr">
        <is>
          <t>JAN26-P166</t>
        </is>
      </c>
      <c r="C111" s="17" t="inlineStr">
        <is>
          <t>NFS-e</t>
        </is>
      </c>
      <c r="D111" s="17" t="inlineStr">
        <is>
          <t>166</t>
        </is>
      </c>
      <c r="E111" s="17" t="n"/>
      <c r="F111" s="6" t="inlineStr">
        <is>
          <t>DALZEDOREDEENISABO — COMPETTINCTS = MIMOROFÉRIT ‘SSEENAC SA OS POND</t>
        </is>
      </c>
      <c r="G111" s="17" t="n"/>
      <c r="H111" s="49" t="n">
        <v>8175</v>
      </c>
      <c r="I111" s="23" t="n"/>
      <c r="J111" s="31" t="n"/>
    </row>
    <row r="112">
      <c r="A112" s="15" t="inlineStr">
        <is>
          <t>2026-01</t>
        </is>
      </c>
      <c r="B112" s="17" t="inlineStr">
        <is>
          <t>JAN26-P174</t>
        </is>
      </c>
      <c r="C112" s="17" t="inlineStr">
        <is>
          <t>NFS-e</t>
        </is>
      </c>
      <c r="D112" s="17" t="inlineStr">
        <is>
          <t>242/U</t>
        </is>
      </c>
      <c r="E112" s="17" t="n"/>
      <c r="F112" s="6" t="inlineStr">
        <is>
          <t>BOA VISTA AUTO ELETRICA LTDA</t>
        </is>
      </c>
      <c r="G112" s="17" t="n"/>
      <c r="H112" s="49" t="n">
        <v>1426</v>
      </c>
      <c r="I112" s="23" t="n"/>
      <c r="J112" s="31" t="n"/>
    </row>
    <row r="113">
      <c r="A113" s="15" t="inlineStr">
        <is>
          <t>2026-01</t>
        </is>
      </c>
      <c r="B113" s="17" t="inlineStr">
        <is>
          <t>JAN26-P199</t>
        </is>
      </c>
      <c r="C113" s="17" t="inlineStr">
        <is>
          <t>NFS-e</t>
        </is>
      </c>
      <c r="D113" s="17" t="inlineStr">
        <is>
          <t>9</t>
        </is>
      </c>
      <c r="E113" s="17" t="n"/>
      <c r="F113" s="6" t="inlineStr">
        <is>
          <t>SACK EXPLORACAO DE SALOES DE FESTAS, CENTRO DE CONVENCOES, ESCRITORIOS VIRTUNS. STANDS, QUADRAS ESPORTIVAS,ESTADIOS, GNASIOS,</t>
        </is>
      </c>
      <c r="G113" s="17" t="n"/>
      <c r="H113" s="49" t="n">
        <v>3000</v>
      </c>
      <c r="I113" s="23" t="n"/>
      <c r="J113" s="31" t="n"/>
    </row>
    <row r="114">
      <c r="A114" s="15" t="inlineStr">
        <is>
          <t>2026-01</t>
        </is>
      </c>
      <c r="B114" s="17" t="inlineStr">
        <is>
          <t>JAN26-P200</t>
        </is>
      </c>
      <c r="C114" s="17" t="inlineStr">
        <is>
          <t>NFS-e</t>
        </is>
      </c>
      <c r="D114" s="17" t="inlineStr">
        <is>
          <t>3</t>
        </is>
      </c>
      <c r="E114" s="17" t="n"/>
      <c r="F114" s="6" t="inlineStr">
        <is>
          <t>‘AORDE SANTEE ESCORT CONLONADE DEVCON CETERA (SON FEDO</t>
        </is>
      </c>
      <c r="G114" s="17" t="n"/>
      <c r="H114" s="49" t="n">
        <v>15662.93</v>
      </c>
      <c r="I114" s="23" t="n"/>
      <c r="J114" s="31" t="n"/>
    </row>
    <row r="115">
      <c r="A115" s="15" t="inlineStr">
        <is>
          <t>2026-01</t>
        </is>
      </c>
      <c r="B115" s="17" t="inlineStr">
        <is>
          <t>JAN26-P201</t>
        </is>
      </c>
      <c r="C115" s="17" t="inlineStr">
        <is>
          <t>NFS-e</t>
        </is>
      </c>
      <c r="D115" s="17" t="n"/>
      <c r="E115" s="17" t="n"/>
      <c r="F115" s="6" t="inlineStr">
        <is>
          <t>F'OE0 522 MICHELA MEDEIROS FRANCO MICHELAMEDEIROBZ3€2GMAILCOM</t>
        </is>
      </c>
      <c r="G115" s="17" t="n"/>
      <c r="H115" s="49" t="n"/>
      <c r="I115" s="23" t="n"/>
      <c r="J115" s="31" t="n"/>
    </row>
    <row r="116">
      <c r="A116" s="15" t="inlineStr">
        <is>
          <t>2026-01</t>
        </is>
      </c>
      <c r="B116" s="17" t="inlineStr">
        <is>
          <t>JAN26-P205</t>
        </is>
      </c>
      <c r="C116" s="17" t="inlineStr">
        <is>
          <t>NFS-e</t>
        </is>
      </c>
      <c r="D116" s="17" t="n"/>
      <c r="E116" s="17" t="n"/>
      <c r="F116" s="6" t="inlineStr">
        <is>
          <t>ERENDR SHO RNCRCO MOM SAND EXTREMA FENCES I ARAGL SRARES80</t>
        </is>
      </c>
      <c r="G116" s="17" t="n"/>
      <c r="H116" s="49" t="n">
        <v>75</v>
      </c>
      <c r="I116" s="23" t="n"/>
      <c r="J116" s="31" t="n"/>
    </row>
    <row r="117">
      <c r="A117" s="15" t="inlineStr">
        <is>
          <t>2026-01</t>
        </is>
      </c>
      <c r="B117" s="17" t="inlineStr">
        <is>
          <t>JAN26-P215</t>
        </is>
      </c>
      <c r="C117" s="17" t="inlineStr">
        <is>
          <t>NFS-e</t>
        </is>
      </c>
      <c r="D117" s="17" t="inlineStr">
        <is>
          <t>1706/U</t>
        </is>
      </c>
      <c r="E117" s="17" t="n"/>
      <c r="F117" s="6" t="inlineStr">
        <is>
          <t>MILMAQ METALURGICA E MANUTENCAO INDUSTRIAL LTDA - ME</t>
        </is>
      </c>
      <c r="G117" s="17" t="n"/>
      <c r="H117" s="49" t="n">
        <v>1500</v>
      </c>
      <c r="I117" s="23" t="n"/>
      <c r="J117" s="31" t="n"/>
    </row>
    <row r="118">
      <c r="A118" s="15" t="inlineStr">
        <is>
          <t>2026-01</t>
        </is>
      </c>
      <c r="B118" s="17" t="inlineStr">
        <is>
          <t>JAN26-P220</t>
        </is>
      </c>
      <c r="C118" s="17" t="inlineStr">
        <is>
          <t>NFS-e</t>
        </is>
      </c>
      <c r="D118" s="17" t="inlineStr">
        <is>
          <t>0</t>
        </is>
      </c>
      <c r="E118" s="17" t="n"/>
      <c r="F118" s="6" t="inlineStr">
        <is>
          <t>LOCAL DA PRESZAGDO DO SARVIGO AIA DA PRECTAGSO DO SERVIGO</t>
        </is>
      </c>
      <c r="G118" s="17" t="n"/>
      <c r="H118" s="49" t="n">
        <v>4000</v>
      </c>
      <c r="I118" s="23" t="n"/>
      <c r="J118" s="31" t="n"/>
    </row>
    <row r="119">
      <c r="A119" s="15" t="inlineStr">
        <is>
          <t>2026-01</t>
        </is>
      </c>
      <c r="B119" s="17" t="inlineStr">
        <is>
          <t>JAN26-P230</t>
        </is>
      </c>
      <c r="C119" s="17" t="inlineStr">
        <is>
          <t>NFS-e</t>
        </is>
      </c>
      <c r="D119" s="17" t="n"/>
      <c r="E119" s="17" t="n"/>
      <c r="F119" s="6" t="inlineStr">
        <is>
          <t>INTERMEDIARIO DO SERVIC NAO IDENTIACADO NA NFE'S.</t>
        </is>
      </c>
      <c r="G119" s="17" t="n"/>
      <c r="H119" s="49" t="n">
        <v>1708.72</v>
      </c>
      <c r="I119" s="23" t="n"/>
      <c r="J119" s="31" t="n"/>
    </row>
    <row r="120">
      <c r="A120" s="15" t="inlineStr">
        <is>
          <t>2026-01</t>
        </is>
      </c>
      <c r="B120" s="17" t="inlineStr">
        <is>
          <t>JAN26-P246</t>
        </is>
      </c>
      <c r="C120" s="17" t="inlineStr">
        <is>
          <t>NFS-e</t>
        </is>
      </c>
      <c r="D120" s="17" t="inlineStr">
        <is>
          <t>97351/U</t>
        </is>
      </c>
      <c r="E120" s="17" t="n"/>
      <c r="F120" s="6" t="inlineStr">
        <is>
          <t>CACIQUE PNEUS INDUSTRIA E COMERCIO LTDA</t>
        </is>
      </c>
      <c r="G120" s="17" t="n"/>
      <c r="H120" s="49" t="n">
        <v>2104.68</v>
      </c>
      <c r="I120" s="23" t="n"/>
      <c r="J120" s="31" t="n"/>
    </row>
    <row r="121">
      <c r="A121" s="15" t="inlineStr">
        <is>
          <t>2026-01</t>
        </is>
      </c>
      <c r="B121" s="17" t="inlineStr">
        <is>
          <t>JAN26-P247</t>
        </is>
      </c>
      <c r="C121" s="17" t="inlineStr">
        <is>
          <t>NFS-e</t>
        </is>
      </c>
      <c r="D121" s="17" t="inlineStr">
        <is>
          <t>35</t>
        </is>
      </c>
      <c r="E121" s="17" t="n"/>
      <c r="F121" s="6" t="inlineStr">
        <is>
          <t>MARCOS JOSE FONTANA HANUS</t>
        </is>
      </c>
      <c r="G121" s="17" t="n"/>
      <c r="H121" s="49" t="n">
        <v>440</v>
      </c>
      <c r="I121" s="23" t="n"/>
      <c r="J121" s="31" t="n"/>
    </row>
    <row r="122">
      <c r="A122" s="15" t="inlineStr">
        <is>
          <t>2026-01</t>
        </is>
      </c>
      <c r="B122" s="17" t="inlineStr">
        <is>
          <t>JAN26-P249</t>
        </is>
      </c>
      <c r="C122" s="17" t="inlineStr">
        <is>
          <t>NFS-e</t>
        </is>
      </c>
      <c r="D122" s="17" t="inlineStr">
        <is>
          <t>382/U</t>
        </is>
      </c>
      <c r="E122" s="17" t="n"/>
      <c r="F122" s="6" t="inlineStr">
        <is>
          <t>FRANCISCO DAS CHAGAS BISPO DE ARAUJO JUNIOR</t>
        </is>
      </c>
      <c r="G122" s="17" t="n"/>
      <c r="H122" s="49" t="n">
        <v>14000</v>
      </c>
      <c r="I122" s="23" t="n"/>
      <c r="J122" s="31" t="n"/>
    </row>
    <row r="123">
      <c r="A123" s="15" t="inlineStr">
        <is>
          <t>2026-01</t>
        </is>
      </c>
      <c r="B123" s="17" t="inlineStr">
        <is>
          <t>JAN26-P250</t>
        </is>
      </c>
      <c r="C123" s="17" t="inlineStr">
        <is>
          <t>NFS-e</t>
        </is>
      </c>
      <c r="D123" s="17" t="inlineStr">
        <is>
          <t>383/U</t>
        </is>
      </c>
      <c r="E123" s="17" t="n"/>
      <c r="F123" s="6" t="inlineStr">
        <is>
          <t>FRANCISCO DAS CHAGAS BISPO DE ARAUJO JUNIOR</t>
        </is>
      </c>
      <c r="G123" s="17" t="n"/>
      <c r="H123" s="49" t="n">
        <v>800</v>
      </c>
      <c r="I123" s="23" t="n"/>
      <c r="J123" s="31" t="n"/>
    </row>
    <row r="124">
      <c r="A124" s="15" t="inlineStr">
        <is>
          <t>2026-01</t>
        </is>
      </c>
      <c r="B124" s="17" t="inlineStr">
        <is>
          <t>JAN26-P251</t>
        </is>
      </c>
      <c r="C124" s="17" t="inlineStr">
        <is>
          <t>NFS-e</t>
        </is>
      </c>
      <c r="D124" s="17" t="inlineStr">
        <is>
          <t>26589/U</t>
        </is>
      </c>
      <c r="E124" s="17" t="n"/>
      <c r="F124" s="6" t="inlineStr">
        <is>
          <t>ATHOS MED SERVICOS EM SAUDE - LTDA</t>
        </is>
      </c>
      <c r="G124" s="17" t="n"/>
      <c r="H124" s="49" t="n">
        <v>5922</v>
      </c>
      <c r="I124" s="23" t="n"/>
      <c r="J124" s="31" t="n"/>
    </row>
    <row r="125">
      <c r="A125" s="15" t="inlineStr">
        <is>
          <t>2026-01</t>
        </is>
      </c>
      <c r="B125" s="17" t="inlineStr">
        <is>
          <t>JAN26-P253</t>
        </is>
      </c>
      <c r="C125" s="17" t="inlineStr">
        <is>
          <t>NFS-e</t>
        </is>
      </c>
      <c r="D125" s="17" t="inlineStr">
        <is>
          <t>23</t>
        </is>
      </c>
      <c r="E125" s="17" t="n"/>
      <c r="F125" s="6" t="inlineStr">
        <is>
          <t>MARCOS JOSE FONTANA HANUS</t>
        </is>
      </c>
      <c r="G125" s="17" t="n"/>
      <c r="H125" s="49" t="n">
        <v>440</v>
      </c>
      <c r="I125" s="23" t="n"/>
      <c r="J125" s="31" t="n"/>
    </row>
    <row r="126">
      <c r="A126" s="15" t="inlineStr">
        <is>
          <t>2026-01</t>
        </is>
      </c>
      <c r="B126" s="17" t="inlineStr">
        <is>
          <t>JAN26-P264</t>
        </is>
      </c>
      <c r="C126" s="17" t="inlineStr">
        <is>
          <t>NFS-e</t>
        </is>
      </c>
      <c r="D126" s="17" t="inlineStr">
        <is>
          <t>4</t>
        </is>
      </c>
      <c r="E126" s="17" t="n"/>
      <c r="F126" s="6" t="inlineStr">
        <is>
          <t>G R DE MORAES CONSTRUCOES</t>
        </is>
      </c>
      <c r="G126" s="17" t="n"/>
      <c r="H126" s="49" t="n">
        <v>40000</v>
      </c>
      <c r="I126" s="23" t="n"/>
      <c r="J126" s="31" t="n"/>
    </row>
    <row r="127">
      <c r="A127" s="15" t="inlineStr">
        <is>
          <t>2026-01</t>
        </is>
      </c>
      <c r="B127" s="17" t="inlineStr">
        <is>
          <t>JAN26-P271</t>
        </is>
      </c>
      <c r="C127" s="17" t="inlineStr">
        <is>
          <t>NFS-e</t>
        </is>
      </c>
      <c r="D127" s="17" t="inlineStr">
        <is>
          <t>1204/U</t>
        </is>
      </c>
      <c r="E127" s="17" t="n"/>
      <c r="F127" s="6" t="inlineStr">
        <is>
          <t>MARINA NAYARA FLORES GUIMARAES - ME</t>
        </is>
      </c>
      <c r="G127" s="17" t="n"/>
      <c r="H127" s="49" t="n">
        <v>300</v>
      </c>
      <c r="I127" s="23" t="n"/>
      <c r="J127" s="31" t="n"/>
    </row>
    <row r="128">
      <c r="A128" s="15" t="inlineStr">
        <is>
          <t>2026-01</t>
        </is>
      </c>
      <c r="B128" s="17" t="inlineStr">
        <is>
          <t>JAN26-P272</t>
        </is>
      </c>
      <c r="C128" s="17" t="inlineStr">
        <is>
          <t>NFS-e</t>
        </is>
      </c>
      <c r="D128" s="17" t="inlineStr">
        <is>
          <t>1203/U</t>
        </is>
      </c>
      <c r="E128" s="17" t="n"/>
      <c r="F128" s="6" t="inlineStr">
        <is>
          <t>MARINA NAYARA FLORES GUIMARAES - ME</t>
        </is>
      </c>
      <c r="G128" s="17" t="n"/>
      <c r="H128" s="49" t="n">
        <v>180</v>
      </c>
      <c r="I128" s="23" t="n"/>
      <c r="J128" s="31" t="n"/>
    </row>
    <row r="129">
      <c r="A129" s="15" t="inlineStr">
        <is>
          <t>2026-01</t>
        </is>
      </c>
      <c r="B129" s="17" t="inlineStr">
        <is>
          <t>JAN26-P291</t>
        </is>
      </c>
      <c r="C129" s="17" t="inlineStr">
        <is>
          <t>NFS-e</t>
        </is>
      </c>
      <c r="D129" s="17" t="inlineStr">
        <is>
          <t>3475/U</t>
        </is>
      </c>
      <c r="E129" s="17" t="n"/>
      <c r="F129" s="6" t="inlineStr">
        <is>
          <t>J E SILVA LIMA - ME</t>
        </is>
      </c>
      <c r="G129" s="17" t="n"/>
      <c r="H129" s="49" t="n">
        <v>3258</v>
      </c>
      <c r="I129" s="23" t="n"/>
      <c r="J129" s="31" t="n"/>
    </row>
    <row r="130">
      <c r="A130" s="15" t="inlineStr">
        <is>
          <t>2026-01</t>
        </is>
      </c>
      <c r="B130" s="17" t="inlineStr">
        <is>
          <t>JAN26-P292</t>
        </is>
      </c>
      <c r="C130" s="17" t="inlineStr">
        <is>
          <t>NFS-e</t>
        </is>
      </c>
      <c r="D130" s="17" t="inlineStr">
        <is>
          <t>1087/U</t>
        </is>
      </c>
      <c r="E130" s="17" t="n"/>
      <c r="F130" s="6" t="inlineStr">
        <is>
          <t>A LUIZ NETO LTDA</t>
        </is>
      </c>
      <c r="G130" s="17" t="n"/>
      <c r="H130" s="49" t="n">
        <v>1500</v>
      </c>
      <c r="I130" s="23" t="n"/>
      <c r="J130" s="31" t="n"/>
    </row>
    <row r="131">
      <c r="A131" s="15" t="inlineStr">
        <is>
          <t>2026-01</t>
        </is>
      </c>
      <c r="B131" s="17" t="inlineStr">
        <is>
          <t>JAN26-P294</t>
        </is>
      </c>
      <c r="C131" s="17" t="inlineStr">
        <is>
          <t>NFS-e</t>
        </is>
      </c>
      <c r="D131" s="17" t="inlineStr">
        <is>
          <t>71/U</t>
        </is>
      </c>
      <c r="E131" s="17" t="n"/>
      <c r="F131" s="6" t="inlineStr">
        <is>
          <t>M H F SANTOS AUTOPECAS</t>
        </is>
      </c>
      <c r="G131" s="17" t="n"/>
      <c r="H131" s="49" t="n">
        <v>120</v>
      </c>
      <c r="I131" s="23" t="n"/>
      <c r="J131" s="31" t="n"/>
    </row>
    <row r="132">
      <c r="A132" s="15" t="inlineStr">
        <is>
          <t>2026-01</t>
        </is>
      </c>
      <c r="B132" s="17" t="inlineStr">
        <is>
          <t>JAN26-P295</t>
        </is>
      </c>
      <c r="C132" s="17" t="inlineStr">
        <is>
          <t>NFS-e</t>
        </is>
      </c>
      <c r="D132" s="17" t="inlineStr">
        <is>
          <t>240/U</t>
        </is>
      </c>
      <c r="E132" s="17" t="n"/>
      <c r="F132" s="6" t="inlineStr">
        <is>
          <t>BOA VISTA AUTO ELETRICA LTDA</t>
        </is>
      </c>
      <c r="G132" s="17" t="n"/>
      <c r="H132" s="49" t="n">
        <v>685</v>
      </c>
      <c r="I132" s="23" t="n"/>
      <c r="J132" s="31" t="n"/>
    </row>
    <row r="133">
      <c r="A133" s="15" t="inlineStr">
        <is>
          <t>2026-01</t>
        </is>
      </c>
      <c r="B133" s="17" t="inlineStr">
        <is>
          <t>JAN26-P299</t>
        </is>
      </c>
      <c r="C133" s="17" t="inlineStr">
        <is>
          <t>NFS-e</t>
        </is>
      </c>
      <c r="D133" s="17" t="inlineStr">
        <is>
          <t>115/U</t>
        </is>
      </c>
      <c r="E133" s="17" t="n"/>
      <c r="F133" s="6" t="inlineStr">
        <is>
          <t>J K B FIALHO LTDA</t>
        </is>
      </c>
      <c r="G133" s="17" t="n"/>
      <c r="H133" s="49" t="n">
        <v>3000</v>
      </c>
      <c r="I133" s="23" t="n"/>
      <c r="J133" s="31" t="n"/>
    </row>
    <row r="134">
      <c r="A134" s="15" t="inlineStr">
        <is>
          <t>2026-08</t>
        </is>
      </c>
      <c r="B134" s="17" t="inlineStr">
        <is>
          <t>D001</t>
        </is>
      </c>
      <c r="C134" s="17" t="inlineStr">
        <is>
          <t>NFS-e</t>
        </is>
      </c>
      <c r="D134" s="17" t="inlineStr">
        <is>
          <t>626733</t>
        </is>
      </c>
      <c r="E134" s="17" t="inlineStr">
        <is>
          <t>SKAL /0001</t>
        </is>
      </c>
      <c r="F134" s="6" t="inlineStr">
        <is>
          <t>CONNECT INFORMACOES E TECNOLOGIA SA</t>
        </is>
      </c>
      <c r="G134" s="17" t="inlineStr">
        <is>
          <t>00.850.820/0001-72</t>
        </is>
      </c>
      <c r="H134" s="49" t="n">
        <v>2318.69</v>
      </c>
      <c r="I134" s="23" t="n"/>
      <c r="J134" s="31" t="n">
        <v>0</v>
      </c>
    </row>
    <row r="135">
      <c r="A135" s="15" t="inlineStr">
        <is>
          <t>2026-08</t>
        </is>
      </c>
      <c r="B135" s="17" t="inlineStr">
        <is>
          <t>D002</t>
        </is>
      </c>
      <c r="C135" s="17" t="inlineStr">
        <is>
          <t>DPS</t>
        </is>
      </c>
      <c r="D135" s="17" t="inlineStr">
        <is>
          <t>9</t>
        </is>
      </c>
      <c r="E135" s="17" t="inlineStr">
        <is>
          <t>SKAL /0002</t>
        </is>
      </c>
      <c r="F135" s="6" t="inlineStr">
        <is>
          <t>JOSIMAR INOCENCIO DE MORAIS - ME</t>
        </is>
      </c>
      <c r="G135" s="17" t="inlineStr">
        <is>
          <t>02.950.057/0001-87</t>
        </is>
      </c>
      <c r="H135" s="49" t="n">
        <v>16600</v>
      </c>
      <c r="I135" s="23" t="n"/>
      <c r="J135" s="31" t="n">
        <v>0</v>
      </c>
    </row>
    <row r="136">
      <c r="A136" s="15" t="inlineStr">
        <is>
          <t>2026-08</t>
        </is>
      </c>
      <c r="B136" s="17" t="inlineStr">
        <is>
          <t>D003</t>
        </is>
      </c>
      <c r="C136" s="17" t="inlineStr">
        <is>
          <t>NFS-e</t>
        </is>
      </c>
      <c r="D136" s="17" t="inlineStr">
        <is>
          <t>626731</t>
        </is>
      </c>
      <c r="E136" s="17" t="inlineStr">
        <is>
          <t>KALFIX /0001</t>
        </is>
      </c>
      <c r="F136" s="6" t="inlineStr">
        <is>
          <t>CONNECT INFORMACOES E TECNOLOGIA SA</t>
        </is>
      </c>
      <c r="G136" s="17" t="inlineStr">
        <is>
          <t>00.850.820/0001-72</t>
        </is>
      </c>
      <c r="H136" s="49" t="n">
        <v>183.19</v>
      </c>
      <c r="I136" s="23" t="n"/>
      <c r="J136" s="31" t="n">
        <v>0</v>
      </c>
    </row>
    <row r="137">
      <c r="A137" s="15" t="inlineStr">
        <is>
          <t>2026-08</t>
        </is>
      </c>
      <c r="B137" s="17" t="inlineStr">
        <is>
          <t>D004</t>
        </is>
      </c>
      <c r="C137" s="17" t="inlineStr">
        <is>
          <t>NFS-e</t>
        </is>
      </c>
      <c r="D137" s="17" t="inlineStr">
        <is>
          <t>787</t>
        </is>
      </c>
      <c r="E137" s="17" t="inlineStr">
        <is>
          <t>SKAL /0002</t>
        </is>
      </c>
      <c r="F137" s="6" t="inlineStr">
        <is>
          <t>EDWARD MOURA SOCIEDADE INDIVIDUAL DE ADVOCACIA</t>
        </is>
      </c>
      <c r="G137" s="17" t="inlineStr">
        <is>
          <t>09.244.087/0001-17</t>
        </is>
      </c>
      <c r="H137" s="49" t="n">
        <v>4075</v>
      </c>
      <c r="I137" s="23" t="n"/>
      <c r="J137" s="31" t="n">
        <v>0</v>
      </c>
    </row>
    <row r="138">
      <c r="A138" s="15" t="inlineStr">
        <is>
          <t>2026-08</t>
        </is>
      </c>
      <c r="B138" s="17" t="inlineStr">
        <is>
          <t>D005</t>
        </is>
      </c>
      <c r="C138" s="17" t="inlineStr">
        <is>
          <t>NF-e</t>
        </is>
      </c>
      <c r="D138" s="17" t="inlineStr">
        <is>
          <t>161081</t>
        </is>
      </c>
      <c r="E138" s="17" t="inlineStr">
        <is>
          <t>SKAL /0002</t>
        </is>
      </c>
      <c r="F138" s="6" t="inlineStr">
        <is>
          <t>MATRIX COMERCIALIZADORA DE ENERGIA ELETRICA S/A</t>
        </is>
      </c>
      <c r="G138" s="17" t="inlineStr">
        <is>
          <t>17.858.631/0001-49</t>
        </is>
      </c>
      <c r="H138" s="49" t="n">
        <v>9979.030000000001</v>
      </c>
      <c r="I138" s="23" t="n">
        <v>0</v>
      </c>
      <c r="J138" s="31" t="n">
        <v>0</v>
      </c>
    </row>
    <row r="139">
      <c r="A139" s="15" t="inlineStr">
        <is>
          <t>2026-08</t>
        </is>
      </c>
      <c r="B139" s="17" t="inlineStr">
        <is>
          <t>D006</t>
        </is>
      </c>
      <c r="C139" s="17" t="inlineStr">
        <is>
          <t>Nota de Débito</t>
        </is>
      </c>
      <c r="D139" s="17" t="inlineStr">
        <is>
          <t>8697</t>
        </is>
      </c>
      <c r="E139" s="17" t="inlineStr">
        <is>
          <t>SKAL /0002</t>
        </is>
      </c>
      <c r="F139" s="6" t="inlineStr">
        <is>
          <t>MATRIX COMERCIALIZADORA DE ENERGIA ELETRICA S/A</t>
        </is>
      </c>
      <c r="G139" s="17" t="inlineStr">
        <is>
          <t>17.858.631/0001-49</t>
        </is>
      </c>
      <c r="H139" s="49" t="n">
        <v>149.05</v>
      </c>
      <c r="I139" s="23" t="n"/>
      <c r="J139" s="31" t="n">
        <v>0</v>
      </c>
    </row>
    <row r="140">
      <c r="A140" s="15" t="inlineStr">
        <is>
          <t>2026-08</t>
        </is>
      </c>
      <c r="B140" s="17" t="inlineStr">
        <is>
          <t>D007</t>
        </is>
      </c>
      <c r="C140" s="17" t="inlineStr">
        <is>
          <t>NFS-e</t>
        </is>
      </c>
      <c r="D140" s="17" t="inlineStr">
        <is>
          <t>472</t>
        </is>
      </c>
      <c r="E140" s="17" t="inlineStr">
        <is>
          <t>SKAL /0002</t>
        </is>
      </c>
      <c r="F140" s="6" t="inlineStr">
        <is>
          <t>AGUIA EXPRESS RH PRESTADORA DE SERVICOS EIRELI EPP</t>
        </is>
      </c>
      <c r="G140" s="17" t="inlineStr">
        <is>
          <t>18.787.111/0001-55</t>
        </is>
      </c>
      <c r="H140" s="49" t="n">
        <v>450</v>
      </c>
      <c r="I140" s="23" t="n"/>
      <c r="J140" s="31" t="n">
        <v>0</v>
      </c>
    </row>
    <row r="141">
      <c r="A141" s="15" t="inlineStr">
        <is>
          <t>2026-08</t>
        </is>
      </c>
      <c r="B141" s="17" t="inlineStr">
        <is>
          <t>D008</t>
        </is>
      </c>
      <c r="C141" s="17" t="inlineStr">
        <is>
          <t>NFS-e</t>
        </is>
      </c>
      <c r="D141" s="17" t="inlineStr">
        <is>
          <t>220</t>
        </is>
      </c>
      <c r="E141" s="17" t="inlineStr">
        <is>
          <t>SKAL /0002</t>
        </is>
      </c>
      <c r="F141" s="6" t="inlineStr">
        <is>
          <t>FENIX PRESTADORA DE SERVICOS LTDA</t>
        </is>
      </c>
      <c r="G141" s="17" t="inlineStr">
        <is>
          <t>51.998.593/0001-68</t>
        </is>
      </c>
      <c r="H141" s="49" t="n">
        <v>35000</v>
      </c>
      <c r="I141" s="23" t="n"/>
      <c r="J141" s="31" t="n">
        <v>0</v>
      </c>
    </row>
    <row r="142">
      <c r="A142" s="15" t="inlineStr">
        <is>
          <t>2026-08</t>
        </is>
      </c>
      <c r="B142" s="17" t="inlineStr">
        <is>
          <t>D009</t>
        </is>
      </c>
      <c r="C142" s="17" t="inlineStr">
        <is>
          <t>CT-e</t>
        </is>
      </c>
      <c r="D142" s="17" t="inlineStr">
        <is>
          <t>845</t>
        </is>
      </c>
      <c r="E142" s="17" t="inlineStr">
        <is>
          <t>SKAL /0002</t>
        </is>
      </c>
      <c r="F142" s="6" t="inlineStr">
        <is>
          <t>F G INTELIGENCIA EM LOGISTICA LTDA</t>
        </is>
      </c>
      <c r="G142" s="17" t="inlineStr">
        <is>
          <t>42.709.787/0003-77</t>
        </is>
      </c>
      <c r="H142" s="49" t="n">
        <v>12530.1</v>
      </c>
      <c r="I142" s="23" t="n">
        <v>0.12</v>
      </c>
      <c r="J142" s="31" t="n">
        <v>1503.61</v>
      </c>
    </row>
    <row r="143">
      <c r="A143" s="15" t="inlineStr">
        <is>
          <t>2026-08</t>
        </is>
      </c>
      <c r="B143" s="17" t="inlineStr">
        <is>
          <t>D010</t>
        </is>
      </c>
      <c r="C143" s="17" t="inlineStr">
        <is>
          <t>CT-e</t>
        </is>
      </c>
      <c r="D143" s="17" t="inlineStr">
        <is>
          <t>842</t>
        </is>
      </c>
      <c r="E143" s="17" t="inlineStr">
        <is>
          <t>SKAL /0002</t>
        </is>
      </c>
      <c r="F143" s="6" t="inlineStr">
        <is>
          <t>F G INTELIGENCIA EM LOGISTICA LTDA</t>
        </is>
      </c>
      <c r="G143" s="17" t="inlineStr">
        <is>
          <t>42.709.787/0003-77</t>
        </is>
      </c>
      <c r="H143" s="49" t="n">
        <v>12437.7</v>
      </c>
      <c r="I143" s="23" t="n">
        <v>0.12</v>
      </c>
      <c r="J143" s="31" t="n">
        <v>1492.52</v>
      </c>
    </row>
    <row r="144">
      <c r="A144" s="15" t="inlineStr">
        <is>
          <t>2026-08</t>
        </is>
      </c>
      <c r="B144" s="17" t="inlineStr">
        <is>
          <t>D011</t>
        </is>
      </c>
      <c r="C144" s="17" t="inlineStr">
        <is>
          <t>NF-e</t>
        </is>
      </c>
      <c r="D144" s="17" t="inlineStr">
        <is>
          <t>0557315</t>
        </is>
      </c>
      <c r="E144" s="17" t="inlineStr">
        <is>
          <t>SKAL /0002</t>
        </is>
      </c>
      <c r="F144" s="6" t="inlineStr">
        <is>
          <t>COMPANHIA INDUSTRIAL DE CIMENTO APODI</t>
        </is>
      </c>
      <c r="G144" s="17" t="inlineStr">
        <is>
          <t>10.260.249/0003-51</t>
        </is>
      </c>
      <c r="H144" s="49" t="n">
        <v>19174.85</v>
      </c>
      <c r="I144" s="23" t="n">
        <v>0.12</v>
      </c>
      <c r="J144" s="31" t="n">
        <v>2300.98</v>
      </c>
    </row>
    <row r="145">
      <c r="A145" s="15" t="inlineStr">
        <is>
          <t>2026-08</t>
        </is>
      </c>
      <c r="B145" s="17" t="inlineStr">
        <is>
          <t>D012</t>
        </is>
      </c>
      <c r="C145" s="17" t="inlineStr">
        <is>
          <t>NF-e</t>
        </is>
      </c>
      <c r="D145" s="17" t="inlineStr">
        <is>
          <t>0557177</t>
        </is>
      </c>
      <c r="E145" s="17" t="inlineStr">
        <is>
          <t>SKAL /0002</t>
        </is>
      </c>
      <c r="F145" s="6" t="inlineStr">
        <is>
          <t>COMPANHIA INDUSTRIAL DE CIMENTO APODI</t>
        </is>
      </c>
      <c r="G145" s="17" t="inlineStr">
        <is>
          <t>10.260.249/0003-51</t>
        </is>
      </c>
      <c r="H145" s="49" t="n">
        <v>19033.45</v>
      </c>
      <c r="I145" s="23" t="n">
        <v>0.12</v>
      </c>
      <c r="J145" s="31" t="n">
        <v>2284.01</v>
      </c>
    </row>
    <row r="146">
      <c r="A146" s="15" t="inlineStr">
        <is>
          <t>2026-08</t>
        </is>
      </c>
      <c r="B146" s="17" t="inlineStr">
        <is>
          <t>D013</t>
        </is>
      </c>
      <c r="C146" s="17" t="inlineStr">
        <is>
          <t>NFCom</t>
        </is>
      </c>
      <c r="D146" s="17" t="inlineStr">
        <is>
          <t>000000227</t>
        </is>
      </c>
      <c r="E146" s="17" t="inlineStr">
        <is>
          <t>SKAL /0002</t>
        </is>
      </c>
      <c r="F146" s="6" t="inlineStr">
        <is>
          <t>DUO OPERACOES PROTOS LTDA</t>
        </is>
      </c>
      <c r="G146" s="17" t="inlineStr">
        <is>
          <t>63.865.191/0001-74</t>
        </is>
      </c>
      <c r="H146" s="49" t="n">
        <v>1000</v>
      </c>
      <c r="I146" s="23" t="n">
        <v>0</v>
      </c>
      <c r="J146" s="31" t="n">
        <v>0</v>
      </c>
    </row>
    <row r="147">
      <c r="A147" s="15" t="inlineStr">
        <is>
          <t>2026-08</t>
        </is>
      </c>
      <c r="B147" s="17" t="inlineStr">
        <is>
          <t>D014</t>
        </is>
      </c>
      <c r="C147" s="17" t="inlineStr">
        <is>
          <t>NFCom</t>
        </is>
      </c>
      <c r="D147" s="17" t="inlineStr">
        <is>
          <t>000000226</t>
        </is>
      </c>
      <c r="E147" s="17" t="inlineStr">
        <is>
          <t>SKAL /0002</t>
        </is>
      </c>
      <c r="F147" s="6" t="inlineStr">
        <is>
          <t>DUO OPERACOES PROTOS LTDA</t>
        </is>
      </c>
      <c r="G147" s="17" t="inlineStr">
        <is>
          <t>63.865.191/0001-74</t>
        </is>
      </c>
      <c r="H147" s="49" t="n">
        <v>300</v>
      </c>
      <c r="I147" s="23" t="n">
        <v>0</v>
      </c>
      <c r="J147" s="31" t="n">
        <v>0</v>
      </c>
    </row>
    <row r="148">
      <c r="A148" s="15" t="inlineStr">
        <is>
          <t>2026-08</t>
        </is>
      </c>
      <c r="B148" s="17" t="inlineStr">
        <is>
          <t>D015</t>
        </is>
      </c>
      <c r="C148" s="17" t="inlineStr">
        <is>
          <t>NFS-e</t>
        </is>
      </c>
      <c r="D148" s="17" t="inlineStr">
        <is>
          <t>19</t>
        </is>
      </c>
      <c r="E148" s="17" t="inlineStr">
        <is>
          <t>SKAL /0002</t>
        </is>
      </c>
      <c r="F148" s="6" t="inlineStr">
        <is>
          <t>VALDIR RIBEIRO DE MELO ME</t>
        </is>
      </c>
      <c r="G148" s="17" t="inlineStr">
        <is>
          <t>28.399.452/0001-07</t>
        </is>
      </c>
      <c r="H148" s="49" t="n">
        <v>3750</v>
      </c>
      <c r="I148" s="23" t="n"/>
      <c r="J148" s="31" t="n">
        <v>0</v>
      </c>
    </row>
    <row r="149">
      <c r="A149" s="15" t="inlineStr">
        <is>
          <t>2026-08</t>
        </is>
      </c>
      <c r="B149" s="17" t="inlineStr">
        <is>
          <t>D016</t>
        </is>
      </c>
      <c r="C149" s="17" t="inlineStr">
        <is>
          <t>NFS-e</t>
        </is>
      </c>
      <c r="D149" s="17" t="inlineStr">
        <is>
          <t>29</t>
        </is>
      </c>
      <c r="E149" s="17" t="inlineStr">
        <is>
          <t>SKAL /0002</t>
        </is>
      </c>
      <c r="F149" s="6" t="inlineStr">
        <is>
          <t>JORGE GUILHERME COSTA FERREIRA</t>
        </is>
      </c>
      <c r="G149" s="17" t="inlineStr">
        <is>
          <t>24.870.571/0001-45</t>
        </is>
      </c>
      <c r="H149" s="49" t="n">
        <v>7000</v>
      </c>
      <c r="I149" s="23" t="n"/>
      <c r="J149" s="31" t="n">
        <v>0</v>
      </c>
    </row>
    <row r="150">
      <c r="A150" s="15" t="inlineStr">
        <is>
          <t>2026-08</t>
        </is>
      </c>
      <c r="B150" s="17" t="inlineStr">
        <is>
          <t>D017</t>
        </is>
      </c>
      <c r="C150" s="17" t="inlineStr">
        <is>
          <t>NF-e</t>
        </is>
      </c>
      <c r="D150" s="17" t="inlineStr">
        <is>
          <t>0557009</t>
        </is>
      </c>
      <c r="E150" s="17" t="inlineStr">
        <is>
          <t>SKAL /0002</t>
        </is>
      </c>
      <c r="F150" s="6" t="inlineStr">
        <is>
          <t>COMPANHIA INDUSTRIAL DE CIMENTO APODI</t>
        </is>
      </c>
      <c r="G150" s="17" t="inlineStr">
        <is>
          <t>10.260.249/0003-51</t>
        </is>
      </c>
      <c r="H150" s="49" t="n">
        <v>19230.4</v>
      </c>
      <c r="I150" s="23" t="n">
        <v>0.12</v>
      </c>
      <c r="J150" s="31" t="n">
        <v>2307.65</v>
      </c>
    </row>
    <row r="151">
      <c r="A151" s="15" t="inlineStr">
        <is>
          <t>2026-08</t>
        </is>
      </c>
      <c r="B151" s="17" t="inlineStr">
        <is>
          <t>D018</t>
        </is>
      </c>
      <c r="C151" s="17" t="inlineStr">
        <is>
          <t>NF-e</t>
        </is>
      </c>
      <c r="D151" s="17" t="inlineStr">
        <is>
          <t>000.004.462</t>
        </is>
      </c>
      <c r="E151" s="17" t="inlineStr">
        <is>
          <t>SKAL /0002</t>
        </is>
      </c>
      <c r="F151" s="6" t="inlineStr">
        <is>
          <t>CALCARIO CANTA GALO EXTRACAO E COMERCIO DE CALCARIO LTDA</t>
        </is>
      </c>
      <c r="G151" s="17" t="inlineStr">
        <is>
          <t>07.776.339/0002-04</t>
        </is>
      </c>
      <c r="H151" s="49" t="n">
        <v>4035</v>
      </c>
      <c r="I151" s="23" t="n">
        <v>0.12</v>
      </c>
      <c r="J151" s="31" t="n">
        <v>213.82</v>
      </c>
    </row>
    <row r="152">
      <c r="A152" s="15" t="inlineStr">
        <is>
          <t>2026-08</t>
        </is>
      </c>
      <c r="B152" s="17" t="inlineStr">
        <is>
          <t>D019</t>
        </is>
      </c>
      <c r="C152" s="17" t="inlineStr">
        <is>
          <t>CT-e</t>
        </is>
      </c>
      <c r="D152" s="17" t="inlineStr">
        <is>
          <t>839</t>
        </is>
      </c>
      <c r="E152" s="17" t="inlineStr">
        <is>
          <t>SKAL /0002</t>
        </is>
      </c>
      <c r="F152" s="6" t="inlineStr">
        <is>
          <t>F G INTELIGENCIA EM LOGISTICA LTDA</t>
        </is>
      </c>
      <c r="G152" s="17" t="inlineStr">
        <is>
          <t>42.709.787/0003-77</t>
        </is>
      </c>
      <c r="H152" s="49" t="n">
        <v>12566.4</v>
      </c>
      <c r="I152" s="23" t="n">
        <v>0.12</v>
      </c>
      <c r="J152" s="31" t="n">
        <v>1507.97</v>
      </c>
    </row>
    <row r="153">
      <c r="A153" s="15" t="inlineStr">
        <is>
          <t>2026-08</t>
        </is>
      </c>
      <c r="B153" s="17" t="inlineStr">
        <is>
          <t>D020</t>
        </is>
      </c>
      <c r="C153" s="17" t="inlineStr">
        <is>
          <t>NFS-e</t>
        </is>
      </c>
      <c r="D153" s="17" t="inlineStr">
        <is>
          <t>4591</t>
        </is>
      </c>
      <c r="E153" s="17" t="inlineStr">
        <is>
          <t>SKAL /0002</t>
        </is>
      </c>
      <c r="F153" s="6" t="inlineStr">
        <is>
          <t>K F DA S B LEMOS - ME</t>
        </is>
      </c>
      <c r="G153" s="17" t="inlineStr">
        <is>
          <t>08.877.746/0001-90</t>
        </is>
      </c>
      <c r="H153" s="49" t="n">
        <v>756.27</v>
      </c>
      <c r="I153" s="23" t="n"/>
      <c r="J153" s="31" t="n">
        <v>0</v>
      </c>
    </row>
    <row r="154">
      <c r="A154" s="15" t="inlineStr">
        <is>
          <t>2026-08</t>
        </is>
      </c>
      <c r="B154" s="17" t="inlineStr">
        <is>
          <t>D021</t>
        </is>
      </c>
      <c r="C154" s="17" t="inlineStr">
        <is>
          <t>NFS-e</t>
        </is>
      </c>
      <c r="D154" s="17" t="inlineStr">
        <is>
          <t>41</t>
        </is>
      </c>
      <c r="E154" s="17" t="inlineStr">
        <is>
          <t>SKAL /0002</t>
        </is>
      </c>
      <c r="F154" s="6" t="inlineStr">
        <is>
          <t>MOACIR GONCALVES PALMEIRA JUNIOR</t>
        </is>
      </c>
      <c r="G154" s="17" t="inlineStr">
        <is>
          <t>48.714.053/0001-09</t>
        </is>
      </c>
      <c r="H154" s="49" t="n">
        <v>3681</v>
      </c>
      <c r="I154" s="23" t="n"/>
      <c r="J154" s="31" t="n">
        <v>0</v>
      </c>
    </row>
    <row r="155">
      <c r="A155" s="15" t="inlineStr">
        <is>
          <t>2026-08</t>
        </is>
      </c>
      <c r="B155" s="17" t="inlineStr">
        <is>
          <t>D022</t>
        </is>
      </c>
      <c r="C155" s="17" t="inlineStr">
        <is>
          <t>NFS-e</t>
        </is>
      </c>
      <c r="D155" s="17" t="inlineStr">
        <is>
          <t>41</t>
        </is>
      </c>
      <c r="E155" s="17" t="inlineStr">
        <is>
          <t>KALFIX /0001</t>
        </is>
      </c>
      <c r="F155" s="6" t="inlineStr">
        <is>
          <t>CLAUDIANE DE ARAUJO MENDES CIPRIANO</t>
        </is>
      </c>
      <c r="G155" s="17" t="inlineStr">
        <is>
          <t>49.765.012/0001-04</t>
        </is>
      </c>
      <c r="H155" s="49" t="n">
        <v>3675.13</v>
      </c>
      <c r="I155" s="23" t="n"/>
      <c r="J155" s="31" t="n">
        <v>0</v>
      </c>
    </row>
    <row r="156">
      <c r="A156" s="15" t="inlineStr">
        <is>
          <t>2026-08</t>
        </is>
      </c>
      <c r="B156" s="17" t="inlineStr">
        <is>
          <t>D023</t>
        </is>
      </c>
      <c r="C156" s="17" t="inlineStr">
        <is>
          <t>NFS-e</t>
        </is>
      </c>
      <c r="D156" s="17" t="inlineStr">
        <is>
          <t>219</t>
        </is>
      </c>
      <c r="E156" s="17" t="inlineStr">
        <is>
          <t>SKAL /0002</t>
        </is>
      </c>
      <c r="F156" s="6" t="inlineStr">
        <is>
          <t>FENIX PRESTADORA DE SERVICOS LTDA</t>
        </is>
      </c>
      <c r="G156" s="17" t="inlineStr">
        <is>
          <t>51.998.593/0001-68</t>
        </is>
      </c>
      <c r="H156" s="49" t="n">
        <v>9000</v>
      </c>
      <c r="I156" s="23" t="n"/>
      <c r="J156" s="31" t="n">
        <v>0</v>
      </c>
    </row>
    <row r="157">
      <c r="A157" s="15" t="inlineStr">
        <is>
          <t>2026-08</t>
        </is>
      </c>
      <c r="B157" s="17" t="inlineStr">
        <is>
          <t>D024</t>
        </is>
      </c>
      <c r="C157" s="17" t="inlineStr">
        <is>
          <t>NFS-e</t>
        </is>
      </c>
      <c r="D157" s="17" t="inlineStr">
        <is>
          <t>218</t>
        </is>
      </c>
      <c r="E157" s="17" t="inlineStr">
        <is>
          <t>SKAL /0002</t>
        </is>
      </c>
      <c r="F157" s="6" t="inlineStr">
        <is>
          <t>FENIX PRESTADORA DE SERVICOS LTDA</t>
        </is>
      </c>
      <c r="G157" s="17" t="inlineStr">
        <is>
          <t>51.998.593/0001-68</t>
        </is>
      </c>
      <c r="H157" s="49" t="n">
        <v>9000</v>
      </c>
      <c r="I157" s="23" t="n"/>
      <c r="J157" s="31" t="n">
        <v>0</v>
      </c>
    </row>
    <row r="158">
      <c r="F158" s="64" t="inlineStr">
        <is>
          <t>TOTAL (soma bruta, inclui servicos/energia/frete)</t>
        </is>
      </c>
      <c r="H158" s="46">
        <f>SUM(H4:H157)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C55A11"/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4" customWidth="1" min="4" max="4"/>
    <col width="14" customWidth="1" min="5" max="5"/>
    <col width="30" customWidth="1" min="6" max="6"/>
    <col width="14" customWidth="1" min="7" max="7"/>
  </cols>
  <sheetData>
    <row r="1" ht="26" customHeight="1">
      <c r="A1" s="1" t="inlineStr">
        <is>
          <t>FRETES INBOUND (CT-e)</t>
        </is>
      </c>
    </row>
    <row r="2">
      <c r="A2" s="2" t="inlineStr">
        <is>
          <t>Fonte: 2026-01 (SKAL_Compras_2026-01_Extracao.xlsx), 2026-08 (SKAL_Compras_2026-08_Extracao.xlsx)</t>
        </is>
      </c>
    </row>
    <row r="3" ht="30" customHeight="1">
      <c r="A3" s="5" t="inlineStr">
        <is>
          <t>Mes</t>
        </is>
      </c>
      <c r="B3" s="5" t="inlineStr">
        <is>
          <t>CT-e</t>
        </is>
      </c>
      <c r="C3" s="5" t="inlineStr">
        <is>
          <t>Transportadora</t>
        </is>
      </c>
      <c r="D3" s="5" t="inlineStr">
        <is>
          <t>Origem</t>
        </is>
      </c>
      <c r="E3" s="5" t="inlineStr">
        <is>
          <t>Destino</t>
        </is>
      </c>
      <c r="F3" s="5" t="inlineStr">
        <is>
          <t>Remetente</t>
        </is>
      </c>
      <c r="G3" s="5" t="inlineStr">
        <is>
          <t>Valor R$</t>
        </is>
      </c>
    </row>
    <row r="4">
      <c r="A4" s="15" t="inlineStr">
        <is>
          <t>2026-01</t>
        </is>
      </c>
      <c r="B4" s="17" t="inlineStr">
        <is>
          <t>446</t>
        </is>
      </c>
      <c r="C4" s="6" t="inlineStr">
        <is>
          <t>F G INTELIGENCIA EM LOGISTICA LTDA</t>
        </is>
      </c>
      <c r="D4" s="17" t="n"/>
      <c r="E4" s="17" t="n"/>
      <c r="F4" s="6" t="inlineStr">
        <is>
          <t>COMPANHIA INDUSTRIAL DE CIMENTO APODI</t>
        </is>
      </c>
      <c r="G4" s="49" t="n">
        <v>11702.5</v>
      </c>
    </row>
    <row r="5">
      <c r="A5" s="15" t="inlineStr">
        <is>
          <t>2026-01</t>
        </is>
      </c>
      <c r="B5" s="17" t="inlineStr">
        <is>
          <t>445</t>
        </is>
      </c>
      <c r="C5" s="6" t="inlineStr">
        <is>
          <t>F G INTELIGENCIA EM LOGISTICA LTDA</t>
        </is>
      </c>
      <c r="D5" s="17" t="n"/>
      <c r="E5" s="17" t="n"/>
      <c r="F5" s="6" t="inlineStr">
        <is>
          <t>COMPANHIA INDUSTRIAL DE CIMENTO APODI</t>
        </is>
      </c>
      <c r="G5" s="49" t="n">
        <v>11838.9</v>
      </c>
    </row>
    <row r="6">
      <c r="A6" s="15" t="inlineStr">
        <is>
          <t>2026-01</t>
        </is>
      </c>
      <c r="B6" s="17" t="inlineStr">
        <is>
          <t>443</t>
        </is>
      </c>
      <c r="C6" s="6" t="inlineStr">
        <is>
          <t>F G INTELIGENCIA EM LOGISTICA LTDA</t>
        </is>
      </c>
      <c r="D6" s="17" t="n"/>
      <c r="E6" s="17" t="n"/>
      <c r="F6" s="6" t="inlineStr">
        <is>
          <t>COMPANHIA INDUSTRIAL DE CIMENTO APODI</t>
        </is>
      </c>
      <c r="G6" s="49" t="n">
        <v>11789.3</v>
      </c>
    </row>
    <row r="7">
      <c r="A7" s="15" t="inlineStr">
        <is>
          <t>2026-01</t>
        </is>
      </c>
      <c r="B7" s="17" t="n"/>
      <c r="C7" s="6" t="inlineStr">
        <is>
          <t>TRANS VNC TRANSPORTES EIRELI</t>
        </is>
      </c>
      <c r="D7" s="17" t="n"/>
      <c r="E7" s="17" t="n"/>
      <c r="F7" s="6" t="n"/>
      <c r="G7" s="49" t="n">
        <v>703</v>
      </c>
    </row>
    <row r="8">
      <c r="A8" s="15" t="inlineStr">
        <is>
          <t>2026-01</t>
        </is>
      </c>
      <c r="B8" s="17" t="inlineStr">
        <is>
          <t>438</t>
        </is>
      </c>
      <c r="C8" s="6" t="inlineStr">
        <is>
          <t>F G INTELIGENCIA EM LOGISTICA LTDA</t>
        </is>
      </c>
      <c r="D8" s="17" t="n"/>
      <c r="E8" s="17" t="n"/>
      <c r="F8" s="6" t="inlineStr">
        <is>
          <t>COMPANHIA INDUSTRIAL DE CIMENTO APODI</t>
        </is>
      </c>
      <c r="G8" s="49" t="n">
        <v>11141.4</v>
      </c>
    </row>
    <row r="9">
      <c r="A9" s="15" t="inlineStr">
        <is>
          <t>2026-01</t>
        </is>
      </c>
      <c r="B9" s="17" t="inlineStr">
        <is>
          <t>433</t>
        </is>
      </c>
      <c r="C9" s="6" t="inlineStr">
        <is>
          <t>F G INTELIGENCIA EM LOGISTICA LTDA</t>
        </is>
      </c>
      <c r="D9" s="17" t="n"/>
      <c r="E9" s="17" t="n"/>
      <c r="F9" s="6" t="inlineStr">
        <is>
          <t>COMPANHIA INDUSTRIAL DE CIMENTO APODI</t>
        </is>
      </c>
      <c r="G9" s="49" t="n">
        <v>11652.9</v>
      </c>
    </row>
    <row r="10">
      <c r="A10" s="15" t="inlineStr">
        <is>
          <t>2026-01</t>
        </is>
      </c>
      <c r="B10" s="17" t="inlineStr">
        <is>
          <t>431</t>
        </is>
      </c>
      <c r="C10" s="6" t="inlineStr">
        <is>
          <t>F G INTELIGENCIA EM LOGISTICA LTDA</t>
        </is>
      </c>
      <c r="D10" s="17" t="n"/>
      <c r="E10" s="17" t="n"/>
      <c r="F10" s="6" t="inlineStr">
        <is>
          <t>COMPANHIA INDUSTRIAL DE CIMENTO APODI</t>
        </is>
      </c>
      <c r="G10" s="49" t="n">
        <v>11718</v>
      </c>
    </row>
    <row r="11">
      <c r="A11" s="15" t="inlineStr">
        <is>
          <t>2026-01</t>
        </is>
      </c>
      <c r="B11" s="17" t="inlineStr">
        <is>
          <t>426</t>
        </is>
      </c>
      <c r="C11" s="6" t="inlineStr">
        <is>
          <t>F G INTELIGENCIA EM LOGISTICA LTDA</t>
        </is>
      </c>
      <c r="D11" s="17" t="n"/>
      <c r="E11" s="17" t="n"/>
      <c r="F11" s="6" t="inlineStr">
        <is>
          <t>COMPANHIA INDUSTRIAL DE CIMENTO APODI</t>
        </is>
      </c>
      <c r="G11" s="49" t="n">
        <v>11783.1</v>
      </c>
    </row>
    <row r="12">
      <c r="A12" s="15" t="inlineStr">
        <is>
          <t>2026-01</t>
        </is>
      </c>
      <c r="B12" s="17" t="inlineStr">
        <is>
          <t>421</t>
        </is>
      </c>
      <c r="C12" s="6" t="inlineStr">
        <is>
          <t>F G INTELIGENCIA EM LOGISTICA LTDA</t>
        </is>
      </c>
      <c r="D12" s="17" t="n"/>
      <c r="E12" s="17" t="n"/>
      <c r="F12" s="6" t="inlineStr">
        <is>
          <t>COMPANHIA INDUSTRIAL DE CIMENTO APODI</t>
        </is>
      </c>
      <c r="G12" s="49" t="n">
        <v>11662.2</v>
      </c>
    </row>
    <row r="13">
      <c r="A13" s="15" t="inlineStr">
        <is>
          <t>2026-01</t>
        </is>
      </c>
      <c r="B13" s="17" t="inlineStr">
        <is>
          <t>418</t>
        </is>
      </c>
      <c r="C13" s="6" t="inlineStr">
        <is>
          <t>F G INTELIGENCIA EM LOGISTICA LTDA</t>
        </is>
      </c>
      <c r="D13" s="17" t="n"/>
      <c r="E13" s="17" t="n"/>
      <c r="F13" s="6" t="inlineStr">
        <is>
          <t>COMPANHIA INDUSTRIAL DE CIMENTO APODI</t>
        </is>
      </c>
      <c r="G13" s="49" t="n">
        <v>11798.6</v>
      </c>
    </row>
    <row r="14">
      <c r="A14" s="15" t="inlineStr">
        <is>
          <t>2026-01</t>
        </is>
      </c>
      <c r="B14" s="17" t="inlineStr">
        <is>
          <t>409</t>
        </is>
      </c>
      <c r="C14" s="6" t="inlineStr">
        <is>
          <t>F G INTELIGENCIA EM LOGISTICA LTDA</t>
        </is>
      </c>
      <c r="D14" s="17" t="n"/>
      <c r="E14" s="17" t="n"/>
      <c r="F14" s="6" t="inlineStr">
        <is>
          <t>COMPANHIA INDUSTRIAL DE CIMENTO APODI</t>
        </is>
      </c>
      <c r="G14" s="49" t="n">
        <v>11683.9</v>
      </c>
    </row>
    <row r="15">
      <c r="A15" s="15" t="inlineStr">
        <is>
          <t>2026-01</t>
        </is>
      </c>
      <c r="B15" s="17" t="inlineStr">
        <is>
          <t>408</t>
        </is>
      </c>
      <c r="C15" s="6" t="inlineStr">
        <is>
          <t>F G INTELIGENCIA EM LOGISTICA LTDA</t>
        </is>
      </c>
      <c r="D15" s="17" t="n"/>
      <c r="E15" s="17" t="n"/>
      <c r="F15" s="6" t="inlineStr">
        <is>
          <t>COMPANHIA INDUSTRIAL DE CIMENTO APODI</t>
        </is>
      </c>
      <c r="G15" s="49" t="n">
        <v>11776.9</v>
      </c>
    </row>
    <row r="16">
      <c r="A16" s="15" t="inlineStr">
        <is>
          <t>2026-01</t>
        </is>
      </c>
      <c r="B16" s="17" t="inlineStr">
        <is>
          <t>407</t>
        </is>
      </c>
      <c r="C16" s="6" t="inlineStr">
        <is>
          <t>F G INTELIGENCIA EM LOGISTICA LTDA</t>
        </is>
      </c>
      <c r="D16" s="17" t="n"/>
      <c r="E16" s="17" t="n"/>
      <c r="F16" s="6" t="inlineStr">
        <is>
          <t>COMPANHIA INDUSTRIAL DE CIMENTO APODI</t>
        </is>
      </c>
      <c r="G16" s="49" t="n">
        <v>2307.5</v>
      </c>
    </row>
    <row r="17">
      <c r="A17" s="15" t="inlineStr">
        <is>
          <t>2026-01</t>
        </is>
      </c>
      <c r="B17" s="17" t="inlineStr">
        <is>
          <t>405</t>
        </is>
      </c>
      <c r="C17" s="6" t="inlineStr">
        <is>
          <t>F G INTELIGENCIA EM LOGISTICA LTDA</t>
        </is>
      </c>
      <c r="D17" s="17" t="n"/>
      <c r="E17" s="17" t="n"/>
      <c r="F17" s="6" t="inlineStr">
        <is>
          <t>COMPANHIA INDUSTRIAL DE CIMENTO APODI</t>
        </is>
      </c>
      <c r="G17" s="49" t="n">
        <v>11711.8</v>
      </c>
    </row>
    <row r="18">
      <c r="A18" s="15" t="inlineStr">
        <is>
          <t>2026-01</t>
        </is>
      </c>
      <c r="B18" s="17" t="inlineStr">
        <is>
          <t>401</t>
        </is>
      </c>
      <c r="C18" s="6" t="inlineStr">
        <is>
          <t>F G INTELIGENCIA EM LOGISTICA LTDA</t>
        </is>
      </c>
      <c r="D18" s="17" t="n"/>
      <c r="E18" s="17" t="n"/>
      <c r="F18" s="6" t="inlineStr">
        <is>
          <t>COMPANHIA INDUSTRIAL DE CIMENTO APODI</t>
        </is>
      </c>
      <c r="G18" s="49" t="n">
        <v>11764.5</v>
      </c>
    </row>
    <row r="19">
      <c r="A19" s="15" t="inlineStr">
        <is>
          <t>2026-01</t>
        </is>
      </c>
      <c r="B19" s="17" t="inlineStr">
        <is>
          <t>373</t>
        </is>
      </c>
      <c r="C19" s="6" t="inlineStr">
        <is>
          <t>F G INTELIGENCIA EM LOGISTICA LTDA</t>
        </is>
      </c>
      <c r="D19" s="17" t="n"/>
      <c r="E19" s="17" t="n"/>
      <c r="F19" s="6" t="inlineStr">
        <is>
          <t>COMPANHIA INDUSTRIAL DE CIMENTO APODI</t>
        </is>
      </c>
      <c r="G19" s="49" t="n">
        <v>11795.5</v>
      </c>
    </row>
    <row r="20">
      <c r="A20" s="15" t="inlineStr">
        <is>
          <t>2026-01</t>
        </is>
      </c>
      <c r="B20" s="17" t="inlineStr">
        <is>
          <t>376</t>
        </is>
      </c>
      <c r="C20" s="6" t="inlineStr">
        <is>
          <t>F G INTELIGENCIA EM LOGISTICA LTDA</t>
        </is>
      </c>
      <c r="D20" s="17" t="n"/>
      <c r="E20" s="17" t="n"/>
      <c r="F20" s="6" t="inlineStr">
        <is>
          <t>COMPANHIA INDUSTRIAL DE CIMENTO APODI</t>
        </is>
      </c>
      <c r="G20" s="49" t="n">
        <v>11687</v>
      </c>
    </row>
    <row r="21">
      <c r="A21" s="15" t="inlineStr">
        <is>
          <t>2026-01</t>
        </is>
      </c>
      <c r="B21" s="17" t="inlineStr">
        <is>
          <t>381</t>
        </is>
      </c>
      <c r="C21" s="6" t="inlineStr">
        <is>
          <t>F G INTELIGENCIA EM LOGISTICA LTDA</t>
        </is>
      </c>
      <c r="D21" s="17" t="n"/>
      <c r="E21" s="17" t="n"/>
      <c r="F21" s="6" t="inlineStr">
        <is>
          <t>COMPANHIA INDUSTRIAL DE CIMENTO APODI</t>
        </is>
      </c>
      <c r="G21" s="49" t="n">
        <v>11780</v>
      </c>
    </row>
    <row r="22">
      <c r="A22" s="15" t="inlineStr">
        <is>
          <t>2026-01</t>
        </is>
      </c>
      <c r="B22" s="17" t="inlineStr">
        <is>
          <t>383</t>
        </is>
      </c>
      <c r="C22" s="6" t="inlineStr">
        <is>
          <t>F G INTELIGENCIA EM LOGISTICA LTDA</t>
        </is>
      </c>
      <c r="D22" s="17" t="n"/>
      <c r="E22" s="17" t="n"/>
      <c r="F22" s="6" t="inlineStr">
        <is>
          <t>COMPANHIA INDUSTRIAL DE CIMENTO APODI</t>
        </is>
      </c>
      <c r="G22" s="49" t="n">
        <v>11383.2</v>
      </c>
    </row>
    <row r="23">
      <c r="A23" s="15" t="inlineStr">
        <is>
          <t>2026-01</t>
        </is>
      </c>
      <c r="B23" s="17" t="inlineStr">
        <is>
          <t>385</t>
        </is>
      </c>
      <c r="C23" s="6" t="inlineStr">
        <is>
          <t>F G INTELIGENCIA EM LOGISTICA LTDA</t>
        </is>
      </c>
      <c r="D23" s="17" t="n"/>
      <c r="E23" s="17" t="n"/>
      <c r="F23" s="6" t="inlineStr">
        <is>
          <t>COMPANHIA INDUSTRIAL DE CIMENTO APODI</t>
        </is>
      </c>
      <c r="G23" s="49" t="n">
        <v>11727.3</v>
      </c>
    </row>
    <row r="24">
      <c r="A24" s="15" t="inlineStr">
        <is>
          <t>2026-01</t>
        </is>
      </c>
      <c r="B24" s="17" t="inlineStr">
        <is>
          <t>389</t>
        </is>
      </c>
      <c r="C24" s="6" t="inlineStr">
        <is>
          <t>F G INTELIGENCIA EM LOGISTICA LTDA</t>
        </is>
      </c>
      <c r="D24" s="17" t="n"/>
      <c r="E24" s="17" t="n"/>
      <c r="F24" s="6" t="inlineStr">
        <is>
          <t>COMPANHIA INDUSTRIAL DE CIMENTO APODI</t>
        </is>
      </c>
      <c r="G24" s="49" t="n">
        <v>11612.6</v>
      </c>
    </row>
    <row r="25">
      <c r="A25" s="15" t="inlineStr">
        <is>
          <t>2026-01</t>
        </is>
      </c>
      <c r="B25" s="17" t="inlineStr">
        <is>
          <t>417</t>
        </is>
      </c>
      <c r="C25" s="6" t="inlineStr">
        <is>
          <t>F G INTELIGENCIA EM LOGISTICA LTDA</t>
        </is>
      </c>
      <c r="D25" s="17" t="n"/>
      <c r="E25" s="17" t="n"/>
      <c r="F25" s="6" t="inlineStr">
        <is>
          <t>COMPANHIA INDUSTRIAL DE CIMENTO APODI</t>
        </is>
      </c>
      <c r="G25" s="49" t="n">
        <v>11696.3</v>
      </c>
    </row>
    <row r="26">
      <c r="A26" s="15" t="inlineStr">
        <is>
          <t>2026-01</t>
        </is>
      </c>
      <c r="B26" s="17" t="inlineStr">
        <is>
          <t>411</t>
        </is>
      </c>
      <c r="C26" s="6" t="inlineStr">
        <is>
          <t>F G INTELIGENCIA EM LOGISTICA LTDA</t>
        </is>
      </c>
      <c r="D26" s="17" t="n"/>
      <c r="E26" s="17" t="n"/>
      <c r="F26" s="6" t="inlineStr">
        <is>
          <t>COMPANHIA INDUSTRIAL DE CIMENTO APODI</t>
        </is>
      </c>
      <c r="G26" s="49" t="n">
        <v>11724.2</v>
      </c>
    </row>
    <row r="27">
      <c r="A27" s="15" t="inlineStr">
        <is>
          <t>2026-01</t>
        </is>
      </c>
      <c r="B27" s="17" t="inlineStr">
        <is>
          <t>392</t>
        </is>
      </c>
      <c r="C27" s="6" t="inlineStr">
        <is>
          <t>F G INTELIGENCIA EM LOGISTICA LTDA</t>
        </is>
      </c>
      <c r="D27" s="17" t="n"/>
      <c r="E27" s="17" t="n"/>
      <c r="F27" s="6" t="inlineStr">
        <is>
          <t>COMPANHIA INDUSTRIAL DE CIMENTO APODI</t>
        </is>
      </c>
      <c r="G27" s="49" t="n">
        <v>11625</v>
      </c>
    </row>
    <row r="28">
      <c r="A28" s="15" t="inlineStr">
        <is>
          <t>2026-01</t>
        </is>
      </c>
      <c r="B28" s="17" t="inlineStr">
        <is>
          <t>393</t>
        </is>
      </c>
      <c r="C28" s="6" t="inlineStr">
        <is>
          <t>F G INTELIGENCIA EM LOGISTICA LTDA</t>
        </is>
      </c>
      <c r="D28" s="17" t="n"/>
      <c r="E28" s="17" t="n"/>
      <c r="F28" s="6" t="inlineStr">
        <is>
          <t>COMPANHIA INDUSTRIAL DE CIMENTO APODI</t>
        </is>
      </c>
      <c r="G28" s="49" t="n">
        <v>11770.7</v>
      </c>
    </row>
    <row r="29">
      <c r="A29" s="15" t="inlineStr">
        <is>
          <t>2026-01</t>
        </is>
      </c>
      <c r="B29" s="17" t="inlineStr">
        <is>
          <t>394</t>
        </is>
      </c>
      <c r="C29" s="6" t="inlineStr">
        <is>
          <t>F G INTELIGENCIA EM LOGISTICA LTDA</t>
        </is>
      </c>
      <c r="D29" s="17" t="n"/>
      <c r="E29" s="17" t="n"/>
      <c r="F29" s="6" t="inlineStr">
        <is>
          <t>COMPANHIA INDUSTRIAL DE CIMENTO APODI</t>
        </is>
      </c>
      <c r="G29" s="49" t="n">
        <v>11745.9</v>
      </c>
    </row>
    <row r="30">
      <c r="A30" s="15" t="inlineStr">
        <is>
          <t>2026-01</t>
        </is>
      </c>
      <c r="B30" s="17" t="inlineStr">
        <is>
          <t>396</t>
        </is>
      </c>
      <c r="C30" s="6" t="inlineStr">
        <is>
          <t>F G INTELIGENCIA EM LOGISTICA LTDA</t>
        </is>
      </c>
      <c r="D30" s="17" t="n"/>
      <c r="E30" s="17" t="n"/>
      <c r="F30" s="6" t="inlineStr">
        <is>
          <t>COMPANHIA INDUSTRIAL DE CIMENTO APODI</t>
        </is>
      </c>
      <c r="G30" s="49" t="n">
        <v>11804.8</v>
      </c>
    </row>
    <row r="31">
      <c r="A31" s="15" t="inlineStr">
        <is>
          <t>2026-01</t>
        </is>
      </c>
      <c r="B31" s="17" t="inlineStr">
        <is>
          <t>397</t>
        </is>
      </c>
      <c r="C31" s="6" t="inlineStr">
        <is>
          <t>F G INTELIGENCIA EM LOGISTICA LTDA</t>
        </is>
      </c>
      <c r="D31" s="17" t="n"/>
      <c r="E31" s="17" t="n"/>
      <c r="F31" s="6" t="inlineStr">
        <is>
          <t>COMPANHIA INDUSTRIAL DE CIMENTO APODI</t>
        </is>
      </c>
      <c r="G31" s="49" t="n">
        <v>11699.4</v>
      </c>
    </row>
    <row r="32">
      <c r="A32" s="15" t="inlineStr">
        <is>
          <t>2026-08</t>
        </is>
      </c>
      <c r="B32" s="17" t="inlineStr">
        <is>
          <t>839</t>
        </is>
      </c>
      <c r="C32" s="6" t="inlineStr">
        <is>
          <t>F G INTELIGENCIA EM LOGISTICA LTDA</t>
        </is>
      </c>
      <c r="D32" s="17" t="inlineStr">
        <is>
          <t>Quixeré/CE</t>
        </is>
      </c>
      <c r="E32" s="17" t="inlineStr">
        <is>
          <t>Teresina/PI</t>
        </is>
      </c>
      <c r="F32" s="6" t="inlineStr">
        <is>
          <t>COMPANHIA INDUSTRIAL DE CIMENTO APODI</t>
        </is>
      </c>
      <c r="G32" s="49" t="n">
        <v>12566.4</v>
      </c>
    </row>
    <row r="33">
      <c r="A33" s="15" t="inlineStr">
        <is>
          <t>2026-08</t>
        </is>
      </c>
      <c r="B33" s="17" t="inlineStr">
        <is>
          <t>842</t>
        </is>
      </c>
      <c r="C33" s="6" t="inlineStr">
        <is>
          <t>F G INTELIGENCIA EM LOGISTICA LTDA</t>
        </is>
      </c>
      <c r="D33" s="17" t="inlineStr">
        <is>
          <t>Quixeré/CE</t>
        </is>
      </c>
      <c r="E33" s="17" t="inlineStr">
        <is>
          <t>Teresina/PI</t>
        </is>
      </c>
      <c r="F33" s="6" t="inlineStr">
        <is>
          <t>COMPANHIA INDUSTRIAL DE CIMENTO APODI</t>
        </is>
      </c>
      <c r="G33" s="49" t="n">
        <v>12437.7</v>
      </c>
    </row>
    <row r="34">
      <c r="A34" s="15" t="inlineStr">
        <is>
          <t>2026-08</t>
        </is>
      </c>
      <c r="B34" s="17" t="inlineStr">
        <is>
          <t>845</t>
        </is>
      </c>
      <c r="C34" s="6" t="inlineStr">
        <is>
          <t>F G INTELIGENCIA EM LOGISTICA LTDA</t>
        </is>
      </c>
      <c r="D34" s="17" t="inlineStr">
        <is>
          <t>Quixeré/CE</t>
        </is>
      </c>
      <c r="E34" s="17" t="inlineStr">
        <is>
          <t>Teresina/PI</t>
        </is>
      </c>
      <c r="F34" s="6" t="inlineStr">
        <is>
          <t>COMPANHIA INDUSTRIAL DE CIMENTO APODI</t>
        </is>
      </c>
      <c r="G34" s="49" t="n">
        <v>12530.1</v>
      </c>
    </row>
    <row r="35">
      <c r="F35" s="64" t="inlineStr">
        <is>
          <t>TOTAL</t>
        </is>
      </c>
      <c r="G35" s="46">
        <f>SUM(G4:G34)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2026-08-18T23:19:39Z</dcterms:created>
  <dcterms:modified xsi:type="dcterms:W3CDTF">2026-08-18T23:19:41Z</dcterms:modified>
</cp:coreProperties>
</file>