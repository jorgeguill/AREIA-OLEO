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comments/comment11.xml" ContentType="application/vnd.openxmlformats-officedocument.spreadsheetml.comments+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Documentos" sheetId="2" state="visible" r:id="rId2"/>
    <sheet xmlns:r="http://schemas.openxmlformats.org/officeDocument/2006/relationships" name="Itens_Produtos" sheetId="3" state="visible" r:id="rId3"/>
    <sheet xmlns:r="http://schemas.openxmlformats.org/officeDocument/2006/relationships" name="Itens_Servicos" sheetId="4" state="visible" r:id="rId4"/>
    <sheet xmlns:r="http://schemas.openxmlformats.org/officeDocument/2006/relationships" name="Fretes_CTe" sheetId="5" state="visible" r:id="rId5"/>
    <sheet xmlns:r="http://schemas.openxmlformats.org/officeDocument/2006/relationships" name="Energia" sheetId="6" state="visible" r:id="rId6"/>
    <sheet xmlns:r="http://schemas.openxmlformats.org/officeDocument/2006/relationships" name="Tributos_por_Doc" sheetId="7" state="visible" r:id="rId7"/>
    <sheet xmlns:r="http://schemas.openxmlformats.org/officeDocument/2006/relationships" name="Apoio_Financeiro" sheetId="8" state="visible" r:id="rId8"/>
    <sheet xmlns:r="http://schemas.openxmlformats.org/officeDocument/2006/relationships" name="Fornecedores" sheetId="9" state="visible" r:id="rId9"/>
    <sheet xmlns:r="http://schemas.openxmlformats.org/officeDocument/2006/relationships" name="Duplicidades" sheetId="10" state="visible" r:id="rId10"/>
    <sheet xmlns:r="http://schemas.openxmlformats.org/officeDocument/2006/relationships" name="Controle_Paginas" sheetId="11" state="visible" r:id="rId11"/>
    <sheet xmlns:r="http://schemas.openxmlformats.org/officeDocument/2006/relationships" name="Workflow_Interno" sheetId="12" state="visible" r:id="rId12"/>
    <sheet xmlns:r="http://schemas.openxmlformats.org/officeDocument/2006/relationships" name="OCR_Raw" sheetId="13" state="visible" r:id="rId13"/>
  </sheets>
  <definedNames/>
  <calcPr calcId="124519" calcMode="auto" fullCalcOnLoad="1" forceFullCalc="1"/>
</workbook>
</file>

<file path=xl/styles.xml><?xml version="1.0" encoding="utf-8"?>
<styleSheet xmlns="http://schemas.openxmlformats.org/spreadsheetml/2006/main">
  <numFmts count="2">
    <numFmt numFmtId="164" formatCode="R$ #,##0.00;[Red](R$ #,##0.00);-"/>
    <numFmt numFmtId="165" formatCode="dd/mm/yyyy"/>
  </numFmts>
  <fonts count="10">
    <font>
      <name val="Calibri"/>
      <family val="2"/>
      <color theme="1"/>
      <sz val="11"/>
      <scheme val="minor"/>
    </font>
    <font>
      <b val="1"/>
      <color rgb="00FFFFFF"/>
      <sz val="15"/>
    </font>
    <font>
      <i val="1"/>
      <color rgb="00666666"/>
    </font>
    <font>
      <b val="1"/>
    </font>
    <font>
      <color rgb="00000000"/>
    </font>
    <font>
      <b val="1"/>
      <color rgb="00FFFFFF"/>
    </font>
    <font>
      <color rgb="00008000"/>
    </font>
    <font>
      <color rgb="00666666"/>
    </font>
    <font>
      <color rgb="00C65911"/>
    </font>
    <font>
      <color rgb="00C00000"/>
    </font>
  </fonts>
  <fills count="9">
    <fill>
      <patternFill/>
    </fill>
    <fill>
      <patternFill patternType="gray125"/>
    </fill>
    <fill>
      <patternFill patternType="solid">
        <fgColor rgb="0017365D"/>
      </patternFill>
    </fill>
    <fill>
      <patternFill patternType="solid">
        <fgColor rgb="00DDEBF7"/>
      </patternFill>
    </fill>
    <fill>
      <patternFill patternType="solid">
        <fgColor rgb="00FCE4D6"/>
      </patternFill>
    </fill>
    <fill>
      <patternFill patternType="solid">
        <fgColor rgb="00E7E6E6"/>
      </patternFill>
    </fill>
    <fill>
      <patternFill patternType="solid">
        <fgColor rgb="001F4E78"/>
      </patternFill>
    </fill>
    <fill>
      <patternFill patternType="solid">
        <fgColor rgb="00E2F0D9"/>
      </patternFill>
    </fill>
    <fill>
      <patternFill patternType="solid">
        <fgColor rgb="00F4CCCC"/>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wrapText="1"/>
    </xf>
    <xf numFmtId="0" fontId="3" fillId="0" borderId="0" pivotButton="0" quotePrefix="0" xfId="0"/>
    <xf numFmtId="0" fontId="0" fillId="0" borderId="0" applyAlignment="1" pivotButton="0" quotePrefix="0" xfId="0">
      <alignment wrapText="1"/>
    </xf>
    <xf numFmtId="164" fontId="4" fillId="3" borderId="0" pivotButton="0" quotePrefix="0" xfId="0"/>
    <xf numFmtId="164" fontId="4" fillId="4" borderId="0" pivotButton="0" quotePrefix="0" xfId="0"/>
    <xf numFmtId="164" fontId="4" fillId="5" borderId="0" pivotButton="0" quotePrefix="0" xfId="0"/>
    <xf numFmtId="0" fontId="4" fillId="5" borderId="0" pivotButton="0" quotePrefix="0" xfId="0"/>
    <xf numFmtId="0" fontId="5" fillId="6" borderId="0" pivotButton="0" quotePrefix="0" xfId="0"/>
    <xf numFmtId="164" fontId="0" fillId="0" borderId="0" pivotButton="0" quotePrefix="0" xfId="0"/>
    <xf numFmtId="0" fontId="0"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applyAlignment="1" pivotButton="0" quotePrefix="0" xfId="0">
      <alignment vertical="top"/>
    </xf>
    <xf numFmtId="165" fontId="6" fillId="0" borderId="0" applyAlignment="1" pivotButton="0" quotePrefix="0" xfId="0">
      <alignment vertical="top"/>
    </xf>
    <xf numFmtId="0" fontId="6" fillId="0" borderId="0" applyAlignment="1" pivotButton="0" quotePrefix="0" xfId="0">
      <alignment vertical="top" wrapText="1"/>
    </xf>
    <xf numFmtId="164" fontId="6" fillId="0" borderId="0" applyAlignment="1" pivotButton="0" quotePrefix="0" xfId="0">
      <alignment vertical="top"/>
    </xf>
    <xf numFmtId="10" fontId="6" fillId="0" borderId="0" applyAlignment="1" pivotButton="0" quotePrefix="0" xfId="0">
      <alignment vertical="top"/>
    </xf>
    <xf numFmtId="0" fontId="6" fillId="7" borderId="0" applyAlignment="1" pivotButton="0" quotePrefix="0" xfId="0">
      <alignment vertical="top"/>
    </xf>
    <xf numFmtId="0" fontId="7" fillId="5" borderId="0" applyAlignment="1" pivotButton="0" quotePrefix="0" xfId="0">
      <alignment vertical="top"/>
    </xf>
    <xf numFmtId="0" fontId="8" fillId="4" borderId="0" applyAlignment="1" pivotButton="0" quotePrefix="0" xfId="0">
      <alignment vertical="top"/>
    </xf>
    <xf numFmtId="0" fontId="6" fillId="4" borderId="0" applyAlignment="1" pivotButton="0" quotePrefix="0" xfId="0">
      <alignment vertical="top"/>
    </xf>
    <xf numFmtId="0" fontId="9" fillId="8" borderId="0" applyAlignment="1" pivotButton="0" quotePrefix="0" xfId="0">
      <alignment vertical="top"/>
    </xf>
    <xf numFmtId="0" fontId="6" fillId="8" borderId="0" applyAlignment="1" pivotButton="0" quotePrefix="0" xfId="0">
      <alignment vertical="top"/>
    </xf>
    <xf numFmtId="0" fontId="0" fillId="0" borderId="0" applyAlignment="1" pivotButton="0" quotePrefix="0" xfId="0">
      <alignment vertical="top"/>
    </xf>
    <xf numFmtId="165"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OpenAI</author>
  </authors>
  <commentList>
    <comment ref="A2" authorId="0" shapeId="0">
      <text>
        <t>Fonte de todos os registros: NOTAS FISCAIS DE COMPRA JANEIRO 2026.pdf; cada linha indica a página na coluna Pagina/Fonte.</t>
      </text>
    </comment>
  </commentList>
</comments>
</file>

<file path=xl/comments/comment2.xml><?xml version="1.0" encoding="utf-8"?>
<comments xmlns="http://schemas.openxmlformats.org/spreadsheetml/2006/main">
  <authors>
    <author>OpenAI</author>
  </authors>
  <commentList>
    <comment ref="T1" authorId="0" shapeId="0">
      <text>
        <t>Fonte documental: NOTAS FISCAIS DE COMPRA JANEIRO 2026.pdf.</t>
      </text>
    </comment>
  </commentList>
</comments>
</file>

<file path=xl/comments/comment3.xml><?xml version="1.0" encoding="utf-8"?>
<comments xmlns="http://schemas.openxmlformats.org/spreadsheetml/2006/main">
  <authors>
    <author>OpenAI</author>
  </authors>
  <commentList>
    <comment ref="U1" authorId="0" shapeId="0">
      <text>
        <t>Fonte documental: NOTAS FISCAIS DE COMPRA JANEIRO 2026.pdf.</t>
      </text>
    </comment>
  </commentList>
</comments>
</file>

<file path=xl/comments/comment4.xml><?xml version="1.0" encoding="utf-8"?>
<comments xmlns="http://schemas.openxmlformats.org/spreadsheetml/2006/main">
  <authors>
    <author>OpenAI</author>
  </authors>
  <commentList>
    <comment ref="R1" authorId="0" shapeId="0">
      <text>
        <t>Fonte documental: NOTAS FISCAIS DE COMPRA JANEIRO 2026.pdf.</t>
      </text>
    </comment>
  </commentList>
</comments>
</file>

<file path=xl/comments/comment5.xml><?xml version="1.0" encoding="utf-8"?>
<comments xmlns="http://schemas.openxmlformats.org/spreadsheetml/2006/main">
  <authors>
    <author>OpenAI</author>
  </authors>
  <commentList>
    <comment ref="O1" authorId="0" shapeId="0">
      <text>
        <t>Fonte documental: NOTAS FISCAIS DE COMPRA JANEIRO 2026.pdf.</t>
      </text>
    </comment>
  </commentList>
</comments>
</file>

<file path=xl/comments/comment6.xml><?xml version="1.0" encoding="utf-8"?>
<comments xmlns="http://schemas.openxmlformats.org/spreadsheetml/2006/main">
  <authors>
    <author>OpenAI</author>
  </authors>
  <commentList>
    <comment ref="Y1" authorId="0" shapeId="0">
      <text>
        <t>Fonte documental: NOTAS FISCAIS DE COMPRA JANEIRO 2026.pdf.</t>
      </text>
    </comment>
  </commentList>
</comments>
</file>

<file path=xl/comments/comment7.xml><?xml version="1.0" encoding="utf-8"?>
<comments xmlns="http://schemas.openxmlformats.org/spreadsheetml/2006/main">
  <authors>
    <author>OpenAI</author>
  </authors>
  <commentList>
    <comment ref="K1" authorId="0" shapeId="0">
      <text>
        <t>Fonte documental: NOTAS FISCAIS DE COMPRA JANEIRO 2026.pdf.</t>
      </text>
    </comment>
  </commentList>
</comments>
</file>

<file path=xl/comments/comment8.xml><?xml version="1.0" encoding="utf-8"?>
<comments xmlns="http://schemas.openxmlformats.org/spreadsheetml/2006/main">
  <authors>
    <author>OpenAI</author>
  </authors>
  <commentList>
    <comment ref="I1" authorId="0" shapeId="0">
      <text>
        <t>Fonte documental: NOTAS FISCAIS DE COMPRA JANEIRO 2026.pdf.</t>
      </text>
    </comment>
  </commentList>
</comments>
</file>

<file path=xl/comments/comment9.xml><?xml version="1.0" encoding="utf-8"?>
<comments xmlns="http://schemas.openxmlformats.org/spreadsheetml/2006/main">
  <authors>
    <author>OpenAI</author>
  </authors>
  <commentList>
    <comment ref="I1" authorId="0" shapeId="0">
      <text>
        <t>Fonte documental: NOTAS FISCAIS DE COMPRA JANEIRO 2026.pdf.</t>
      </text>
    </comment>
  </commentList>
</comments>
</file>

<file path=xl/comments/comment10.xml><?xml version="1.0" encoding="utf-8"?>
<comments xmlns="http://schemas.openxmlformats.org/spreadsheetml/2006/main">
  <authors>
    <author>OpenAI</author>
  </authors>
  <commentList>
    <comment ref="M1" authorId="0" shapeId="0">
      <text>
        <t>Fonte documental: NOTAS FISCAIS DE COMPRA JANEIRO 2026.pdf.</t>
      </text>
    </comment>
  </commentList>
</comments>
</file>

<file path=xl/comments/comment11.xml><?xml version="1.0" encoding="utf-8"?>
<comments xmlns="http://schemas.openxmlformats.org/spreadsheetml/2006/main">
  <authors>
    <author>OpenAI</author>
  </authors>
  <commentList>
    <comment ref="C1" authorId="0" shapeId="0">
      <text>
        <t>Fonte documental: NOTAS FISCAIS DE COMPRA JANEIRO 2026.pdf.</t>
      </text>
    </comment>
  </commentList>
</comments>
</file>

<file path=xl/tables/table1.xml><?xml version="1.0" encoding="utf-8"?>
<table xmlns="http://schemas.openxmlformats.org/spreadsheetml/2006/main" id="1" name="tblDocumentos" displayName="tblDocumentos" ref="A1:AS304" headerRowCount="1">
  <autoFilter ref="A1:AS304"/>
  <tableColumns count="45">
    <tableColumn id="1" name="Doc_ID"/>
    <tableColumn id="2" name="Pagina"/>
    <tableColumn id="3" name="Tipo"/>
    <tableColumn id="4" name="Modelo"/>
    <tableColumn id="5" name="Numero"/>
    <tableColumn id="6" name="Serie"/>
    <tableColumn id="7" name="Data_Emissao"/>
    <tableColumn id="8" name="Vencimento"/>
    <tableColumn id="9" name="Chave_Acesso"/>
    <tableColumn id="10" name="Emitente"/>
    <tableColumn id="11" name="CNPJ_Emitente"/>
    <tableColumn id="12" name="CNPJ_Destinatario"/>
    <tableColumn id="13" name="Unidade_SKAL"/>
    <tableColumn id="14" name="Categoria"/>
    <tableColumn id="15" name="Subcategoria"/>
    <tableColumn id="16" name="Descricao"/>
    <tableColumn id="17" name="Valor_Documento"/>
    <tableColumn id="18" name="Valor_Produtos"/>
    <tableColumn id="19" name="Valor_Servicos"/>
    <tableColumn id="20" name="Valor_Frete"/>
    <tableColumn id="21" name="BC_ICMS"/>
    <tableColumn id="22" name="Aliq_ICMS"/>
    <tableColumn id="23" name="ICMS"/>
    <tableColumn id="24" name="BC_ICMS_ST"/>
    <tableColumn id="25" name="ICMS_ST"/>
    <tableColumn id="26" name="IPI"/>
    <tableColumn id="27" name="PIS"/>
    <tableColumn id="28" name="COFINS"/>
    <tableColumn id="29" name="BC_ISS"/>
    <tableColumn id="30" name="Aliq_ISS"/>
    <tableColumn id="31" name="ISS"/>
    <tableColumn id="32" name="IRRF_Retido"/>
    <tableColumn id="33" name="CSLL_Retida"/>
    <tableColumn id="34" name="PIS_Retido"/>
    <tableColumn id="35" name="COFINS_Retido"/>
    <tableColumn id="36" name="INSS_Retido"/>
    <tableColumn id="37" name="Valor_Liquido"/>
    <tableColumn id="38" name="Valor_Mercadoria_CTe"/>
    <tableColumn id="39" name="Confianca_OCR"/>
    <tableColumn id="40" name="Flag_Fiscal"/>
    <tableColumn id="41" name="Soma_Contabil"/>
    <tableColumn id="42" name="Duplicado_de"/>
    <tableColumn id="43" name="Status_Duplicidade"/>
    <tableColumn id="44" name="Observacoes"/>
    <tableColumn id="45" name="Fonte"/>
  </tableColumns>
  <tableStyleInfo name="TableStyleMedium2" showFirstColumn="0" showLastColumn="0" showRowStripes="1" showColumnStripes="0"/>
</table>
</file>

<file path=xl/tables/table2.xml><?xml version="1.0" encoding="utf-8"?>
<table xmlns="http://schemas.openxmlformats.org/spreadsheetml/2006/main" id="2" name="tblProdutos" displayName="tblProdutos" ref="A1:T89" headerRowCount="1">
  <autoFilter ref="A1:T89"/>
  <tableColumns count="20">
    <tableColumn id="1" name="Doc_ID"/>
    <tableColumn id="2" name="Pagina"/>
    <tableColumn id="3" name="NF_e"/>
    <tableColumn id="4" name="Data"/>
    <tableColumn id="5" name="Fornecedor"/>
    <tableColumn id="6" name="CNPJ"/>
    <tableColumn id="7" name="Descricao_Produto_OCR"/>
    <tableColumn id="8" name="NCM_SH"/>
    <tableColumn id="9" name="CFOP"/>
    <tableColumn id="10" name="Unidade"/>
    <tableColumn id="11" name="Quantidade"/>
    <tableColumn id="12" name="Valor_Unitario"/>
    <tableColumn id="13" name="Valor_Produtos"/>
    <tableColumn id="14" name="BC_ICMS"/>
    <tableColumn id="15" name="ICMS"/>
    <tableColumn id="16" name="ICMS_ST"/>
    <tableColumn id="17" name="IPI"/>
    <tableColumn id="18" name="Soma_Contabil"/>
    <tableColumn id="19" name="Confianca"/>
    <tableColumn id="20" name="Fonte"/>
  </tableColumns>
  <tableStyleInfo name="TableStyleMedium2" showFirstColumn="0" showLastColumn="0" showRowStripes="1" showColumnStripes="0"/>
</table>
</file>

<file path=xl/tables/table3.xml><?xml version="1.0" encoding="utf-8"?>
<table xmlns="http://schemas.openxmlformats.org/spreadsheetml/2006/main" id="3" name="tblServicos" displayName="tblServicos" ref="A1:U66" headerRowCount="1">
  <autoFilter ref="A1:U66"/>
  <tableColumns count="21">
    <tableColumn id="1" name="Doc_ID"/>
    <tableColumn id="2" name="Pagina"/>
    <tableColumn id="3" name="NFS_e"/>
    <tableColumn id="4" name="Data"/>
    <tableColumn id="5" name="Prestador"/>
    <tableColumn id="6" name="CNPJ"/>
    <tableColumn id="7" name="Descricao_Servico_OCR"/>
    <tableColumn id="8" name="Valor_Servico"/>
    <tableColumn id="9" name="BC_ISS"/>
    <tableColumn id="10" name="Aliq_ISS"/>
    <tableColumn id="11" name="ISS"/>
    <tableColumn id="12" name="IRRF_Retido"/>
    <tableColumn id="13" name="CSLL_Retida"/>
    <tableColumn id="14" name="PIS_Retido"/>
    <tableColumn id="15" name="COFINS_Retido"/>
    <tableColumn id="16" name="INSS_Retido"/>
    <tableColumn id="17" name="Valor_Liquido"/>
    <tableColumn id="18" name="Soma_Contabil"/>
    <tableColumn id="19" name="Duplicado_de"/>
    <tableColumn id="20" name="Confianca"/>
    <tableColumn id="21" name="Fonte"/>
  </tableColumns>
  <tableStyleInfo name="TableStyleMedium2" showFirstColumn="0" showLastColumn="0" showRowStripes="1" showColumnStripes="0"/>
</table>
</file>

<file path=xl/tables/table4.xml><?xml version="1.0" encoding="utf-8"?>
<table xmlns="http://schemas.openxmlformats.org/spreadsheetml/2006/main" id="4" name="tblFretes" displayName="tblFretes" ref="A1:R29" headerRowCount="1">
  <autoFilter ref="A1:R29"/>
  <tableColumns count="18">
    <tableColumn id="1" name="Doc_ID"/>
    <tableColumn id="2" name="Pagina"/>
    <tableColumn id="3" name="CTe"/>
    <tableColumn id="4" name="Data"/>
    <tableColumn id="5" name="Transportadora"/>
    <tableColumn id="6" name="CNPJ_Transportadora"/>
    <tableColumn id="7" name="Remetente"/>
    <tableColumn id="8" name="CNPJ_Remetente"/>
    <tableColumn id="9" name="Destinatario"/>
    <tableColumn id="10" name="CNPJ_Destinatario"/>
    <tableColumn id="11" name="Valor_Mercadoria"/>
    <tableColumn id="12" name="Valor_Frete"/>
    <tableColumn id="13" name="BC_ICMS"/>
    <tableColumn id="14" name="Aliq_ICMS"/>
    <tableColumn id="15" name="ICMS"/>
    <tableColumn id="16" name="Soma_Contabil"/>
    <tableColumn id="17" name="Observacoes"/>
    <tableColumn id="18" name="Fonte"/>
  </tableColumns>
  <tableStyleInfo name="TableStyleMedium2" showFirstColumn="0" showLastColumn="0" showRowStripes="1" showColumnStripes="0"/>
</table>
</file>

<file path=xl/tables/table5.xml><?xml version="1.0" encoding="utf-8"?>
<table xmlns="http://schemas.openxmlformats.org/spreadsheetml/2006/main" id="5" name="tblEnergia" displayName="tblEnergia" ref="A1:O5" headerRowCount="1">
  <autoFilter ref="A1:O5"/>
  <tableColumns count="15">
    <tableColumn id="1" name="Doc_ID"/>
    <tableColumn id="2" name="Pagina"/>
    <tableColumn id="3" name="NF3e"/>
    <tableColumn id="4" name="Data"/>
    <tableColumn id="5" name="Vencimento"/>
    <tableColumn id="6" name="Fornecedor"/>
    <tableColumn id="7" name="CNPJ"/>
    <tableColumn id="8" name="Unidade_SKAL"/>
    <tableColumn id="9" name="Valor_Documento"/>
    <tableColumn id="10" name="BC_ICMS"/>
    <tableColumn id="11" name="ICMS"/>
    <tableColumn id="12" name="PIS"/>
    <tableColumn id="13" name="COFINS"/>
    <tableColumn id="14" name="Soma_Contabil"/>
    <tableColumn id="15" name="Fonte"/>
  </tableColumns>
  <tableStyleInfo name="TableStyleMedium2" showFirstColumn="0" showLastColumn="0" showRowStripes="1" showColumnStripes="0"/>
</table>
</file>

<file path=xl/tables/table6.xml><?xml version="1.0" encoding="utf-8"?>
<table xmlns="http://schemas.openxmlformats.org/spreadsheetml/2006/main" id="6" name="tblTributos" displayName="tblTributos" ref="A1:Y131" headerRowCount="1">
  <autoFilter ref="A1:Y131"/>
  <tableColumns count="25">
    <tableColumn id="1" name="Doc_ID"/>
    <tableColumn id="2" name="Pagina"/>
    <tableColumn id="3" name="Tipo"/>
    <tableColumn id="4" name="Numero"/>
    <tableColumn id="5" name="Emitente"/>
    <tableColumn id="6" name="Valor_Documento"/>
    <tableColumn id="7" name="BC_ICMS"/>
    <tableColumn id="8" name="Aliq_ICMS"/>
    <tableColumn id="9" name="ICMS"/>
    <tableColumn id="10" name="BC_ICMS_ST"/>
    <tableColumn id="11" name="ICMS_ST"/>
    <tableColumn id="12" name="IPI"/>
    <tableColumn id="13" name="PIS"/>
    <tableColumn id="14" name="COFINS"/>
    <tableColumn id="15" name="BC_ISS"/>
    <tableColumn id="16" name="Aliq_ISS"/>
    <tableColumn id="17" name="ISS"/>
    <tableColumn id="18" name="IRRF_Retido"/>
    <tableColumn id="19" name="CSLL_Retida"/>
    <tableColumn id="20" name="PIS_Retido"/>
    <tableColumn id="21" name="COFINS_Retido"/>
    <tableColumn id="22" name="INSS_Retido"/>
    <tableColumn id="23" name="Soma_Contabil"/>
    <tableColumn id="24" name="Flag_Fiscal"/>
    <tableColumn id="25" name="Fonte"/>
  </tableColumns>
  <tableStyleInfo name="TableStyleMedium2" showFirstColumn="0" showLastColumn="0" showRowStripes="1" showColumnStripes="0"/>
</table>
</file>

<file path=xl/tables/table7.xml><?xml version="1.0" encoding="utf-8"?>
<table xmlns="http://schemas.openxmlformats.org/spreadsheetml/2006/main" id="7" name="tblApoio" displayName="tblApoio" ref="A1:K106" headerRowCount="1">
  <autoFilter ref="A1:K106"/>
  <tableColumns count="11">
    <tableColumn id="1" name="Doc_ID"/>
    <tableColumn id="2" name="Pagina"/>
    <tableColumn id="3" name="Tipo"/>
    <tableColumn id="4" name="Numero"/>
    <tableColumn id="5" name="Data"/>
    <tableColumn id="6" name="Emitente_Referencia"/>
    <tableColumn id="7" name="Valor_Extraido"/>
    <tableColumn id="8" name="Tratamento"/>
    <tableColumn id="9" name="Duplicado_de"/>
    <tableColumn id="10" name="Observacoes"/>
    <tableColumn id="11" name="Fonte"/>
  </tableColumns>
  <tableStyleInfo name="TableStyleMedium2" showFirstColumn="0" showLastColumn="0" showRowStripes="1" showColumnStripes="0"/>
</table>
</file>

<file path=xl/tables/table8.xml><?xml version="1.0" encoding="utf-8"?>
<table xmlns="http://schemas.openxmlformats.org/spreadsheetml/2006/main" id="8" name="tblFornecedores" displayName="tblFornecedores" ref="A1:I138" headerRowCount="1">
  <autoFilter ref="A1:I138"/>
  <tableColumns count="9">
    <tableColumn id="1" name="CNPJ"/>
    <tableColumn id="2" name="Fornecedor"/>
    <tableColumn id="3" name="Categorias"/>
    <tableColumn id="4" name="Qtd_Confirmada"/>
    <tableColumn id="5" name="Total_Confirmado"/>
    <tableColumn id="6" name="Qtd_Revisar"/>
    <tableColumn id="7" name="Total_Em_Revisao"/>
    <tableColumn id="8" name="Paginas"/>
    <tableColumn id="9" name="Fonte"/>
  </tableColumns>
  <tableStyleInfo name="TableStyleMedium2" showFirstColumn="0" showLastColumn="0" showRowStripes="1" showColumnStripes="0"/>
</table>
</file>

<file path=xl/tables/table9.xml><?xml version="1.0" encoding="utf-8"?>
<table xmlns="http://schemas.openxmlformats.org/spreadsheetml/2006/main" id="9" name="tblDuplicidades" displayName="tblDuplicidades" ref="A1:I10" headerRowCount="1">
  <autoFilter ref="A1:I10"/>
  <tableColumns count="9">
    <tableColumn id="1" name="Pagina"/>
    <tableColumn id="2" name="Documento"/>
    <tableColumn id="3" name="Fornecedor"/>
    <tableColumn id="4" name="Valor"/>
    <tableColumn id="5" name="Pagina_Referencia"/>
    <tableColumn id="6" name="Classificacao"/>
    <tableColumn id="7" name="Tratamento"/>
    <tableColumn id="8" name="Justificativa"/>
    <tableColumn id="9" name="Fonte"/>
  </tableColumns>
  <tableStyleInfo name="TableStyleMedium2" showFirstColumn="0" showLastColumn="0" showRowStripes="1" showColumnStripes="0"/>
</table>
</file>

<file path=xl/tables/table10.xml><?xml version="1.0" encoding="utf-8"?>
<table xmlns="http://schemas.openxmlformats.org/spreadsheetml/2006/main" id="10" name="tblControlePaginas" displayName="tblControlePaginas" ref="A1:M304" headerRowCount="1">
  <autoFilter ref="A1:M304"/>
  <tableColumns count="13">
    <tableColumn id="1" name="Pagina"/>
    <tableColumn id="2" name="Doc_ID"/>
    <tableColumn id="3" name="Tipo_Classificado"/>
    <tableColumn id="4" name="Numero"/>
    <tableColumn id="5" name="Emitente"/>
    <tableColumn id="6" name="Valor_Extraido"/>
    <tableColumn id="7" name="Categoria"/>
    <tableColumn id="8" name="Confianca_OCR"/>
    <tableColumn id="9" name="Soma_Contabil"/>
    <tableColumn id="10" name="Duplicado_de"/>
    <tableColumn id="11" name="Status_Duplicidade"/>
    <tableColumn id="12" name="Revisao_Necessaria"/>
    <tableColumn id="13" name="Fonte"/>
  </tableColumns>
  <tableStyleInfo name="TableStyleMedium2" showFirstColumn="0" showLastColumn="0" showRowStripes="1" showColumnStripes="0"/>
</table>
</file>

<file path=xl/tables/table11.xml><?xml version="1.0" encoding="utf-8"?>
<table xmlns="http://schemas.openxmlformats.org/spreadsheetml/2006/main" id="11" name="tblWorkflow" displayName="tblWorkflow" ref="A1:D7" headerRowCount="1">
  <autoFilter ref="A1:D7"/>
  <tableColumns count="4">
    <tableColumn id="1" name="Etapa"/>
    <tableColumn id="2" name="Critério"/>
    <tableColumn id="3" name="Aplicação_Janeiro_2026"/>
    <tableColumn id="4" name="Status"/>
  </tableColumns>
  <tableStyleInfo name="TableStyleMedium2" showFirstColumn="0" showLastColumn="0" showRowStripes="1" showColumnStripes="0"/>
</table>
</file>

<file path=xl/tables/table12.xml><?xml version="1.0" encoding="utf-8"?>
<table xmlns="http://schemas.openxmlformats.org/spreadsheetml/2006/main" id="12" name="tblOCRRaw" displayName="tblOCRRaw" ref="A1:C304" headerRowCount="1">
  <autoFilter ref="A1:C304"/>
  <tableColumns count="3">
    <tableColumn id="1" name="Pagina"/>
    <tableColumn id="2" name="Texto_OCR"/>
    <tableColumn id="3" name="Fon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fitToPage="1"/>
  </sheetPr>
  <dimension ref="A1:H32"/>
  <sheetViews>
    <sheetView showGridLines="0" workbookViewId="0">
      <pane ySplit="9" topLeftCell="A10" activePane="bottomLeft" state="frozen"/>
      <selection pane="bottomLeft" activeCell="A1" sqref="A1"/>
    </sheetView>
  </sheetViews>
  <sheetFormatPr baseColWidth="8" defaultRowHeight="15"/>
  <cols>
    <col width="34" customWidth="1" min="1" max="1"/>
    <col width="22" customWidth="1" min="2" max="2"/>
    <col width="22" customWidth="1" min="3" max="3"/>
    <col width="16" customWidth="1" min="4" max="4"/>
    <col width="16" customWidth="1" min="5" max="5"/>
    <col width="16" customWidth="1" min="6" max="6"/>
    <col width="16" customWidth="1" min="7" max="7"/>
    <col width="16" customWidth="1" min="8" max="8"/>
  </cols>
  <sheetData>
    <row r="1" ht="30" customHeight="1">
      <c r="A1" s="1" t="inlineStr">
        <is>
          <t>SKAL ENGENHARIA - COMPRAS / ENTRADAS - JANEIRO 2026</t>
        </is>
      </c>
    </row>
    <row r="2">
      <c r="A2" s="2" t="inlineStr">
        <is>
          <t>Extração contábil e fiscal completa do PDF, com controle de duplicidades e trilha de revisão.</t>
        </is>
      </c>
    </row>
    <row r="4">
      <c r="A4" s="3" t="inlineStr">
        <is>
          <t>Arquivo fonte</t>
        </is>
      </c>
      <c r="B4" s="4" t="inlineStr">
        <is>
          <t>NOTAS FISCAIS DE COMPRA JANEIRO 2026.pdf</t>
        </is>
      </c>
    </row>
    <row r="5">
      <c r="A5" s="3" t="inlineStr">
        <is>
          <t>Páginas analisadas</t>
        </is>
      </c>
      <c r="B5" s="4" t="n">
        <v>303</v>
      </c>
    </row>
    <row r="6">
      <c r="A6" s="3" t="inlineStr">
        <is>
          <t>Período</t>
        </is>
      </c>
      <c r="B6" s="4" t="inlineStr">
        <is>
          <t>Janeiro/2026 (inclui documentos de competência/emissão anterior presentes no arquivo)</t>
        </is>
      </c>
    </row>
    <row r="7">
      <c r="A7" s="3" t="inlineStr">
        <is>
          <t>Critério</t>
        </is>
      </c>
      <c r="B7" s="4" t="inlineStr">
        <is>
          <t>Somente linhas com Soma_Contabil = Sim entram no Total Confirmado. Duplicados exatos são excluídos; possíveis duplicidades ficam em Revisar.</t>
        </is>
      </c>
    </row>
    <row r="10">
      <c r="A10" s="3" t="inlineStr">
        <is>
          <t>Total confirmado</t>
        </is>
      </c>
      <c r="B10" s="5">
        <f>SUMIFS(Documentos!$Q:$Q,Documentos!$AO:$AO,"Sim")</f>
        <v/>
      </c>
    </row>
    <row r="11">
      <c r="A11" s="3" t="inlineStr">
        <is>
          <t>Valor em revisão</t>
        </is>
      </c>
      <c r="B11" s="6">
        <f>SUMIFS(Documentos!$Q:$Q,Documentos!$AO:$AO,"Revisar")</f>
        <v/>
      </c>
    </row>
    <row r="12">
      <c r="A12" s="3" t="inlineStr">
        <is>
          <t>Valor excluído - duplicados exatos</t>
        </is>
      </c>
      <c r="B12" s="7">
        <f>SUMIFS(Documentos!$Q:$Q,Documentos!$AQ:$AQ,"Duplicado exato")</f>
        <v/>
      </c>
    </row>
    <row r="13">
      <c r="A13" s="3" t="inlineStr">
        <is>
          <t>Qtd. documentos/páginas confirmados</t>
        </is>
      </c>
      <c r="B13" s="8">
        <f>COUNTIF(Documentos!$AO:$AO,"Sim")</f>
        <v/>
      </c>
    </row>
    <row r="14">
      <c r="A14" s="3" t="inlineStr">
        <is>
          <t>Qtd. em revisão</t>
        </is>
      </c>
      <c r="B14" s="8">
        <f>COUNTIF(Documentos!$AO:$AO,"Revisar")</f>
        <v/>
      </c>
    </row>
    <row r="15">
      <c r="A15" s="3" t="inlineStr">
        <is>
          <t>Qtd. duplicados exatos</t>
        </is>
      </c>
      <c r="B15" s="8">
        <f>COUNTIF(Documentos!$AQ:$AQ,"Duplicado exato")</f>
        <v/>
      </c>
    </row>
    <row r="18">
      <c r="A18" s="9" t="inlineStr">
        <is>
          <t>Categoria</t>
        </is>
      </c>
      <c r="B18" s="9" t="inlineStr">
        <is>
          <t>Total confirmado</t>
        </is>
      </c>
      <c r="C18" s="9" t="inlineStr">
        <is>
          <t>Em revisão</t>
        </is>
      </c>
    </row>
    <row r="19">
      <c r="A19" t="inlineStr">
        <is>
          <t>Produtos</t>
        </is>
      </c>
      <c r="B19" s="10">
        <f>SUMIFS(Documentos!$Q:$Q,Documentos!$N:$N,A19,Documentos!$AO:$AO,"Sim")</f>
        <v/>
      </c>
      <c r="C19" s="10">
        <f>SUMIFS(Documentos!$Q:$Q,Documentos!$N:$N,A19,Documentos!$AO:$AO,"Revisar")</f>
        <v/>
      </c>
    </row>
    <row r="20">
      <c r="A20" t="inlineStr">
        <is>
          <t>Serviços</t>
        </is>
      </c>
      <c r="B20" s="10">
        <f>SUMIFS(Documentos!$Q:$Q,Documentos!$N:$N,A20,Documentos!$AO:$AO,"Sim")</f>
        <v/>
      </c>
      <c r="C20" s="10">
        <f>SUMIFS(Documentos!$Q:$Q,Documentos!$N:$N,A20,Documentos!$AO:$AO,"Revisar")</f>
        <v/>
      </c>
    </row>
    <row r="21">
      <c r="A21" t="inlineStr">
        <is>
          <t>Fretes</t>
        </is>
      </c>
      <c r="B21" s="10">
        <f>SUMIFS(Documentos!$Q:$Q,Documentos!$N:$N,A21,Documentos!$AO:$AO,"Sim")</f>
        <v/>
      </c>
      <c r="C21" s="10">
        <f>SUMIFS(Documentos!$Q:$Q,Documentos!$N:$N,A21,Documentos!$AO:$AO,"Revisar")</f>
        <v/>
      </c>
    </row>
    <row r="22">
      <c r="A22" t="inlineStr">
        <is>
          <t>Energia</t>
        </is>
      </c>
      <c r="B22" s="10">
        <f>SUMIFS(Documentos!$Q:$Q,Documentos!$N:$N,A22,Documentos!$AO:$AO,"Sim")</f>
        <v/>
      </c>
      <c r="C22" s="10">
        <f>SUMIFS(Documentos!$Q:$Q,Documentos!$N:$N,A22,Documentos!$AO:$AO,"Revisar")</f>
        <v/>
      </c>
    </row>
    <row r="23">
      <c r="A23" t="inlineStr">
        <is>
          <t>Telecomunicações</t>
        </is>
      </c>
      <c r="B23" s="10">
        <f>SUMIFS(Documentos!$Q:$Q,Documentos!$N:$N,A23,Documentos!$AO:$AO,"Sim")</f>
        <v/>
      </c>
      <c r="C23" s="10">
        <f>SUMIFS(Documentos!$Q:$Q,Documentos!$N:$N,A23,Documentos!$AO:$AO,"Revisar")</f>
        <v/>
      </c>
    </row>
    <row r="24">
      <c r="A24" t="inlineStr">
        <is>
          <t>Apoio/Outros</t>
        </is>
      </c>
      <c r="B24" s="10">
        <f>SUMIFS(Documentos!$Q:$Q,Documentos!$N:$N,A24,Documentos!$AO:$AO,"Sim")</f>
        <v/>
      </c>
      <c r="C24" s="10">
        <f>SUMIFS(Documentos!$Q:$Q,Documentos!$N:$N,A24,Documentos!$AO:$AO,"Revisar")</f>
        <v/>
      </c>
    </row>
    <row r="27">
      <c r="A27" s="9" t="inlineStr">
        <is>
          <t>Observações de qualidade</t>
        </is>
      </c>
    </row>
    <row r="28">
      <c r="A28" s="11" t="inlineStr">
        <is>
          <t>1. O PDF é escaneado; campos OCR de baixa/média confiança permanecem na planilha, mas são sinalizados para revisão.</t>
        </is>
      </c>
    </row>
    <row r="29">
      <c r="A29" s="11" t="inlineStr">
        <is>
          <t>2. Duplicidades exatas encontradas: p.13=p.12; p.134=p.82; p.153=p.64; p.156=p.154; p.165=p.131; p.166=p.132; p.199=p.145; p.200=p.70.</t>
        </is>
      </c>
    </row>
    <row r="30">
      <c r="A30" s="11" t="inlineStr">
        <is>
          <t>3. NFS-e Juvencio p.69 e p.70 têm mesmo valor e mesma descrição de comissão, mas números/datas distintos; foram tratadas como possível duplicidade comercial e não somadas até confirmação.</t>
        </is>
      </c>
    </row>
    <row r="31">
      <c r="A31" s="11" t="inlineStr">
        <is>
          <t>4. Boletos, MDF-e, DAR/GNRE, separadores e documentos meramente de apoio não são somados como nova compra.</t>
        </is>
      </c>
    </row>
    <row r="32">
      <c r="A32" s="11" t="inlineStr">
        <is>
          <t>5. A aba OCR_Raw preserva o texto extraído de todas as 303 páginas para auditoria e busca.</t>
        </is>
      </c>
    </row>
  </sheetData>
  <mergeCells count="12">
    <mergeCell ref="A30:H30"/>
    <mergeCell ref="A29:H29"/>
    <mergeCell ref="B4:H4"/>
    <mergeCell ref="A2:H2"/>
    <mergeCell ref="A28:H28"/>
    <mergeCell ref="B6:H6"/>
    <mergeCell ref="B7:H7"/>
    <mergeCell ref="A1:H1"/>
    <mergeCell ref="A27:H27"/>
    <mergeCell ref="A32:H32"/>
    <mergeCell ref="B5:H5"/>
    <mergeCell ref="A31:H31"/>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AS304"/>
  <sheetViews>
    <sheetView showGridLines="0" workbookViewId="0">
      <pane ySplit="1" topLeftCell="A2" activePane="bottomLeft" state="frozen"/>
      <selection pane="bottomLeft" activeCell="A1" sqref="A1"/>
    </sheetView>
  </sheetViews>
  <sheetFormatPr baseColWidth="8" defaultRowHeight="15"/>
  <cols>
    <col width="15" customWidth="1" min="1" max="1"/>
    <col width="8" customWidth="1" min="2" max="2"/>
    <col width="18" customWidth="1" min="3" max="3"/>
    <col width="9" customWidth="1" min="4" max="4"/>
    <col width="16" customWidth="1" min="5" max="5"/>
    <col width="10" customWidth="1" min="6" max="6"/>
    <col width="13" customWidth="1" min="7" max="7"/>
    <col width="13" customWidth="1" min="8" max="8"/>
    <col width="48" customWidth="1" min="9" max="9"/>
    <col width="38" customWidth="1" min="10" max="10"/>
    <col width="20" customWidth="1" min="11" max="11"/>
    <col width="20" customWidth="1" min="12" max="12"/>
    <col width="15" customWidth="1" min="13" max="13"/>
    <col width="18" customWidth="1" min="14" max="14"/>
    <col width="27" customWidth="1" min="15" max="15"/>
    <col width="52" customWidth="1" min="16" max="16"/>
    <col width="17" customWidth="1" min="17" max="17"/>
    <col width="16" customWidth="1" min="18" max="18"/>
    <col width="16" customWidth="1" min="19" max="19"/>
    <col width="13"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3" customWidth="1" min="32" max="32"/>
    <col width="13" customWidth="1" min="33" max="33"/>
    <col width="12" customWidth="1" min="34" max="34"/>
    <col width="15" customWidth="1" min="35" max="35"/>
    <col width="13" customWidth="1" min="36" max="36"/>
    <col width="15" customWidth="1" min="37" max="37"/>
    <col width="22" customWidth="1" min="38" max="38"/>
    <col width="15" customWidth="1" min="39" max="39"/>
    <col width="20" customWidth="1" min="40" max="40"/>
    <col width="16" customWidth="1" min="41" max="41"/>
    <col width="14" customWidth="1" min="42" max="42"/>
    <col width="28" customWidth="1" min="43" max="43"/>
    <col width="55" customWidth="1" min="44" max="44"/>
    <col width="42" customWidth="1" min="45" max="45"/>
  </cols>
  <sheetData>
    <row r="1" ht="36" customHeight="1">
      <c r="A1" s="12" t="inlineStr">
        <is>
          <t>Doc_ID</t>
        </is>
      </c>
      <c r="B1" s="12" t="inlineStr">
        <is>
          <t>Pagina</t>
        </is>
      </c>
      <c r="C1" s="12" t="inlineStr">
        <is>
          <t>Tipo</t>
        </is>
      </c>
      <c r="D1" s="12" t="inlineStr">
        <is>
          <t>Modelo</t>
        </is>
      </c>
      <c r="E1" s="12" t="inlineStr">
        <is>
          <t>Numero</t>
        </is>
      </c>
      <c r="F1" s="12" t="inlineStr">
        <is>
          <t>Serie</t>
        </is>
      </c>
      <c r="G1" s="12" t="inlineStr">
        <is>
          <t>Data_Emissao</t>
        </is>
      </c>
      <c r="H1" s="12" t="inlineStr">
        <is>
          <t>Vencimento</t>
        </is>
      </c>
      <c r="I1" s="12" t="inlineStr">
        <is>
          <t>Chave_Acesso</t>
        </is>
      </c>
      <c r="J1" s="12" t="inlineStr">
        <is>
          <t>Emitente</t>
        </is>
      </c>
      <c r="K1" s="12" t="inlineStr">
        <is>
          <t>CNPJ_Emitente</t>
        </is>
      </c>
      <c r="L1" s="12" t="inlineStr">
        <is>
          <t>CNPJ_Destinatario</t>
        </is>
      </c>
      <c r="M1" s="12" t="inlineStr">
        <is>
          <t>Unidade_SKAL</t>
        </is>
      </c>
      <c r="N1" s="12" t="inlineStr">
        <is>
          <t>Categoria</t>
        </is>
      </c>
      <c r="O1" s="12" t="inlineStr">
        <is>
          <t>Subcategoria</t>
        </is>
      </c>
      <c r="P1" s="12" t="inlineStr">
        <is>
          <t>Descricao</t>
        </is>
      </c>
      <c r="Q1" s="12" t="inlineStr">
        <is>
          <t>Valor_Documento</t>
        </is>
      </c>
      <c r="R1" s="12" t="inlineStr">
        <is>
          <t>Valor_Produtos</t>
        </is>
      </c>
      <c r="S1" s="12" t="inlineStr">
        <is>
          <t>Valor_Servicos</t>
        </is>
      </c>
      <c r="T1" s="12" t="inlineStr">
        <is>
          <t>Valor_Frete</t>
        </is>
      </c>
      <c r="U1" s="12" t="inlineStr">
        <is>
          <t>BC_ICMS</t>
        </is>
      </c>
      <c r="V1" s="12" t="inlineStr">
        <is>
          <t>Aliq_ICMS</t>
        </is>
      </c>
      <c r="W1" s="12" t="inlineStr">
        <is>
          <t>ICMS</t>
        </is>
      </c>
      <c r="X1" s="12" t="inlineStr">
        <is>
          <t>BC_ICMS_ST</t>
        </is>
      </c>
      <c r="Y1" s="12" t="inlineStr">
        <is>
          <t>ICMS_ST</t>
        </is>
      </c>
      <c r="Z1" s="12" t="inlineStr">
        <is>
          <t>IPI</t>
        </is>
      </c>
      <c r="AA1" s="12" t="inlineStr">
        <is>
          <t>PIS</t>
        </is>
      </c>
      <c r="AB1" s="12" t="inlineStr">
        <is>
          <t>COFINS</t>
        </is>
      </c>
      <c r="AC1" s="12" t="inlineStr">
        <is>
          <t>BC_ISS</t>
        </is>
      </c>
      <c r="AD1" s="12" t="inlineStr">
        <is>
          <t>Aliq_ISS</t>
        </is>
      </c>
      <c r="AE1" s="12" t="inlineStr">
        <is>
          <t>ISS</t>
        </is>
      </c>
      <c r="AF1" s="12" t="inlineStr">
        <is>
          <t>IRRF_Retido</t>
        </is>
      </c>
      <c r="AG1" s="12" t="inlineStr">
        <is>
          <t>CSLL_Retida</t>
        </is>
      </c>
      <c r="AH1" s="12" t="inlineStr">
        <is>
          <t>PIS_Retido</t>
        </is>
      </c>
      <c r="AI1" s="12" t="inlineStr">
        <is>
          <t>COFINS_Retido</t>
        </is>
      </c>
      <c r="AJ1" s="12" t="inlineStr">
        <is>
          <t>INSS_Retido</t>
        </is>
      </c>
      <c r="AK1" s="12" t="inlineStr">
        <is>
          <t>Valor_Liquido</t>
        </is>
      </c>
      <c r="AL1" s="12" t="inlineStr">
        <is>
          <t>Valor_Mercadoria_CTe</t>
        </is>
      </c>
      <c r="AM1" s="12" t="inlineStr">
        <is>
          <t>Confianca_OCR</t>
        </is>
      </c>
      <c r="AN1" s="12" t="inlineStr">
        <is>
          <t>Flag_Fiscal</t>
        </is>
      </c>
      <c r="AO1" s="12" t="inlineStr">
        <is>
          <t>Soma_Contabil</t>
        </is>
      </c>
      <c r="AP1" s="12" t="inlineStr">
        <is>
          <t>Duplicado_de</t>
        </is>
      </c>
      <c r="AQ1" s="12" t="inlineStr">
        <is>
          <t>Status_Duplicidade</t>
        </is>
      </c>
      <c r="AR1" s="12" t="inlineStr">
        <is>
          <t>Observacoes</t>
        </is>
      </c>
      <c r="AS1" s="12" t="inlineStr">
        <is>
          <t>Fonte</t>
        </is>
      </c>
    </row>
    <row r="2">
      <c r="A2" s="13" t="inlineStr">
        <is>
          <t>JAN26-P001</t>
        </is>
      </c>
      <c r="B2" s="13" t="n">
        <v>1</v>
      </c>
      <c r="C2" s="13" t="inlineStr">
        <is>
          <t>Energia/NF3e</t>
        </is>
      </c>
      <c r="D2" s="13" t="inlineStr">
        <is>
          <t>66</t>
        </is>
      </c>
      <c r="E2" s="13" t="inlineStr">
        <is>
          <t>67912850</t>
        </is>
      </c>
      <c r="F2" s="13" t="inlineStr">
        <is>
          <t>000</t>
        </is>
      </c>
      <c r="G2" s="25" t="n">
        <v>46053</v>
      </c>
      <c r="H2" s="25" t="n">
        <v>46059</v>
      </c>
      <c r="I2" s="13" t="inlineStr">
        <is>
          <t>22260106840748000189660000679128501095737069</t>
        </is>
      </c>
      <c r="J2" s="13" t="inlineStr">
        <is>
          <t>EQUATORIAL PIAUI DISTRIBUIDORA DE ENERGIA S.A.</t>
        </is>
      </c>
      <c r="K2" s="13" t="inlineStr">
        <is>
          <t>06.840.748/0001-89</t>
        </is>
      </c>
      <c r="L2" s="13" t="inlineStr">
        <is>
          <t>23.655.038/0002-89</t>
        </is>
      </c>
      <c r="M2" s="13" t="inlineStr">
        <is>
          <t>SKAL /0002</t>
        </is>
      </c>
      <c r="N2" s="13" t="inlineStr">
        <is>
          <t>Energia</t>
        </is>
      </c>
      <c r="O2" s="13" t="inlineStr">
        <is>
          <t>Energia eletrica - unidade industrial</t>
        </is>
      </c>
      <c r="P2" s="15" t="inlineStr"/>
      <c r="Q2" s="16" t="n">
        <v>23789.49</v>
      </c>
      <c r="R2" s="16" t="n"/>
      <c r="S2" s="16" t="n"/>
      <c r="T2" s="16" t="n"/>
      <c r="U2" s="16" t="n">
        <v>21764.76</v>
      </c>
      <c r="V2" s="17" t="n">
        <v>0.225</v>
      </c>
      <c r="W2" s="16" t="n">
        <v>4892.56</v>
      </c>
      <c r="X2" s="16" t="n"/>
      <c r="Y2" s="16" t="n"/>
      <c r="Z2" s="16" t="n"/>
      <c r="AA2" s="16" t="n">
        <v>125.55</v>
      </c>
      <c r="AB2" s="16" t="n">
        <v>580.23</v>
      </c>
      <c r="AC2" s="16" t="n"/>
      <c r="AD2" s="17" t="n"/>
      <c r="AE2" s="16" t="n"/>
      <c r="AF2" s="16" t="n"/>
      <c r="AG2" s="16" t="n"/>
      <c r="AH2" s="16" t="n"/>
      <c r="AI2" s="16" t="n"/>
      <c r="AJ2" s="16" t="n"/>
      <c r="AK2" s="16" t="n"/>
      <c r="AL2" s="16" t="n"/>
      <c r="AM2" s="13" t="inlineStr">
        <is>
          <t>Alta</t>
        </is>
      </c>
      <c r="AN2" s="13" t="inlineStr"/>
      <c r="AO2" s="18" t="inlineStr">
        <is>
          <t>Sim</t>
        </is>
      </c>
      <c r="AP2" s="13" t="inlineStr"/>
      <c r="AQ2" s="13" t="inlineStr"/>
      <c r="AR2" s="15" t="inlineStr"/>
      <c r="AS2" s="15" t="inlineStr">
        <is>
          <t>NOTAS FISCAIS DE COMPRA JANEIRO 2026.pdf - p. 1</t>
        </is>
      </c>
    </row>
    <row r="3">
      <c r="A3" s="13" t="inlineStr">
        <is>
          <t>JAN26-P002</t>
        </is>
      </c>
      <c r="B3" s="13" t="n">
        <v>2</v>
      </c>
      <c r="C3" s="13" t="inlineStr">
        <is>
          <t>Outros/Documento</t>
        </is>
      </c>
      <c r="D3" s="13" t="inlineStr"/>
      <c r="E3" s="13" t="inlineStr"/>
      <c r="F3" s="13" t="inlineStr"/>
      <c r="G3" s="25" t="n"/>
      <c r="H3" s="25" t="n"/>
      <c r="I3" s="13" t="inlineStr"/>
      <c r="J3" s="13" t="inlineStr">
        <is>
          <t>Greta ica force pogo, Para mexet nas insialarben,</t>
        </is>
      </c>
      <c r="K3" s="13" t="inlineStr"/>
      <c r="L3" s="13" t="inlineStr"/>
      <c r="M3" s="13" t="inlineStr"/>
      <c r="N3" s="13" t="inlineStr">
        <is>
          <t>Apoio</t>
        </is>
      </c>
      <c r="O3" s="13" t="inlineStr">
        <is>
          <t>Documento de apoio</t>
        </is>
      </c>
      <c r="P3" s="15" t="inlineStr"/>
      <c r="Q3" s="16" t="n"/>
      <c r="R3" s="16" t="n"/>
      <c r="S3" s="16" t="n"/>
      <c r="T3" s="16" t="n"/>
      <c r="U3" s="16" t="n"/>
      <c r="V3" s="17" t="n"/>
      <c r="W3" s="16" t="n"/>
      <c r="X3" s="16" t="n"/>
      <c r="Y3" s="16" t="n"/>
      <c r="Z3" s="16" t="n"/>
      <c r="AA3" s="16" t="n"/>
      <c r="AB3" s="16" t="n"/>
      <c r="AC3" s="16" t="n"/>
      <c r="AD3" s="17" t="n"/>
      <c r="AE3" s="16" t="n"/>
      <c r="AF3" s="16" t="n"/>
      <c r="AG3" s="16" t="n"/>
      <c r="AH3" s="16" t="n"/>
      <c r="AI3" s="16" t="n"/>
      <c r="AJ3" s="16" t="n"/>
      <c r="AK3" s="16" t="n"/>
      <c r="AL3" s="16" t="n"/>
      <c r="AM3" s="13" t="inlineStr">
        <is>
          <t>Baixa</t>
        </is>
      </c>
      <c r="AN3" s="13" t="inlineStr"/>
      <c r="AO3" s="19" t="inlineStr">
        <is>
          <t>Não</t>
        </is>
      </c>
      <c r="AP3" s="13" t="inlineStr"/>
      <c r="AQ3" s="20" t="inlineStr">
        <is>
          <t>Continuacao do documento da pagina 1 - nao somar separadamente</t>
        </is>
      </c>
      <c r="AR3" s="15" t="inlineStr"/>
      <c r="AS3" s="15" t="inlineStr">
        <is>
          <t>NOTAS FISCAIS DE COMPRA JANEIRO 2026.pdf - p. 2</t>
        </is>
      </c>
    </row>
    <row r="4">
      <c r="A4" s="13" t="inlineStr">
        <is>
          <t>JAN26-P003</t>
        </is>
      </c>
      <c r="B4" s="13" t="n">
        <v>3</v>
      </c>
      <c r="C4" s="13" t="inlineStr">
        <is>
          <t>Energia/NF3e</t>
        </is>
      </c>
      <c r="D4" s="13" t="inlineStr">
        <is>
          <t>66</t>
        </is>
      </c>
      <c r="E4" s="13" t="inlineStr">
        <is>
          <t>67620505</t>
        </is>
      </c>
      <c r="F4" s="13" t="inlineStr">
        <is>
          <t>000</t>
        </is>
      </c>
      <c r="G4" s="25" t="n">
        <v>46048</v>
      </c>
      <c r="H4" s="25" t="n">
        <v>46055</v>
      </c>
      <c r="I4" s="13" t="inlineStr">
        <is>
          <t>22260106840748000189660000676205052066826930</t>
        </is>
      </c>
      <c r="J4" s="13" t="inlineStr">
        <is>
          <t>EQUATORIAL PIAUI DISTRIBUIDORA DE ENERGIA S.A.</t>
        </is>
      </c>
      <c r="K4" s="13" t="inlineStr">
        <is>
          <t>06.840.748/0001-89</t>
        </is>
      </c>
      <c r="L4" s="13" t="inlineStr">
        <is>
          <t>23.655.038/0001-06</t>
        </is>
      </c>
      <c r="M4" s="13" t="inlineStr">
        <is>
          <t>SKAL /0001</t>
        </is>
      </c>
      <c r="N4" s="13" t="inlineStr">
        <is>
          <t>Energia</t>
        </is>
      </c>
      <c r="O4" s="13" t="inlineStr">
        <is>
          <t>Energia eletrica - unidade administrativa</t>
        </is>
      </c>
      <c r="P4" s="15" t="inlineStr"/>
      <c r="Q4" s="16" t="n">
        <v>29.6</v>
      </c>
      <c r="R4" s="16" t="n"/>
      <c r="S4" s="16" t="n"/>
      <c r="T4" s="16" t="n"/>
      <c r="U4" s="16" t="n">
        <v>0</v>
      </c>
      <c r="V4" s="17" t="n"/>
      <c r="W4" s="16" t="n">
        <v>0</v>
      </c>
      <c r="X4" s="16" t="n"/>
      <c r="Y4" s="16" t="n"/>
      <c r="Z4" s="16" t="n"/>
      <c r="AA4" s="16" t="n">
        <v>0.2</v>
      </c>
      <c r="AB4" s="16" t="n">
        <v>0.92</v>
      </c>
      <c r="AC4" s="16" t="n"/>
      <c r="AD4" s="17" t="n"/>
      <c r="AE4" s="16" t="n"/>
      <c r="AF4" s="16" t="n"/>
      <c r="AG4" s="16" t="n"/>
      <c r="AH4" s="16" t="n"/>
      <c r="AI4" s="16" t="n"/>
      <c r="AJ4" s="16" t="n"/>
      <c r="AK4" s="16" t="n"/>
      <c r="AL4" s="16" t="n"/>
      <c r="AM4" s="13" t="inlineStr">
        <is>
          <t>Alta</t>
        </is>
      </c>
      <c r="AN4" s="13" t="inlineStr"/>
      <c r="AO4" s="18" t="inlineStr">
        <is>
          <t>Sim</t>
        </is>
      </c>
      <c r="AP4" s="13" t="inlineStr"/>
      <c r="AQ4" s="13" t="inlineStr"/>
      <c r="AR4" s="15" t="inlineStr"/>
      <c r="AS4" s="15" t="inlineStr">
        <is>
          <t>NOTAS FISCAIS DE COMPRA JANEIRO 2026.pdf - p. 3</t>
        </is>
      </c>
    </row>
    <row r="5">
      <c r="A5" s="13" t="inlineStr">
        <is>
          <t>JAN26-P004</t>
        </is>
      </c>
      <c r="B5" s="13" t="n">
        <v>4</v>
      </c>
      <c r="C5" s="13" t="inlineStr">
        <is>
          <t>Energia/NF3e</t>
        </is>
      </c>
      <c r="D5" s="13" t="inlineStr">
        <is>
          <t>66</t>
        </is>
      </c>
      <c r="E5" s="13" t="inlineStr">
        <is>
          <t>67003437</t>
        </is>
      </c>
      <c r="F5" s="13" t="inlineStr">
        <is>
          <t>000</t>
        </is>
      </c>
      <c r="G5" s="25" t="n">
        <v>46038</v>
      </c>
      <c r="H5" s="25" t="n">
        <v>46045</v>
      </c>
      <c r="I5" s="13" t="inlineStr">
        <is>
          <t>22260106840748000189660000670034372083880016</t>
        </is>
      </c>
      <c r="J5" s="13" t="inlineStr">
        <is>
          <t>EQUATORIAL PIAUI DISTRIBUIDORA DE ENERGIA S.A.</t>
        </is>
      </c>
      <c r="K5" s="13" t="inlineStr">
        <is>
          <t>06.840.748/0001-89</t>
        </is>
      </c>
      <c r="L5" s="13" t="inlineStr">
        <is>
          <t>23.655.038/0001-06</t>
        </is>
      </c>
      <c r="M5" s="13" t="inlineStr">
        <is>
          <t>SKAL /0001</t>
        </is>
      </c>
      <c r="N5" s="13" t="inlineStr">
        <is>
          <t>Energia</t>
        </is>
      </c>
      <c r="O5" s="13" t="inlineStr">
        <is>
          <t>Energia eletrica - unidade administrativa</t>
        </is>
      </c>
      <c r="P5" s="15" t="inlineStr"/>
      <c r="Q5" s="16" t="n">
        <v>29.78</v>
      </c>
      <c r="R5" s="16" t="n"/>
      <c r="S5" s="16" t="n"/>
      <c r="T5" s="16" t="n"/>
      <c r="U5" s="16" t="n">
        <v>0</v>
      </c>
      <c r="V5" s="17" t="n"/>
      <c r="W5" s="16" t="n">
        <v>0</v>
      </c>
      <c r="X5" s="16" t="n"/>
      <c r="Y5" s="16" t="n"/>
      <c r="Z5" s="16" t="n"/>
      <c r="AA5" s="16" t="n">
        <v>0.2</v>
      </c>
      <c r="AB5" s="16" t="n">
        <v>0.93</v>
      </c>
      <c r="AC5" s="16" t="n"/>
      <c r="AD5" s="17" t="n"/>
      <c r="AE5" s="16" t="n"/>
      <c r="AF5" s="16" t="n"/>
      <c r="AG5" s="16" t="n"/>
      <c r="AH5" s="16" t="n"/>
      <c r="AI5" s="16" t="n"/>
      <c r="AJ5" s="16" t="n"/>
      <c r="AK5" s="16" t="n"/>
      <c r="AL5" s="16" t="n"/>
      <c r="AM5" s="13" t="inlineStr">
        <is>
          <t>Alta</t>
        </is>
      </c>
      <c r="AN5" s="13" t="inlineStr"/>
      <c r="AO5" s="18" t="inlineStr">
        <is>
          <t>Sim</t>
        </is>
      </c>
      <c r="AP5" s="13" t="inlineStr"/>
      <c r="AQ5" s="13" t="inlineStr"/>
      <c r="AR5" s="15" t="inlineStr"/>
      <c r="AS5" s="15" t="inlineStr">
        <is>
          <t>NOTAS FISCAIS DE COMPRA JANEIRO 2026.pdf - p. 4</t>
        </is>
      </c>
    </row>
    <row r="6">
      <c r="A6" s="13" t="inlineStr">
        <is>
          <t>JAN26-P005</t>
        </is>
      </c>
      <c r="B6" s="13" t="n">
        <v>5</v>
      </c>
      <c r="C6" s="13" t="inlineStr">
        <is>
          <t>Energia/NF3e</t>
        </is>
      </c>
      <c r="D6" s="13" t="inlineStr">
        <is>
          <t>66</t>
        </is>
      </c>
      <c r="E6" s="13" t="inlineStr">
        <is>
          <t>67888805</t>
        </is>
      </c>
      <c r="F6" s="13" t="inlineStr">
        <is>
          <t>000</t>
        </is>
      </c>
      <c r="G6" s="25" t="n">
        <v>46051</v>
      </c>
      <c r="H6" s="25" t="n">
        <v>46058</v>
      </c>
      <c r="I6" s="13" t="inlineStr">
        <is>
          <t>22260106840748000189660000678888051049698360</t>
        </is>
      </c>
      <c r="J6" s="13" t="inlineStr">
        <is>
          <t>EQUATORIAL PIAUI DISTRIBUIDORA DE ENERGIA S.A.</t>
        </is>
      </c>
      <c r="K6" s="13" t="inlineStr">
        <is>
          <t>06.840.748/0002-69</t>
        </is>
      </c>
      <c r="L6" s="13" t="inlineStr">
        <is>
          <t>23.655.038/0002-89</t>
        </is>
      </c>
      <c r="M6" s="13" t="inlineStr">
        <is>
          <t>SKAL /0002</t>
        </is>
      </c>
      <c r="N6" s="13" t="inlineStr">
        <is>
          <t>Energia</t>
        </is>
      </c>
      <c r="O6" s="13" t="inlineStr">
        <is>
          <t>Energia eletrica - unidade administrativa</t>
        </is>
      </c>
      <c r="P6" s="15" t="inlineStr"/>
      <c r="Q6" s="16" t="n">
        <v>843.08</v>
      </c>
      <c r="R6" s="16" t="n"/>
      <c r="S6" s="16" t="n"/>
      <c r="T6" s="16" t="n"/>
      <c r="U6" s="16" t="n">
        <v>773.85</v>
      </c>
      <c r="V6" s="17" t="n">
        <v>0.225</v>
      </c>
      <c r="W6" s="16" t="n">
        <v>174.11</v>
      </c>
      <c r="X6" s="16" t="n"/>
      <c r="Y6" s="16" t="n"/>
      <c r="Z6" s="16" t="n"/>
      <c r="AA6" s="16" t="n">
        <v>4.06</v>
      </c>
      <c r="AB6" s="16" t="n">
        <v>18.78</v>
      </c>
      <c r="AC6" s="16" t="n"/>
      <c r="AD6" s="17" t="n"/>
      <c r="AE6" s="16" t="n"/>
      <c r="AF6" s="16" t="n"/>
      <c r="AG6" s="16" t="n"/>
      <c r="AH6" s="16" t="n"/>
      <c r="AI6" s="16" t="n"/>
      <c r="AJ6" s="16" t="n"/>
      <c r="AK6" s="16" t="n"/>
      <c r="AL6" s="16" t="n"/>
      <c r="AM6" s="13" t="inlineStr">
        <is>
          <t>Alta</t>
        </is>
      </c>
      <c r="AN6" s="13" t="inlineStr"/>
      <c r="AO6" s="18" t="inlineStr">
        <is>
          <t>Sim</t>
        </is>
      </c>
      <c r="AP6" s="13" t="inlineStr"/>
      <c r="AQ6" s="13" t="inlineStr"/>
      <c r="AR6" s="15" t="inlineStr"/>
      <c r="AS6" s="15" t="inlineStr">
        <is>
          <t>NOTAS FISCAIS DE COMPRA JANEIRO 2026.pdf - p. 5</t>
        </is>
      </c>
    </row>
    <row r="7">
      <c r="A7" s="13" t="inlineStr">
        <is>
          <t>JAN26-P006</t>
        </is>
      </c>
      <c r="B7" s="13" t="n">
        <v>6</v>
      </c>
      <c r="C7" s="13" t="inlineStr">
        <is>
          <t>Separador/Anotacao</t>
        </is>
      </c>
      <c r="D7" s="13" t="inlineStr"/>
      <c r="E7" s="13" t="inlineStr"/>
      <c r="F7" s="13" t="inlineStr"/>
      <c r="G7" s="25" t="n"/>
      <c r="H7" s="25" t="n"/>
      <c r="I7" s="13" t="inlineStr"/>
      <c r="J7" s="13" t="inlineStr">
        <is>
          <t>PERIODO MES DE</t>
        </is>
      </c>
      <c r="K7" s="13" t="inlineStr"/>
      <c r="L7" s="13" t="inlineStr"/>
      <c r="M7" s="13" t="inlineStr"/>
      <c r="N7" s="13" t="inlineStr">
        <is>
          <t>Apoio</t>
        </is>
      </c>
      <c r="O7" s="13" t="inlineStr">
        <is>
          <t>Documento de apoio</t>
        </is>
      </c>
      <c r="P7" s="15" t="inlineStr"/>
      <c r="Q7" s="16" t="n"/>
      <c r="R7" s="16" t="n"/>
      <c r="S7" s="16" t="n"/>
      <c r="T7" s="16" t="n"/>
      <c r="U7" s="16" t="n"/>
      <c r="V7" s="17" t="n"/>
      <c r="W7" s="16" t="n"/>
      <c r="X7" s="16" t="n"/>
      <c r="Y7" s="16" t="n"/>
      <c r="Z7" s="16" t="n"/>
      <c r="AA7" s="16" t="n"/>
      <c r="AB7" s="16" t="n"/>
      <c r="AC7" s="16" t="n"/>
      <c r="AD7" s="17" t="n"/>
      <c r="AE7" s="16" t="n"/>
      <c r="AF7" s="16" t="n"/>
      <c r="AG7" s="16" t="n"/>
      <c r="AH7" s="16" t="n"/>
      <c r="AI7" s="16" t="n"/>
      <c r="AJ7" s="16" t="n"/>
      <c r="AK7" s="16" t="n"/>
      <c r="AL7" s="16" t="n"/>
      <c r="AM7" s="13" t="inlineStr">
        <is>
          <t>Baixa</t>
        </is>
      </c>
      <c r="AN7" s="13" t="inlineStr"/>
      <c r="AO7" s="19" t="inlineStr">
        <is>
          <t>Não</t>
        </is>
      </c>
      <c r="AP7" s="13" t="inlineStr"/>
      <c r="AQ7" s="13" t="inlineStr"/>
      <c r="AR7" s="15" t="inlineStr"/>
      <c r="AS7" s="15" t="inlineStr">
        <is>
          <t>NOTAS FISCAIS DE COMPRA JANEIRO 2026.pdf - p. 6</t>
        </is>
      </c>
    </row>
    <row r="8">
      <c r="A8" s="13" t="inlineStr">
        <is>
          <t>JAN26-P007</t>
        </is>
      </c>
      <c r="B8" s="13" t="n">
        <v>7</v>
      </c>
      <c r="C8" s="13" t="inlineStr">
        <is>
          <t>NF-e</t>
        </is>
      </c>
      <c r="D8" s="13" t="inlineStr"/>
      <c r="E8" s="13" t="inlineStr"/>
      <c r="F8" s="13" t="inlineStr"/>
      <c r="G8" s="25" t="n">
        <v>45687</v>
      </c>
      <c r="H8" s="25" t="n"/>
      <c r="I8" s="13" t="inlineStr"/>
      <c r="J8" s="13" t="inlineStr">
        <is>
          <t>‘wrwwenfefazenda.gov-briportal ou no site da Sefaz Autorizadora</t>
        </is>
      </c>
      <c r="K8" s="13" t="inlineStr"/>
      <c r="L8" s="13" t="inlineStr"/>
      <c r="M8" s="13" t="inlineStr"/>
      <c r="N8" s="13" t="inlineStr">
        <is>
          <t>Produtos</t>
        </is>
      </c>
      <c r="O8" s="13" t="inlineStr">
        <is>
          <t>Outros produtos</t>
        </is>
      </c>
      <c r="P8" s="15" t="inlineStr">
        <is>
          <t>vet | ao | ‘con op. | escuK0 Do FROTUTES /SERVICOS | worst] esr | cro |unaol quampane Jy.tarriwo| vitorat | nesenes | v.seus | SR | 000 | 65990] Goo | 3556 | UN] | Tog | Tai635] | Ta1635) | 060) | 0,00] | 0300) | 2.0] | jorse79 | ISECAODAJANELA | wrt,</t>
        </is>
      </c>
      <c r="Q8" s="16" t="n"/>
      <c r="R8" s="16" t="n"/>
      <c r="S8" s="16" t="n"/>
      <c r="T8" s="16" t="n"/>
      <c r="U8" s="16" t="n"/>
      <c r="V8" s="17" t="n"/>
      <c r="W8" s="16" t="n"/>
      <c r="X8" s="16" t="n"/>
      <c r="Y8" s="16" t="n"/>
      <c r="Z8" s="16" t="n"/>
      <c r="AA8" s="16" t="n"/>
      <c r="AB8" s="16" t="n"/>
      <c r="AC8" s="16" t="n"/>
      <c r="AD8" s="17" t="n"/>
      <c r="AE8" s="16" t="n"/>
      <c r="AF8" s="16" t="n"/>
      <c r="AG8" s="16" t="n"/>
      <c r="AH8" s="16" t="n"/>
      <c r="AI8" s="16" t="n"/>
      <c r="AJ8" s="16" t="n"/>
      <c r="AK8" s="16" t="n"/>
      <c r="AL8" s="16" t="n"/>
      <c r="AM8" s="13" t="inlineStr">
        <is>
          <t>Baixa</t>
        </is>
      </c>
      <c r="AN8" s="21" t="inlineStr">
        <is>
          <t>Revisar documento</t>
        </is>
      </c>
      <c r="AO8" s="20" t="inlineStr">
        <is>
          <t>Revisar</t>
        </is>
      </c>
      <c r="AP8" s="13" t="inlineStr"/>
      <c r="AQ8" s="13" t="inlineStr"/>
      <c r="AR8" s="15" t="inlineStr"/>
      <c r="AS8" s="15" t="inlineStr">
        <is>
          <t>NOTAS FISCAIS DE COMPRA JANEIRO 2026.pdf - p. 7</t>
        </is>
      </c>
    </row>
    <row r="9">
      <c r="A9" s="13" t="inlineStr">
        <is>
          <t>JAN26-P008</t>
        </is>
      </c>
      <c r="B9" s="13" t="n">
        <v>8</v>
      </c>
      <c r="C9" s="13" t="inlineStr">
        <is>
          <t>NF-e</t>
        </is>
      </c>
      <c r="D9" s="13" t="inlineStr"/>
      <c r="E9" s="13" t="inlineStr"/>
      <c r="F9" s="13" t="inlineStr"/>
      <c r="G9" s="25" t="n"/>
      <c r="H9" s="25" t="n"/>
      <c r="I9" s="13" t="inlineStr"/>
      <c r="J9" s="13" t="inlineStr">
        <is>
          <t>FORNECEDORA CAMINHOES COMERCIO SERVIC</t>
        </is>
      </c>
      <c r="K9" s="13" t="inlineStr"/>
      <c r="L9" s="13" t="inlineStr"/>
      <c r="M9" s="13" t="inlineStr"/>
      <c r="N9" s="13" t="inlineStr">
        <is>
          <t>Produtos</t>
        </is>
      </c>
      <c r="O9" s="13" t="inlineStr">
        <is>
          <t>Outros produtos</t>
        </is>
      </c>
      <c r="P9" s="15" t="inlineStr"/>
      <c r="Q9" s="16" t="n"/>
      <c r="R9" s="16" t="n"/>
      <c r="S9" s="16" t="n"/>
      <c r="T9" s="16" t="n"/>
      <c r="U9" s="16" t="n"/>
      <c r="V9" s="17" t="n"/>
      <c r="W9" s="16" t="n"/>
      <c r="X9" s="16" t="n"/>
      <c r="Y9" s="16" t="n"/>
      <c r="Z9" s="16" t="n"/>
      <c r="AA9" s="16" t="n"/>
      <c r="AB9" s="16" t="n"/>
      <c r="AC9" s="16" t="n"/>
      <c r="AD9" s="17" t="n"/>
      <c r="AE9" s="16" t="n"/>
      <c r="AF9" s="16" t="n"/>
      <c r="AG9" s="16" t="n"/>
      <c r="AH9" s="16" t="n"/>
      <c r="AI9" s="16" t="n"/>
      <c r="AJ9" s="16" t="n"/>
      <c r="AK9" s="16" t="n"/>
      <c r="AL9" s="16" t="n"/>
      <c r="AM9" s="13" t="inlineStr">
        <is>
          <t>Baixa</t>
        </is>
      </c>
      <c r="AN9" s="21" t="inlineStr">
        <is>
          <t>Revisar documento</t>
        </is>
      </c>
      <c r="AO9" s="20" t="inlineStr">
        <is>
          <t>Revisar</t>
        </is>
      </c>
      <c r="AP9" s="13" t="inlineStr"/>
      <c r="AQ9" s="13" t="inlineStr"/>
      <c r="AR9" s="15" t="inlineStr"/>
      <c r="AS9" s="15" t="inlineStr">
        <is>
          <t>NOTAS FISCAIS DE COMPRA JANEIRO 2026.pdf - p. 8</t>
        </is>
      </c>
    </row>
    <row r="10">
      <c r="A10" s="13" t="inlineStr">
        <is>
          <t>JAN26-P009</t>
        </is>
      </c>
      <c r="B10" s="13" t="n">
        <v>9</v>
      </c>
      <c r="C10" s="13" t="inlineStr">
        <is>
          <t>Boleto/Financeiro</t>
        </is>
      </c>
      <c r="D10" s="13" t="inlineStr"/>
      <c r="E10" s="13" t="inlineStr"/>
      <c r="F10" s="13" t="inlineStr"/>
      <c r="G10" s="25" t="n"/>
      <c r="H10" s="25" t="n"/>
      <c r="I10" s="13" t="inlineStr"/>
      <c r="J10" s="13" t="inlineStr">
        <is>
          <t>FORNECEDORA CAMINHOES COMERCIO E SERVIGOS LTDA, CNPJ:19.377.865/0006-04</t>
        </is>
      </c>
      <c r="K10" s="13" t="inlineStr">
        <is>
          <t>19.377.865/0006-04</t>
        </is>
      </c>
      <c r="L10" s="13" t="inlineStr">
        <is>
          <t>23.655.038/0002-89</t>
        </is>
      </c>
      <c r="M10" s="13" t="inlineStr">
        <is>
          <t>SKAL /0002</t>
        </is>
      </c>
      <c r="N10" s="13" t="inlineStr">
        <is>
          <t>Apoio</t>
        </is>
      </c>
      <c r="O10" s="13" t="inlineStr">
        <is>
          <t>Documento de apoio</t>
        </is>
      </c>
      <c r="P10" s="15" t="inlineStr"/>
      <c r="Q10" s="16" t="n"/>
      <c r="R10" s="16" t="n"/>
      <c r="S10" s="16" t="n"/>
      <c r="T10" s="16" t="n"/>
      <c r="U10" s="16" t="n"/>
      <c r="V10" s="17" t="n"/>
      <c r="W10" s="16" t="n"/>
      <c r="X10" s="16" t="n"/>
      <c r="Y10" s="16" t="n"/>
      <c r="Z10" s="16" t="n"/>
      <c r="AA10" s="16" t="n"/>
      <c r="AB10" s="16" t="n"/>
      <c r="AC10" s="16" t="n"/>
      <c r="AD10" s="17" t="n"/>
      <c r="AE10" s="16" t="n"/>
      <c r="AF10" s="16" t="n"/>
      <c r="AG10" s="16" t="n"/>
      <c r="AH10" s="16" t="n"/>
      <c r="AI10" s="16" t="n"/>
      <c r="AJ10" s="16" t="n"/>
      <c r="AK10" s="16" t="n"/>
      <c r="AL10" s="16" t="n"/>
      <c r="AM10" s="13" t="inlineStr">
        <is>
          <t>Media</t>
        </is>
      </c>
      <c r="AN10" s="13" t="inlineStr"/>
      <c r="AO10" s="19" t="inlineStr">
        <is>
          <t>Não</t>
        </is>
      </c>
      <c r="AP10" s="13" t="inlineStr"/>
      <c r="AQ10" s="13" t="inlineStr"/>
      <c r="AR10" s="15" t="inlineStr"/>
      <c r="AS10" s="15" t="inlineStr">
        <is>
          <t>NOTAS FISCAIS DE COMPRA JANEIRO 2026.pdf - p. 9</t>
        </is>
      </c>
    </row>
    <row r="11">
      <c r="A11" s="13" t="inlineStr">
        <is>
          <t>JAN26-P010</t>
        </is>
      </c>
      <c r="B11" s="13" t="n">
        <v>10</v>
      </c>
      <c r="C11" s="13" t="inlineStr">
        <is>
          <t>Boleto/Financeiro</t>
        </is>
      </c>
      <c r="D11" s="13" t="inlineStr"/>
      <c r="E11" s="13" t="inlineStr"/>
      <c r="F11" s="13" t="inlineStr"/>
      <c r="G11" s="25" t="n"/>
      <c r="H11" s="25" t="n"/>
      <c r="I11" s="13" t="inlineStr"/>
      <c r="J11" s="13" t="inlineStr">
        <is>
          <t>FORNECEDORA CAMINHOES COMERCIO &amp; SERVICOS LTDA, CNPJ:19:377.805/0006-04</t>
        </is>
      </c>
      <c r="K11" s="13" t="inlineStr"/>
      <c r="L11" s="13" t="inlineStr"/>
      <c r="M11" s="13" t="inlineStr"/>
      <c r="N11" s="13" t="inlineStr">
        <is>
          <t>Apoio</t>
        </is>
      </c>
      <c r="O11" s="13" t="inlineStr">
        <is>
          <t>Documento de apoio</t>
        </is>
      </c>
      <c r="P11" s="15" t="inlineStr"/>
      <c r="Q11" s="16" t="n"/>
      <c r="R11" s="16" t="n"/>
      <c r="S11" s="16" t="n"/>
      <c r="T11" s="16" t="n"/>
      <c r="U11" s="16" t="n"/>
      <c r="V11" s="17" t="n"/>
      <c r="W11" s="16" t="n"/>
      <c r="X11" s="16" t="n"/>
      <c r="Y11" s="16" t="n"/>
      <c r="Z11" s="16" t="n"/>
      <c r="AA11" s="16" t="n"/>
      <c r="AB11" s="16" t="n"/>
      <c r="AC11" s="16" t="n"/>
      <c r="AD11" s="17" t="n"/>
      <c r="AE11" s="16" t="n"/>
      <c r="AF11" s="16" t="n"/>
      <c r="AG11" s="16" t="n"/>
      <c r="AH11" s="16" t="n"/>
      <c r="AI11" s="16" t="n"/>
      <c r="AJ11" s="16" t="n"/>
      <c r="AK11" s="16" t="n"/>
      <c r="AL11" s="16" t="n"/>
      <c r="AM11" s="13" t="inlineStr">
        <is>
          <t>Baixa</t>
        </is>
      </c>
      <c r="AN11" s="13" t="inlineStr"/>
      <c r="AO11" s="19" t="inlineStr">
        <is>
          <t>Não</t>
        </is>
      </c>
      <c r="AP11" s="13" t="inlineStr"/>
      <c r="AQ11" s="13" t="inlineStr"/>
      <c r="AR11" s="15" t="inlineStr"/>
      <c r="AS11" s="15" t="inlineStr">
        <is>
          <t>NOTAS FISCAIS DE COMPRA JANEIRO 2026.pdf - p. 10</t>
        </is>
      </c>
    </row>
    <row r="12">
      <c r="A12" s="13" t="inlineStr">
        <is>
          <t>JAN26-P011</t>
        </is>
      </c>
      <c r="B12" s="13" t="n">
        <v>11</v>
      </c>
      <c r="C12" s="13" t="inlineStr">
        <is>
          <t>Boleto/Financeiro</t>
        </is>
      </c>
      <c r="D12" s="13" t="inlineStr"/>
      <c r="E12" s="13" t="inlineStr"/>
      <c r="F12" s="13" t="inlineStr"/>
      <c r="G12" s="25" t="n"/>
      <c r="H12" s="25" t="n"/>
      <c r="I12" s="13" t="inlineStr"/>
      <c r="J12" s="13" t="inlineStr">
        <is>
          <t>FORNECEDORA CAMINHOES COMERCIO E SERVICOS LTDA, CNPJ:19.377.805/0006-04</t>
        </is>
      </c>
      <c r="K12" s="13" t="inlineStr"/>
      <c r="L12" s="13" t="inlineStr">
        <is>
          <t>23.655.038/0002-89</t>
        </is>
      </c>
      <c r="M12" s="13" t="inlineStr">
        <is>
          <t>SKAL /0002</t>
        </is>
      </c>
      <c r="N12" s="13" t="inlineStr">
        <is>
          <t>Apoio</t>
        </is>
      </c>
      <c r="O12" s="13" t="inlineStr">
        <is>
          <t>Documento de apoio</t>
        </is>
      </c>
      <c r="P12" s="15" t="inlineStr"/>
      <c r="Q12" s="16" t="n"/>
      <c r="R12" s="16" t="n"/>
      <c r="S12" s="16" t="n"/>
      <c r="T12" s="16" t="n"/>
      <c r="U12" s="16" t="n"/>
      <c r="V12" s="17" t="n"/>
      <c r="W12" s="16" t="n"/>
      <c r="X12" s="16" t="n"/>
      <c r="Y12" s="16" t="n"/>
      <c r="Z12" s="16" t="n"/>
      <c r="AA12" s="16" t="n"/>
      <c r="AB12" s="16" t="n"/>
      <c r="AC12" s="16" t="n"/>
      <c r="AD12" s="17" t="n"/>
      <c r="AE12" s="16" t="n"/>
      <c r="AF12" s="16" t="n"/>
      <c r="AG12" s="16" t="n"/>
      <c r="AH12" s="16" t="n"/>
      <c r="AI12" s="16" t="n"/>
      <c r="AJ12" s="16" t="n"/>
      <c r="AK12" s="16" t="n"/>
      <c r="AL12" s="16" t="n"/>
      <c r="AM12" s="13" t="inlineStr">
        <is>
          <t>Baixa</t>
        </is>
      </c>
      <c r="AN12" s="13" t="inlineStr"/>
      <c r="AO12" s="19" t="inlineStr">
        <is>
          <t>Não</t>
        </is>
      </c>
      <c r="AP12" s="13" t="inlineStr"/>
      <c r="AQ12" s="13" t="inlineStr"/>
      <c r="AR12" s="15" t="inlineStr"/>
      <c r="AS12" s="15" t="inlineStr">
        <is>
          <t>NOTAS FISCAIS DE COMPRA JANEIRO 2026.pdf - p. 11</t>
        </is>
      </c>
    </row>
    <row r="13">
      <c r="A13" s="13" t="inlineStr">
        <is>
          <t>JAN26-P012</t>
        </is>
      </c>
      <c r="B13" s="13" t="n">
        <v>12</v>
      </c>
      <c r="C13" s="13" t="inlineStr">
        <is>
          <t>NFS-e</t>
        </is>
      </c>
      <c r="D13" s="13" t="inlineStr"/>
      <c r="E13" s="13" t="inlineStr">
        <is>
          <t>863</t>
        </is>
      </c>
      <c r="F13" s="13" t="inlineStr">
        <is>
          <t>U</t>
        </is>
      </c>
      <c r="G13" s="25" t="n">
        <v>46022</v>
      </c>
      <c r="H13" s="25" t="n"/>
      <c r="I13" s="13" t="inlineStr"/>
      <c r="J13" s="13" t="inlineStr">
        <is>
          <t>GESTAO - INOVACAO EMPRESARIAL LTDA</t>
        </is>
      </c>
      <c r="K13" s="13" t="inlineStr">
        <is>
          <t>20.504.019/0001-82</t>
        </is>
      </c>
      <c r="L13" s="13" t="inlineStr">
        <is>
          <t>23.655.038/0002-89</t>
        </is>
      </c>
      <c r="M13" s="13" t="inlineStr">
        <is>
          <t>SKAL /0002</t>
        </is>
      </c>
      <c r="N13" s="13" t="inlineStr">
        <is>
          <t>Servicos</t>
        </is>
      </c>
      <c r="O13" s="13" t="inlineStr">
        <is>
          <t>Consultoria/assessoria</t>
        </is>
      </c>
      <c r="P13" s="15" t="inlineStr">
        <is>
          <t>SERVICO DE ACOMPANHAMENTO DE PROCESSOS ADMINISTRATIVOS, REFERENTE AO MES DE NOVEMBRO DE 2025</t>
        </is>
      </c>
      <c r="Q13" s="16" t="n">
        <v>759</v>
      </c>
      <c r="R13" s="16" t="n"/>
      <c r="S13" s="16" t="n">
        <v>759</v>
      </c>
      <c r="T13" s="16" t="n"/>
      <c r="U13" s="16" t="n"/>
      <c r="V13" s="17" t="n"/>
      <c r="W13" s="16" t="n"/>
      <c r="X13" s="16" t="n"/>
      <c r="Y13" s="16" t="n"/>
      <c r="Z13" s="16" t="n"/>
      <c r="AA13" s="16" t="n"/>
      <c r="AB13" s="16" t="n"/>
      <c r="AC13" s="16" t="n"/>
      <c r="AD13" s="17" t="n"/>
      <c r="AE13" s="16" t="n"/>
      <c r="AF13" s="16" t="n"/>
      <c r="AG13" s="16" t="n"/>
      <c r="AH13" s="16" t="n"/>
      <c r="AI13" s="16" t="n"/>
      <c r="AJ13" s="16" t="n"/>
      <c r="AK13" s="16" t="n"/>
      <c r="AL13" s="16" t="n"/>
      <c r="AM13" s="13" t="inlineStr">
        <is>
          <t>Alta</t>
        </is>
      </c>
      <c r="AN13" s="13" t="inlineStr"/>
      <c r="AO13" s="18" t="inlineStr">
        <is>
          <t>Sim</t>
        </is>
      </c>
      <c r="AP13" s="13" t="inlineStr"/>
      <c r="AQ13" s="13" t="inlineStr"/>
      <c r="AR13" s="15" t="inlineStr"/>
      <c r="AS13" s="15" t="inlineStr">
        <is>
          <t>NOTAS FISCAIS DE COMPRA JANEIRO 2026.pdf - p. 12</t>
        </is>
      </c>
    </row>
    <row r="14">
      <c r="A14" s="13" t="inlineStr">
        <is>
          <t>JAN26-P013</t>
        </is>
      </c>
      <c r="B14" s="13" t="n">
        <v>13</v>
      </c>
      <c r="C14" s="13" t="inlineStr">
        <is>
          <t>NFS-e</t>
        </is>
      </c>
      <c r="D14" s="13" t="inlineStr"/>
      <c r="E14" s="13" t="inlineStr">
        <is>
          <t>863</t>
        </is>
      </c>
      <c r="F14" s="13" t="inlineStr">
        <is>
          <t>U</t>
        </is>
      </c>
      <c r="G14" s="25" t="n">
        <v>46022</v>
      </c>
      <c r="H14" s="25" t="n"/>
      <c r="I14" s="13" t="inlineStr"/>
      <c r="J14" s="13" t="inlineStr">
        <is>
          <t>GESTAO - INOVACAO EMPRESARIAL LTDA</t>
        </is>
      </c>
      <c r="K14" s="13" t="inlineStr">
        <is>
          <t>20.504.019/0001-82</t>
        </is>
      </c>
      <c r="L14" s="13" t="inlineStr">
        <is>
          <t>23.655.038/0002-89</t>
        </is>
      </c>
      <c r="M14" s="13" t="inlineStr">
        <is>
          <t>SKAL /0002</t>
        </is>
      </c>
      <c r="N14" s="13" t="inlineStr">
        <is>
          <t>Servicos</t>
        </is>
      </c>
      <c r="O14" s="13" t="inlineStr">
        <is>
          <t>Consultoria/assessoria</t>
        </is>
      </c>
      <c r="P14" s="15" t="inlineStr">
        <is>
          <t>SERVICO DE ACOMPANHAMENTO DE PROCESSOS ADMINISTRATIVOS, REFERENTE AO MES DE NOVEMBRO DE 2025</t>
        </is>
      </c>
      <c r="Q14" s="16" t="n">
        <v>759</v>
      </c>
      <c r="R14" s="16" t="n"/>
      <c r="S14" s="16" t="n">
        <v>759</v>
      </c>
      <c r="T14" s="16" t="n"/>
      <c r="U14" s="16" t="n"/>
      <c r="V14" s="17" t="n"/>
      <c r="W14" s="16" t="n"/>
      <c r="X14" s="16" t="n"/>
      <c r="Y14" s="16" t="n"/>
      <c r="Z14" s="16" t="n"/>
      <c r="AA14" s="16" t="n"/>
      <c r="AB14" s="16" t="n"/>
      <c r="AC14" s="16" t="n"/>
      <c r="AD14" s="17" t="n"/>
      <c r="AE14" s="16" t="n"/>
      <c r="AF14" s="16" t="n"/>
      <c r="AG14" s="16" t="n"/>
      <c r="AH14" s="16" t="n"/>
      <c r="AI14" s="16" t="n"/>
      <c r="AJ14" s="16" t="n"/>
      <c r="AK14" s="16" t="n"/>
      <c r="AL14" s="16" t="n"/>
      <c r="AM14" s="13" t="inlineStr">
        <is>
          <t>Alta</t>
        </is>
      </c>
      <c r="AN14" s="13" t="inlineStr"/>
      <c r="AO14" s="19" t="inlineStr">
        <is>
          <t>Não</t>
        </is>
      </c>
      <c r="AP14" s="13" t="inlineStr">
        <is>
          <t>P12</t>
        </is>
      </c>
      <c r="AQ14" s="22" t="inlineStr">
        <is>
          <t>Duplicado exato</t>
        </is>
      </c>
      <c r="AR14" s="15" t="inlineStr">
        <is>
          <t>Página repetida do mesmo documento fiscal; excluída da soma para evitar dupla contabilização.</t>
        </is>
      </c>
      <c r="AS14" s="15" t="inlineStr">
        <is>
          <t>NOTAS FISCAIS DE COMPRA JANEIRO 2026.pdf - p. 13</t>
        </is>
      </c>
    </row>
    <row r="15">
      <c r="A15" s="13" t="inlineStr">
        <is>
          <t>JAN26-P014</t>
        </is>
      </c>
      <c r="B15" s="13" t="n">
        <v>14</v>
      </c>
      <c r="C15" s="13" t="inlineStr">
        <is>
          <t>NFCom</t>
        </is>
      </c>
      <c r="D15" s="13" t="inlineStr">
        <is>
          <t>62</t>
        </is>
      </c>
      <c r="E15" s="13" t="inlineStr">
        <is>
          <t>303</t>
        </is>
      </c>
      <c r="F15" s="13" t="inlineStr">
        <is>
          <t>001</t>
        </is>
      </c>
      <c r="G15" s="25" t="n">
        <v>46034</v>
      </c>
      <c r="H15" s="25" t="n">
        <v>46042</v>
      </c>
      <c r="I15" s="13" t="inlineStr">
        <is>
          <t>22260109590480000162620010000003031062963074</t>
        </is>
      </c>
      <c r="J15" s="13" t="inlineStr">
        <is>
          <t>TELEVISAO PIONEIRA LTDA</t>
        </is>
      </c>
      <c r="K15" s="13" t="inlineStr">
        <is>
          <t>09.590.480/0001-62</t>
        </is>
      </c>
      <c r="L15" s="13" t="inlineStr">
        <is>
          <t>23.655.038/0002-89</t>
        </is>
      </c>
      <c r="M15" s="13" t="inlineStr">
        <is>
          <t>SKAL /0002</t>
        </is>
      </c>
      <c r="N15" s="13" t="inlineStr">
        <is>
          <t>Servicos</t>
        </is>
      </c>
      <c r="O15" s="13" t="inlineStr">
        <is>
          <t>Publicidade/patrocinio em comunicacao</t>
        </is>
      </c>
      <c r="P15" s="15" t="inlineStr">
        <is>
          <t>VEICULACAO VT 30, PATROCINIO - CIDADE VERDE ESPORTE. PERIODO: JANEIRO A DEZEMBRO DE 2026. PRODUTO: KALFIX - CIMENTO APODI. PARCELA 01/12.</t>
        </is>
      </c>
      <c r="Q15" s="16" t="n">
        <v>10000</v>
      </c>
      <c r="R15" s="16" t="n"/>
      <c r="S15" s="16" t="n"/>
      <c r="T15" s="16" t="n"/>
      <c r="U15" s="16" t="n">
        <v>0</v>
      </c>
      <c r="V15" s="17" t="n"/>
      <c r="W15" s="16" t="n">
        <v>0</v>
      </c>
      <c r="X15" s="16" t="n"/>
      <c r="Y15" s="16" t="n"/>
      <c r="Z15" s="16" t="n"/>
      <c r="AA15" s="16" t="n">
        <v>65</v>
      </c>
      <c r="AB15" s="16" t="n">
        <v>300</v>
      </c>
      <c r="AC15" s="16" t="n"/>
      <c r="AD15" s="17" t="n"/>
      <c r="AE15" s="16" t="n"/>
      <c r="AF15" s="16" t="n"/>
      <c r="AG15" s="16" t="n"/>
      <c r="AH15" s="16" t="n"/>
      <c r="AI15" s="16" t="n"/>
      <c r="AJ15" s="16" t="n"/>
      <c r="AK15" s="16" t="n"/>
      <c r="AL15" s="16" t="n"/>
      <c r="AM15" s="13" t="inlineStr">
        <is>
          <t>Alta</t>
        </is>
      </c>
      <c r="AN15" s="13" t="inlineStr"/>
      <c r="AO15" s="18" t="inlineStr">
        <is>
          <t>Sim</t>
        </is>
      </c>
      <c r="AP15" s="13" t="inlineStr"/>
      <c r="AQ15" s="13" t="inlineStr"/>
      <c r="AR15" s="15" t="inlineStr"/>
      <c r="AS15" s="15" t="inlineStr">
        <is>
          <t>NOTAS FISCAIS DE COMPRA JANEIRO 2026.pdf - p. 14</t>
        </is>
      </c>
    </row>
    <row r="16">
      <c r="A16" s="13" t="inlineStr">
        <is>
          <t>JAN26-P015</t>
        </is>
      </c>
      <c r="B16" s="13" t="n">
        <v>15</v>
      </c>
      <c r="C16" s="13" t="inlineStr">
        <is>
          <t>Outros/Documento</t>
        </is>
      </c>
      <c r="D16" s="13" t="inlineStr"/>
      <c r="E16" s="13" t="inlineStr"/>
      <c r="F16" s="13" t="inlineStr"/>
      <c r="G16" s="25" t="n"/>
      <c r="H16" s="25" t="n"/>
      <c r="I16" s="13" t="inlineStr"/>
      <c r="J16" s="13" t="inlineStr">
        <is>
          <t>MOS DE F &amp; | INDUSTRIA E COMERCIO DE PRODUTOS DE LIMPEZA LTDA</t>
        </is>
      </c>
      <c r="K16" s="13" t="inlineStr"/>
      <c r="L16" s="13" t="inlineStr"/>
      <c r="M16" s="13" t="inlineStr"/>
      <c r="N16" s="13" t="inlineStr">
        <is>
          <t>Apoio</t>
        </is>
      </c>
      <c r="O16" s="13" t="inlineStr">
        <is>
          <t>Documento de apoio</t>
        </is>
      </c>
      <c r="P16" s="15" t="inlineStr"/>
      <c r="Q16" s="16" t="n"/>
      <c r="R16" s="16" t="n"/>
      <c r="S16" s="16" t="n"/>
      <c r="T16" s="16" t="n"/>
      <c r="U16" s="16" t="n"/>
      <c r="V16" s="17" t="n"/>
      <c r="W16" s="16" t="n"/>
      <c r="X16" s="16" t="n"/>
      <c r="Y16" s="16" t="n"/>
      <c r="Z16" s="16" t="n"/>
      <c r="AA16" s="16" t="n"/>
      <c r="AB16" s="16" t="n"/>
      <c r="AC16" s="16" t="n"/>
      <c r="AD16" s="17" t="n"/>
      <c r="AE16" s="16" t="n"/>
      <c r="AF16" s="16" t="n"/>
      <c r="AG16" s="16" t="n"/>
      <c r="AH16" s="16" t="n"/>
      <c r="AI16" s="16" t="n"/>
      <c r="AJ16" s="16" t="n"/>
      <c r="AK16" s="16" t="n"/>
      <c r="AL16" s="16" t="n"/>
      <c r="AM16" s="13" t="inlineStr">
        <is>
          <t>Baixa</t>
        </is>
      </c>
      <c r="AN16" s="13" t="inlineStr"/>
      <c r="AO16" s="19" t="inlineStr">
        <is>
          <t>Não</t>
        </is>
      </c>
      <c r="AP16" s="13" t="inlineStr"/>
      <c r="AQ16" s="13" t="inlineStr"/>
      <c r="AR16" s="15" t="inlineStr"/>
      <c r="AS16" s="15" t="inlineStr">
        <is>
          <t>NOTAS FISCAIS DE COMPRA JANEIRO 2026.pdf - p. 15</t>
        </is>
      </c>
    </row>
    <row r="17">
      <c r="A17" s="13" t="inlineStr">
        <is>
          <t>JAN26-P016</t>
        </is>
      </c>
      <c r="B17" s="13" t="n">
        <v>16</v>
      </c>
      <c r="C17" s="13" t="inlineStr">
        <is>
          <t>NF-e</t>
        </is>
      </c>
      <c r="D17" s="13" t="inlineStr"/>
      <c r="E17" s="13" t="inlineStr"/>
      <c r="F17" s="13" t="inlineStr"/>
      <c r="G17" s="25" t="n">
        <v>46050</v>
      </c>
      <c r="H17" s="25" t="n"/>
      <c r="I17" s="13" t="inlineStr"/>
      <c r="J17" s="13" t="inlineStr">
        <is>
          <t>| www.nfe.fazenda.gov.br/portal ou no site da Sefaz Autorizadora</t>
        </is>
      </c>
      <c r="K17" s="13" t="inlineStr">
        <is>
          <t>31.838.128/0025-20</t>
        </is>
      </c>
      <c r="L17" s="13" t="inlineStr"/>
      <c r="M17" s="13" t="inlineStr"/>
      <c r="N17" s="13" t="inlineStr">
        <is>
          <t>Produtos</t>
        </is>
      </c>
      <c r="O17" s="13" t="inlineStr">
        <is>
          <t>Outros produtos</t>
        </is>
      </c>
      <c r="P17" s="15" t="inlineStr"/>
      <c r="Q17" s="16" t="n"/>
      <c r="R17" s="16" t="n"/>
      <c r="S17" s="16" t="n"/>
      <c r="T17" s="16" t="n"/>
      <c r="U17" s="16" t="n"/>
      <c r="V17" s="17" t="n"/>
      <c r="W17" s="16" t="n"/>
      <c r="X17" s="16" t="n"/>
      <c r="Y17" s="16" t="n"/>
      <c r="Z17" s="16" t="n"/>
      <c r="AA17" s="16" t="n"/>
      <c r="AB17" s="16" t="n"/>
      <c r="AC17" s="16" t="n"/>
      <c r="AD17" s="17" t="n"/>
      <c r="AE17" s="16" t="n"/>
      <c r="AF17" s="16" t="n"/>
      <c r="AG17" s="16" t="n"/>
      <c r="AH17" s="16" t="n"/>
      <c r="AI17" s="16" t="n"/>
      <c r="AJ17" s="16" t="n"/>
      <c r="AK17" s="16" t="n"/>
      <c r="AL17" s="16" t="n"/>
      <c r="AM17" s="13" t="inlineStr">
        <is>
          <t>Media</t>
        </is>
      </c>
      <c r="AN17" s="21" t="inlineStr">
        <is>
          <t>Revisar documento</t>
        </is>
      </c>
      <c r="AO17" s="20" t="inlineStr">
        <is>
          <t>Revisar</t>
        </is>
      </c>
      <c r="AP17" s="13" t="inlineStr"/>
      <c r="AQ17" s="13" t="inlineStr"/>
      <c r="AR17" s="15" t="inlineStr"/>
      <c r="AS17" s="15" t="inlineStr">
        <is>
          <t>NOTAS FISCAIS DE COMPRA JANEIRO 2026.pdf - p. 16</t>
        </is>
      </c>
    </row>
    <row r="18">
      <c r="A18" s="13" t="inlineStr">
        <is>
          <t>JAN26-P017</t>
        </is>
      </c>
      <c r="B18" s="13" t="n">
        <v>17</v>
      </c>
      <c r="C18" s="13" t="inlineStr">
        <is>
          <t>CT-e</t>
        </is>
      </c>
      <c r="D18" s="13" t="inlineStr">
        <is>
          <t>57</t>
        </is>
      </c>
      <c r="E18" s="13" t="inlineStr">
        <is>
          <t>446</t>
        </is>
      </c>
      <c r="F18" s="13" t="inlineStr">
        <is>
          <t>1</t>
        </is>
      </c>
      <c r="G18" s="25" t="n">
        <v>46050</v>
      </c>
      <c r="H18" s="25" t="n"/>
      <c r="I18" s="13" t="inlineStr">
        <is>
          <t>23260142709787000377570010000004461000000000</t>
        </is>
      </c>
      <c r="J18" s="13" t="inlineStr">
        <is>
          <t>F G INTELIGENCIA EM LOGISTICA LTDA</t>
        </is>
      </c>
      <c r="K18" s="13" t="inlineStr">
        <is>
          <t>42.709.787/0003-77</t>
        </is>
      </c>
      <c r="L18" s="13" t="inlineStr">
        <is>
          <t>23.655.038/0002-89</t>
        </is>
      </c>
      <c r="M18" s="13" t="inlineStr">
        <is>
          <t>SKAL /0002</t>
        </is>
      </c>
      <c r="N18" s="13" t="inlineStr">
        <is>
          <t>Fretes</t>
        </is>
      </c>
      <c r="O18" s="13" t="inlineStr">
        <is>
          <t>Frete de insumo - cimento</t>
        </is>
      </c>
      <c r="P18" s="15" t="inlineStr">
        <is>
          <t>Frete rodoviário de aquisição de cimento - remetente Companhia Industrial de Cimento Apodi.</t>
        </is>
      </c>
      <c r="Q18" s="16" t="n">
        <v>11702.5</v>
      </c>
      <c r="R18" s="16" t="n"/>
      <c r="S18" s="16" t="n"/>
      <c r="T18" s="16" t="n">
        <v>11702.5</v>
      </c>
      <c r="U18" s="16" t="n">
        <v>11702.5</v>
      </c>
      <c r="V18" s="17" t="n">
        <v>0.12</v>
      </c>
      <c r="W18" s="16" t="n">
        <v>1404.3</v>
      </c>
      <c r="X18" s="16" t="n"/>
      <c r="Y18" s="16" t="n"/>
      <c r="Z18" s="16" t="n"/>
      <c r="AA18" s="16" t="n"/>
      <c r="AB18" s="16" t="n"/>
      <c r="AC18" s="16" t="n"/>
      <c r="AD18" s="17" t="n"/>
      <c r="AE18" s="16" t="n"/>
      <c r="AF18" s="16" t="n"/>
      <c r="AG18" s="16" t="n"/>
      <c r="AH18" s="16" t="n"/>
      <c r="AI18" s="16" t="n"/>
      <c r="AJ18" s="16" t="n"/>
      <c r="AK18" s="16" t="n"/>
      <c r="AL18" s="16" t="n">
        <v>18686.25</v>
      </c>
      <c r="AM18" s="13" t="inlineStr">
        <is>
          <t>Alta</t>
        </is>
      </c>
      <c r="AN18" s="13" t="inlineStr"/>
      <c r="AO18" s="18" t="inlineStr">
        <is>
          <t>Sim</t>
        </is>
      </c>
      <c r="AP18" s="13" t="inlineStr"/>
      <c r="AQ18" s="13" t="inlineStr"/>
      <c r="AR18" s="15" t="inlineStr"/>
      <c r="AS18" s="15" t="inlineStr">
        <is>
          <t>NOTAS FISCAIS DE COMPRA JANEIRO 2026.pdf - p. 17</t>
        </is>
      </c>
    </row>
    <row r="19">
      <c r="A19" s="13" t="inlineStr">
        <is>
          <t>JAN26-P018</t>
        </is>
      </c>
      <c r="B19" s="13" t="n">
        <v>18</v>
      </c>
      <c r="C19" s="13" t="inlineStr">
        <is>
          <t>CT-e</t>
        </is>
      </c>
      <c r="D19" s="13" t="inlineStr">
        <is>
          <t>57</t>
        </is>
      </c>
      <c r="E19" s="13" t="inlineStr">
        <is>
          <t>445</t>
        </is>
      </c>
      <c r="F19" s="13" t="inlineStr">
        <is>
          <t>1</t>
        </is>
      </c>
      <c r="G19" s="25" t="n">
        <v>46049</v>
      </c>
      <c r="H19" s="25" t="n"/>
      <c r="I19" s="13" t="inlineStr">
        <is>
          <t>23260142709787000377570010000004451000000002</t>
        </is>
      </c>
      <c r="J19" s="13" t="inlineStr">
        <is>
          <t>F G INTELIGENCIA EM LOGISTICA LTDA</t>
        </is>
      </c>
      <c r="K19" s="13" t="inlineStr">
        <is>
          <t>42.709.787/0003-77</t>
        </is>
      </c>
      <c r="L19" s="13" t="inlineStr">
        <is>
          <t>23.655.038/0002-89</t>
        </is>
      </c>
      <c r="M19" s="13" t="inlineStr">
        <is>
          <t>SKAL /0002</t>
        </is>
      </c>
      <c r="N19" s="13" t="inlineStr">
        <is>
          <t>Fretes</t>
        </is>
      </c>
      <c r="O19" s="13" t="inlineStr">
        <is>
          <t>Frete de insumo - cimento</t>
        </is>
      </c>
      <c r="P19" s="15" t="inlineStr">
        <is>
          <t>Frete rodoviário de aquisição de cimento - remetente Companhia Industrial de Cimento Apodi.</t>
        </is>
      </c>
      <c r="Q19" s="16" t="n">
        <v>11838.9</v>
      </c>
      <c r="R19" s="16" t="n"/>
      <c r="S19" s="16" t="n">
        <v>1938.9</v>
      </c>
      <c r="T19" s="16" t="n">
        <v>11838.9</v>
      </c>
      <c r="U19" s="16" t="n">
        <v>11838.9</v>
      </c>
      <c r="V19" s="17" t="n">
        <v>0.12</v>
      </c>
      <c r="W19" s="16" t="n">
        <v>1420.67</v>
      </c>
      <c r="X19" s="16" t="n"/>
      <c r="Y19" s="16" t="n"/>
      <c r="Z19" s="16" t="n"/>
      <c r="AA19" s="16" t="n"/>
      <c r="AB19" s="16" t="n"/>
      <c r="AC19" s="16" t="n"/>
      <c r="AD19" s="17" t="n"/>
      <c r="AE19" s="16" t="n"/>
      <c r="AF19" s="16" t="n"/>
      <c r="AG19" s="16" t="n"/>
      <c r="AH19" s="16" t="n"/>
      <c r="AI19" s="16" t="n"/>
      <c r="AJ19" s="16" t="n"/>
      <c r="AK19" s="16" t="n"/>
      <c r="AL19" s="16" t="n">
        <v>18904.05</v>
      </c>
      <c r="AM19" s="13" t="inlineStr">
        <is>
          <t>Alta</t>
        </is>
      </c>
      <c r="AN19" s="13" t="inlineStr"/>
      <c r="AO19" s="18" t="inlineStr">
        <is>
          <t>Sim</t>
        </is>
      </c>
      <c r="AP19" s="13" t="inlineStr"/>
      <c r="AQ19" s="13" t="inlineStr"/>
      <c r="AR19" s="15" t="inlineStr"/>
      <c r="AS19" s="15" t="inlineStr">
        <is>
          <t>NOTAS FISCAIS DE COMPRA JANEIRO 2026.pdf - p. 18</t>
        </is>
      </c>
    </row>
    <row r="20">
      <c r="A20" s="13" t="inlineStr">
        <is>
          <t>JAN26-P019</t>
        </is>
      </c>
      <c r="B20" s="13" t="n">
        <v>19</v>
      </c>
      <c r="C20" s="13" t="inlineStr">
        <is>
          <t>CT-e</t>
        </is>
      </c>
      <c r="D20" s="13" t="inlineStr">
        <is>
          <t>57</t>
        </is>
      </c>
      <c r="E20" s="13" t="inlineStr">
        <is>
          <t>443</t>
        </is>
      </c>
      <c r="F20" s="13" t="inlineStr">
        <is>
          <t>1</t>
        </is>
      </c>
      <c r="G20" s="25" t="n">
        <v>46046</v>
      </c>
      <c r="H20" s="25" t="n"/>
      <c r="I20" s="13" t="inlineStr">
        <is>
          <t>23260142709787000377570010000004431000000008</t>
        </is>
      </c>
      <c r="J20" s="13" t="inlineStr">
        <is>
          <t>F G INTELIGENCIA EM LOGISTICA LTDA</t>
        </is>
      </c>
      <c r="K20" s="13" t="inlineStr">
        <is>
          <t>42.709.787/0003-77</t>
        </is>
      </c>
      <c r="L20" s="13" t="inlineStr">
        <is>
          <t>23.655.038/0002-89</t>
        </is>
      </c>
      <c r="M20" s="13" t="inlineStr">
        <is>
          <t>SKAL /0002</t>
        </is>
      </c>
      <c r="N20" s="13" t="inlineStr">
        <is>
          <t>Fretes</t>
        </is>
      </c>
      <c r="O20" s="13" t="inlineStr">
        <is>
          <t>Frete de insumo - cimento</t>
        </is>
      </c>
      <c r="P20" s="15" t="inlineStr">
        <is>
          <t>Frete rodoviário de aquisição de cimento - remetente Companhia Industrial de Cimento Apodi.</t>
        </is>
      </c>
      <c r="Q20" s="16" t="n">
        <v>11789.3</v>
      </c>
      <c r="R20" s="16" t="n"/>
      <c r="S20" s="16" t="n">
        <v>1.79</v>
      </c>
      <c r="T20" s="16" t="n">
        <v>11789.3</v>
      </c>
      <c r="U20" s="16" t="n">
        <v>11789.3</v>
      </c>
      <c r="V20" s="17" t="n">
        <v>0.12</v>
      </c>
      <c r="W20" s="16" t="n">
        <v>1414.72</v>
      </c>
      <c r="X20" s="16" t="n"/>
      <c r="Y20" s="16" t="n"/>
      <c r="Z20" s="16" t="n"/>
      <c r="AA20" s="16" t="n"/>
      <c r="AB20" s="16" t="n"/>
      <c r="AC20" s="16" t="n"/>
      <c r="AD20" s="17" t="n"/>
      <c r="AE20" s="16" t="n"/>
      <c r="AF20" s="16" t="n"/>
      <c r="AG20" s="16" t="n"/>
      <c r="AH20" s="16" t="n"/>
      <c r="AI20" s="16" t="n"/>
      <c r="AJ20" s="16" t="n"/>
      <c r="AK20" s="16" t="n"/>
      <c r="AL20" s="16" t="n">
        <v>18824.85</v>
      </c>
      <c r="AM20" s="13" t="inlineStr">
        <is>
          <t>Alta</t>
        </is>
      </c>
      <c r="AN20" s="13" t="inlineStr"/>
      <c r="AO20" s="18" t="inlineStr">
        <is>
          <t>Sim</t>
        </is>
      </c>
      <c r="AP20" s="13" t="inlineStr"/>
      <c r="AQ20" s="13" t="inlineStr"/>
      <c r="AR20" s="15" t="inlineStr"/>
      <c r="AS20" s="15" t="inlineStr">
        <is>
          <t>NOTAS FISCAIS DE COMPRA JANEIRO 2026.pdf - p. 19</t>
        </is>
      </c>
    </row>
    <row r="21">
      <c r="A21" s="13" t="inlineStr">
        <is>
          <t>JAN26-P020</t>
        </is>
      </c>
      <c r="B21" s="13" t="n">
        <v>20</v>
      </c>
      <c r="C21" s="13" t="inlineStr">
        <is>
          <t>NF-e</t>
        </is>
      </c>
      <c r="D21" s="13" t="inlineStr">
        <is>
          <t>55</t>
        </is>
      </c>
      <c r="E21" s="13" t="inlineStr">
        <is>
          <t>42508</t>
        </is>
      </c>
      <c r="F21" s="13" t="inlineStr">
        <is>
          <t>1</t>
        </is>
      </c>
      <c r="G21" s="25" t="n">
        <v>46051</v>
      </c>
      <c r="H21" s="25" t="n"/>
      <c r="I21" s="13" t="inlineStr">
        <is>
          <t>22260129190494000368550010000425081902488401</t>
        </is>
      </c>
      <c r="J21" s="13" t="inlineStr">
        <is>
          <t>www nfefazenda,gov.briportal ou no site da Sefiv Autorizadora</t>
        </is>
      </c>
      <c r="K21" s="13" t="inlineStr">
        <is>
          <t>29.190.494/0003-68</t>
        </is>
      </c>
      <c r="L21" s="13" t="inlineStr">
        <is>
          <t>23.655.038/0002-89</t>
        </is>
      </c>
      <c r="M21" s="13" t="inlineStr">
        <is>
          <t>SKAL /0002</t>
        </is>
      </c>
      <c r="N21" s="13" t="inlineStr">
        <is>
          <t>Produtos</t>
        </is>
      </c>
      <c r="O21" s="13" t="inlineStr">
        <is>
          <t>Outros produtos</t>
        </is>
      </c>
      <c r="P21" s="15" t="inlineStr"/>
      <c r="Q21" s="16" t="n"/>
      <c r="R21" s="16" t="n"/>
      <c r="S21" s="16" t="n"/>
      <c r="T21" s="16" t="n"/>
      <c r="U21" s="16" t="n"/>
      <c r="V21" s="17" t="n"/>
      <c r="W21" s="16" t="n"/>
      <c r="X21" s="16" t="n"/>
      <c r="Y21" s="16" t="n"/>
      <c r="Z21" s="16" t="n"/>
      <c r="AA21" s="16" t="n"/>
      <c r="AB21" s="16" t="n"/>
      <c r="AC21" s="16" t="n"/>
      <c r="AD21" s="17" t="n"/>
      <c r="AE21" s="16" t="n"/>
      <c r="AF21" s="16" t="n"/>
      <c r="AG21" s="16" t="n"/>
      <c r="AH21" s="16" t="n"/>
      <c r="AI21" s="16" t="n"/>
      <c r="AJ21" s="16" t="n"/>
      <c r="AK21" s="16" t="n"/>
      <c r="AL21" s="16" t="n"/>
      <c r="AM21" s="13" t="inlineStr">
        <is>
          <t>Alta</t>
        </is>
      </c>
      <c r="AN21" s="21" t="inlineStr">
        <is>
          <t>Revisar documento</t>
        </is>
      </c>
      <c r="AO21" s="20" t="inlineStr">
        <is>
          <t>Revisar</t>
        </is>
      </c>
      <c r="AP21" s="13" t="inlineStr"/>
      <c r="AQ21" s="13" t="inlineStr"/>
      <c r="AR21" s="15" t="inlineStr"/>
      <c r="AS21" s="15" t="inlineStr">
        <is>
          <t>NOTAS FISCAIS DE COMPRA JANEIRO 2026.pdf - p. 20</t>
        </is>
      </c>
    </row>
    <row r="22">
      <c r="A22" s="13" t="inlineStr">
        <is>
          <t>JAN26-P021</t>
        </is>
      </c>
      <c r="B22" s="13" t="n">
        <v>21</v>
      </c>
      <c r="C22" s="13" t="inlineStr">
        <is>
          <t>NF-e</t>
        </is>
      </c>
      <c r="D22" s="13" t="inlineStr"/>
      <c r="E22" s="13" t="inlineStr"/>
      <c r="F22" s="13" t="inlineStr"/>
      <c r="G22" s="25" t="n">
        <v>46051</v>
      </c>
      <c r="H22" s="25" t="n"/>
      <c r="I22" s="13" t="inlineStr"/>
      <c r="J22" s="13" t="inlineStr">
        <is>
          <t>www. nfe.fazenda,gov.br/portal ou no site da Sefaz Autorizadora</t>
        </is>
      </c>
      <c r="K22" s="13" t="inlineStr">
        <is>
          <t>29.190.494/0003-68</t>
        </is>
      </c>
      <c r="L22" s="13" t="inlineStr"/>
      <c r="M22" s="13" t="inlineStr"/>
      <c r="N22" s="13" t="inlineStr">
        <is>
          <t>Produtos</t>
        </is>
      </c>
      <c r="O22" s="13" t="inlineStr">
        <is>
          <t>Materia-prima - cimento</t>
        </is>
      </c>
      <c r="P22" s="15" t="inlineStr"/>
      <c r="Q22" s="16" t="n"/>
      <c r="R22" s="16" t="n"/>
      <c r="S22" s="16" t="n"/>
      <c r="T22" s="16" t="n"/>
      <c r="U22" s="16" t="n"/>
      <c r="V22" s="17" t="n"/>
      <c r="W22" s="16" t="n"/>
      <c r="X22" s="16" t="n"/>
      <c r="Y22" s="16" t="n"/>
      <c r="Z22" s="16" t="n"/>
      <c r="AA22" s="16" t="n"/>
      <c r="AB22" s="16" t="n"/>
      <c r="AC22" s="16" t="n"/>
      <c r="AD22" s="17" t="n"/>
      <c r="AE22" s="16" t="n"/>
      <c r="AF22" s="16" t="n"/>
      <c r="AG22" s="16" t="n"/>
      <c r="AH22" s="16" t="n"/>
      <c r="AI22" s="16" t="n"/>
      <c r="AJ22" s="16" t="n"/>
      <c r="AK22" s="16" t="n"/>
      <c r="AL22" s="16" t="n"/>
      <c r="AM22" s="13" t="inlineStr">
        <is>
          <t>Media</t>
        </is>
      </c>
      <c r="AN22" s="21" t="inlineStr">
        <is>
          <t>Revisar documento</t>
        </is>
      </c>
      <c r="AO22" s="20" t="inlineStr">
        <is>
          <t>Revisar</t>
        </is>
      </c>
      <c r="AP22" s="13" t="inlineStr"/>
      <c r="AQ22" s="13" t="inlineStr"/>
      <c r="AR22" s="15" t="inlineStr"/>
      <c r="AS22" s="15" t="inlineStr">
        <is>
          <t>NOTAS FISCAIS DE COMPRA JANEIRO 2026.pdf - p. 21</t>
        </is>
      </c>
    </row>
    <row r="23">
      <c r="A23" s="13" t="inlineStr">
        <is>
          <t>JAN26-P022</t>
        </is>
      </c>
      <c r="B23" s="13" t="n">
        <v>22</v>
      </c>
      <c r="C23" s="13" t="inlineStr">
        <is>
          <t>NF-e</t>
        </is>
      </c>
      <c r="D23" s="13" t="inlineStr"/>
      <c r="E23" s="13" t="inlineStr">
        <is>
          <t>537098</t>
        </is>
      </c>
      <c r="F23" s="13" t="inlineStr"/>
      <c r="G23" s="25" t="n">
        <v>46050</v>
      </c>
      <c r="H23" s="25" t="n"/>
      <c r="I23" s="13" t="inlineStr"/>
      <c r="J23" s="13" t="inlineStr">
        <is>
          <t>COMPANHIA INDUSTRIAL DE CIMENTO APODI</t>
        </is>
      </c>
      <c r="K23" s="13" t="inlineStr">
        <is>
          <t>10.260.249/0003-51</t>
        </is>
      </c>
      <c r="L23" s="13" t="inlineStr">
        <is>
          <t>23.655.038/0002-89</t>
        </is>
      </c>
      <c r="M23" s="13" t="inlineStr">
        <is>
          <t>SKAL /0002</t>
        </is>
      </c>
      <c r="N23" s="13" t="inlineStr">
        <is>
          <t>Produtos</t>
        </is>
      </c>
      <c r="O23" s="13" t="inlineStr">
        <is>
          <t>Cimento</t>
        </is>
      </c>
      <c r="P23" s="15" t="inlineStr">
        <is>
          <t>Cimento Portland / produção do estabelecimento - dados fiscais conforme DANFE.</t>
        </is>
      </c>
      <c r="Q23" s="16" t="n">
        <v>18686.25</v>
      </c>
      <c r="R23" s="16" t="n">
        <v>18686.25</v>
      </c>
      <c r="S23" s="16" t="n"/>
      <c r="T23" s="16" t="n"/>
      <c r="U23" s="16" t="n">
        <v>18686.25</v>
      </c>
      <c r="V23" s="17" t="n">
        <v>0.12</v>
      </c>
      <c r="W23" s="16" t="n">
        <v>2242.35</v>
      </c>
      <c r="X23" s="16" t="n"/>
      <c r="Y23" s="16" t="n"/>
      <c r="Z23" s="16" t="n"/>
      <c r="AA23" s="16" t="n"/>
      <c r="AB23" s="16" t="n"/>
      <c r="AC23" s="16" t="n"/>
      <c r="AD23" s="17" t="n"/>
      <c r="AE23" s="16" t="n"/>
      <c r="AF23" s="16" t="n"/>
      <c r="AG23" s="16" t="n"/>
      <c r="AH23" s="16" t="n"/>
      <c r="AI23" s="16" t="n"/>
      <c r="AJ23" s="16" t="n"/>
      <c r="AK23" s="16" t="n"/>
      <c r="AL23" s="16" t="n"/>
      <c r="AM23" s="13" t="inlineStr">
        <is>
          <t>Media</t>
        </is>
      </c>
      <c r="AN23" s="13" t="inlineStr"/>
      <c r="AO23" s="18" t="inlineStr">
        <is>
          <t>Sim</t>
        </is>
      </c>
      <c r="AP23" s="13" t="inlineStr"/>
      <c r="AQ23" s="13" t="inlineStr"/>
      <c r="AR23" s="15" t="inlineStr"/>
      <c r="AS23" s="15" t="inlineStr">
        <is>
          <t>NOTAS FISCAIS DE COMPRA JANEIRO 2026.pdf - p. 22</t>
        </is>
      </c>
    </row>
    <row r="24">
      <c r="A24" s="13" t="inlineStr">
        <is>
          <t>JAN26-P023</t>
        </is>
      </c>
      <c r="B24" s="13" t="n">
        <v>23</v>
      </c>
      <c r="C24" s="13" t="inlineStr">
        <is>
          <t>NF-e</t>
        </is>
      </c>
      <c r="D24" s="13" t="inlineStr"/>
      <c r="E24" s="13" t="inlineStr">
        <is>
          <t>536966</t>
        </is>
      </c>
      <c r="F24" s="13" t="inlineStr"/>
      <c r="G24" s="25" t="n">
        <v>46049</v>
      </c>
      <c r="H24" s="25" t="n"/>
      <c r="I24" s="13" t="inlineStr"/>
      <c r="J24" s="13" t="inlineStr">
        <is>
          <t>COMPANHIA INDUSTRIAL DE CIMENTO APODI</t>
        </is>
      </c>
      <c r="K24" s="13" t="inlineStr">
        <is>
          <t>10.260.249/0003-51</t>
        </is>
      </c>
      <c r="L24" s="13" t="inlineStr">
        <is>
          <t>23.655.038/0002-89</t>
        </is>
      </c>
      <c r="M24" s="13" t="inlineStr">
        <is>
          <t>SKAL /0002</t>
        </is>
      </c>
      <c r="N24" s="13" t="inlineStr">
        <is>
          <t>Produtos</t>
        </is>
      </c>
      <c r="O24" s="13" t="inlineStr">
        <is>
          <t>Cimento</t>
        </is>
      </c>
      <c r="P24" s="15" t="inlineStr">
        <is>
          <t>Cimento Portland / produção do estabelecimento - dados fiscais conforme DANFE.</t>
        </is>
      </c>
      <c r="Q24" s="16" t="n">
        <v>18904.05</v>
      </c>
      <c r="R24" s="16" t="n">
        <v>18904.05</v>
      </c>
      <c r="S24" s="16" t="n"/>
      <c r="T24" s="16" t="n"/>
      <c r="U24" s="16" t="n">
        <v>18904.05</v>
      </c>
      <c r="V24" s="17" t="n">
        <v>0.12</v>
      </c>
      <c r="W24" s="16" t="n">
        <v>2268.49</v>
      </c>
      <c r="X24" s="16" t="n"/>
      <c r="Y24" s="16" t="n"/>
      <c r="Z24" s="16" t="n"/>
      <c r="AA24" s="16" t="n"/>
      <c r="AB24" s="16" t="n"/>
      <c r="AC24" s="16" t="n"/>
      <c r="AD24" s="17" t="n"/>
      <c r="AE24" s="16" t="n"/>
      <c r="AF24" s="16" t="n"/>
      <c r="AG24" s="16" t="n"/>
      <c r="AH24" s="16" t="n"/>
      <c r="AI24" s="16" t="n"/>
      <c r="AJ24" s="16" t="n"/>
      <c r="AK24" s="16" t="n"/>
      <c r="AL24" s="16" t="n"/>
      <c r="AM24" s="13" t="inlineStr">
        <is>
          <t>Media</t>
        </is>
      </c>
      <c r="AN24" s="13" t="inlineStr"/>
      <c r="AO24" s="18" t="inlineStr">
        <is>
          <t>Sim</t>
        </is>
      </c>
      <c r="AP24" s="13" t="inlineStr"/>
      <c r="AQ24" s="13" t="inlineStr"/>
      <c r="AR24" s="15" t="inlineStr"/>
      <c r="AS24" s="15" t="inlineStr">
        <is>
          <t>NOTAS FISCAIS DE COMPRA JANEIRO 2026.pdf - p. 23</t>
        </is>
      </c>
    </row>
    <row r="25">
      <c r="A25" s="13" t="inlineStr">
        <is>
          <t>JAN26-P024</t>
        </is>
      </c>
      <c r="B25" s="13" t="n">
        <v>24</v>
      </c>
      <c r="C25" s="13" t="inlineStr">
        <is>
          <t>NF-e</t>
        </is>
      </c>
      <c r="D25" s="13" t="inlineStr"/>
      <c r="E25" s="13" t="inlineStr">
        <is>
          <t>536748</t>
        </is>
      </c>
      <c r="F25" s="13" t="inlineStr"/>
      <c r="G25" s="25" t="n">
        <v>46046</v>
      </c>
      <c r="H25" s="25" t="n"/>
      <c r="I25" s="13" t="inlineStr"/>
      <c r="J25" s="13" t="inlineStr">
        <is>
          <t>COMPANHIA INDUSTRIAL DE CIMENTO APODI</t>
        </is>
      </c>
      <c r="K25" s="13" t="inlineStr">
        <is>
          <t>10.260.249/0003-51</t>
        </is>
      </c>
      <c r="L25" s="13" t="inlineStr">
        <is>
          <t>23.655.038/0002-89</t>
        </is>
      </c>
      <c r="M25" s="13" t="inlineStr">
        <is>
          <t>SKAL /0002</t>
        </is>
      </c>
      <c r="N25" s="13" t="inlineStr">
        <is>
          <t>Produtos</t>
        </is>
      </c>
      <c r="O25" s="13" t="inlineStr">
        <is>
          <t>Cimento</t>
        </is>
      </c>
      <c r="P25" s="15" t="inlineStr">
        <is>
          <t>Cimento Portland / produção do estabelecimento - dados fiscais conforme DANFE.</t>
        </is>
      </c>
      <c r="Q25" s="16" t="n">
        <v>18824.85</v>
      </c>
      <c r="R25" s="16" t="n">
        <v>18824.85</v>
      </c>
      <c r="S25" s="16" t="n"/>
      <c r="T25" s="16" t="n"/>
      <c r="U25" s="16" t="n">
        <v>18824.85</v>
      </c>
      <c r="V25" s="17" t="n">
        <v>0.12</v>
      </c>
      <c r="W25" s="16" t="n">
        <v>2258.98</v>
      </c>
      <c r="X25" s="16" t="n"/>
      <c r="Y25" s="16" t="n"/>
      <c r="Z25" s="16" t="n"/>
      <c r="AA25" s="16" t="n"/>
      <c r="AB25" s="16" t="n"/>
      <c r="AC25" s="16" t="n"/>
      <c r="AD25" s="17" t="n"/>
      <c r="AE25" s="16" t="n"/>
      <c r="AF25" s="16" t="n"/>
      <c r="AG25" s="16" t="n"/>
      <c r="AH25" s="16" t="n"/>
      <c r="AI25" s="16" t="n"/>
      <c r="AJ25" s="16" t="n"/>
      <c r="AK25" s="16" t="n"/>
      <c r="AL25" s="16" t="n"/>
      <c r="AM25" s="13" t="inlineStr">
        <is>
          <t>Media</t>
        </is>
      </c>
      <c r="AN25" s="13" t="inlineStr"/>
      <c r="AO25" s="18" t="inlineStr">
        <is>
          <t>Sim</t>
        </is>
      </c>
      <c r="AP25" s="13" t="inlineStr"/>
      <c r="AQ25" s="13" t="inlineStr"/>
      <c r="AR25" s="15" t="inlineStr"/>
      <c r="AS25" s="15" t="inlineStr">
        <is>
          <t>NOTAS FISCAIS DE COMPRA JANEIRO 2026.pdf - p. 24</t>
        </is>
      </c>
    </row>
    <row r="26">
      <c r="A26" s="13" t="inlineStr">
        <is>
          <t>JAN26-P025</t>
        </is>
      </c>
      <c r="B26" s="13" t="n">
        <v>25</v>
      </c>
      <c r="C26" s="13" t="inlineStr">
        <is>
          <t>CT-e</t>
        </is>
      </c>
      <c r="D26" s="13" t="inlineStr"/>
      <c r="E26" s="13" t="inlineStr"/>
      <c r="F26" s="13" t="inlineStr"/>
      <c r="G26" s="25" t="n"/>
      <c r="H26" s="25" t="n"/>
      <c r="I26" s="13" t="inlineStr"/>
      <c r="J26" s="13" t="inlineStr">
        <is>
          <t>TRANS VNC TRANSPORTES EIRELI</t>
        </is>
      </c>
      <c r="K26" s="13" t="inlineStr"/>
      <c r="L26" s="13" t="inlineStr"/>
      <c r="M26" s="13" t="inlineStr"/>
      <c r="N26" s="13" t="inlineStr">
        <is>
          <t>Fretes</t>
        </is>
      </c>
      <c r="O26" s="13" t="inlineStr">
        <is>
          <t>Frete rodoviário</t>
        </is>
      </c>
      <c r="P26" s="15" t="inlineStr"/>
      <c r="Q26" s="16" t="n">
        <v>703</v>
      </c>
      <c r="R26" s="16" t="n"/>
      <c r="S26" s="16" t="n"/>
      <c r="T26" s="16" t="n">
        <v>703</v>
      </c>
      <c r="U26" s="16" t="n">
        <v>410.1</v>
      </c>
      <c r="V26" s="17" t="n">
        <v>0.12</v>
      </c>
      <c r="W26" s="16" t="n">
        <v>49.21</v>
      </c>
      <c r="X26" s="16" t="n"/>
      <c r="Y26" s="16" t="n"/>
      <c r="Z26" s="16" t="n"/>
      <c r="AA26" s="16" t="n"/>
      <c r="AB26" s="16" t="n"/>
      <c r="AC26" s="16" t="n"/>
      <c r="AD26" s="17" t="n"/>
      <c r="AE26" s="16" t="n"/>
      <c r="AF26" s="16" t="n"/>
      <c r="AG26" s="16" t="n"/>
      <c r="AH26" s="16" t="n"/>
      <c r="AI26" s="16" t="n"/>
      <c r="AJ26" s="16" t="n"/>
      <c r="AK26" s="16" t="n"/>
      <c r="AL26" s="16" t="n">
        <v>9135</v>
      </c>
      <c r="AM26" s="13" t="inlineStr">
        <is>
          <t>Baixa</t>
        </is>
      </c>
      <c r="AN26" s="21" t="inlineStr">
        <is>
          <t>Revisar documento</t>
        </is>
      </c>
      <c r="AO26" s="20" t="inlineStr">
        <is>
          <t>Revisar</t>
        </is>
      </c>
      <c r="AP26" s="13" t="inlineStr"/>
      <c r="AQ26" s="13" t="inlineStr"/>
      <c r="AR26" s="15" t="inlineStr">
        <is>
          <t>CT-e TRANS VMC: valor lido visualmente; confirmar chave/total antes da contabilização.</t>
        </is>
      </c>
      <c r="AS26" s="15" t="inlineStr">
        <is>
          <t>NOTAS FISCAIS DE COMPRA JANEIRO 2026.pdf - p. 25</t>
        </is>
      </c>
    </row>
    <row r="27">
      <c r="A27" s="13" t="inlineStr">
        <is>
          <t>JAN26-P026</t>
        </is>
      </c>
      <c r="B27" s="13" t="n">
        <v>26</v>
      </c>
      <c r="C27" s="13" t="inlineStr">
        <is>
          <t>NF-e</t>
        </is>
      </c>
      <c r="D27" s="13" t="inlineStr"/>
      <c r="E27" s="13" t="inlineStr"/>
      <c r="F27" s="13" t="inlineStr"/>
      <c r="G27" s="25" t="n">
        <v>46034</v>
      </c>
      <c r="H27" s="25" t="n"/>
      <c r="I27" s="13" t="inlineStr"/>
      <c r="J27" s="13" t="inlineStr">
        <is>
          <t>TE5TOCOLO DE AUTORLZNGRODEUSO</t>
        </is>
      </c>
      <c r="K27" s="13" t="inlineStr">
        <is>
          <t>04.949.601/0001-04</t>
        </is>
      </c>
      <c r="L27" s="13" t="inlineStr">
        <is>
          <t>23.655.038/0002-89</t>
        </is>
      </c>
      <c r="M27" s="13" t="inlineStr">
        <is>
          <t>SKAL /0002</t>
        </is>
      </c>
      <c r="N27" s="13" t="inlineStr">
        <is>
          <t>Produtos</t>
        </is>
      </c>
      <c r="O27" s="13" t="inlineStr">
        <is>
          <t>Outros produtos</t>
        </is>
      </c>
      <c r="P27" s="15" t="inlineStr">
        <is>
          <t>oo | esciugdo Do PRODUTOSERVIGO | Naw | vaton | moras | Walon ToT | 400, | cs | =| | woos | AAILCELESTE SG | Taos | sea | ae | ro | Taal</t>
        </is>
      </c>
      <c r="Q27" s="16" t="n"/>
      <c r="R27" s="16" t="n">
        <v>9135</v>
      </c>
      <c r="S27" s="16" t="n"/>
      <c r="T27" s="16" t="n">
        <v>0</v>
      </c>
      <c r="U27" s="16" t="n"/>
      <c r="V27" s="17" t="n"/>
      <c r="W27" s="16" t="n"/>
      <c r="X27" s="16" t="n"/>
      <c r="Y27" s="16" t="n"/>
      <c r="Z27" s="16" t="n"/>
      <c r="AA27" s="16" t="n"/>
      <c r="AB27" s="16" t="n"/>
      <c r="AC27" s="16" t="n"/>
      <c r="AD27" s="17" t="n"/>
      <c r="AE27" s="16" t="n"/>
      <c r="AF27" s="16" t="n"/>
      <c r="AG27" s="16" t="n"/>
      <c r="AH27" s="16" t="n"/>
      <c r="AI27" s="16" t="n"/>
      <c r="AJ27" s="16" t="n"/>
      <c r="AK27" s="16" t="n"/>
      <c r="AL27" s="16" t="n"/>
      <c r="AM27" s="13" t="inlineStr">
        <is>
          <t>Media</t>
        </is>
      </c>
      <c r="AN27" s="21" t="inlineStr">
        <is>
          <t>Revisar documento</t>
        </is>
      </c>
      <c r="AO27" s="20" t="inlineStr">
        <is>
          <t>Revisar</t>
        </is>
      </c>
      <c r="AP27" s="13" t="inlineStr"/>
      <c r="AQ27" s="13" t="inlineStr"/>
      <c r="AR27" s="15" t="inlineStr"/>
      <c r="AS27" s="15" t="inlineStr">
        <is>
          <t>NOTAS FISCAIS DE COMPRA JANEIRO 2026.pdf - p. 26</t>
        </is>
      </c>
    </row>
    <row r="28">
      <c r="A28" s="13" t="inlineStr">
        <is>
          <t>JAN26-P027</t>
        </is>
      </c>
      <c r="B28" s="13" t="n">
        <v>27</v>
      </c>
      <c r="C28" s="13" t="inlineStr">
        <is>
          <t>Separador/Anotacao</t>
        </is>
      </c>
      <c r="D28" s="13" t="inlineStr"/>
      <c r="E28" s="13" t="inlineStr"/>
      <c r="F28" s="13" t="inlineStr"/>
      <c r="G28" s="25" t="n"/>
      <c r="H28" s="25" t="n"/>
      <c r="I28" s="13" t="inlineStr"/>
      <c r="J28" s="13" t="inlineStr"/>
      <c r="K28" s="13" t="inlineStr"/>
      <c r="L28" s="13" t="inlineStr"/>
      <c r="M28" s="13" t="inlineStr"/>
      <c r="N28" s="13" t="inlineStr">
        <is>
          <t>Apoio</t>
        </is>
      </c>
      <c r="O28" s="13" t="inlineStr">
        <is>
          <t>Documento de apoio</t>
        </is>
      </c>
      <c r="P28" s="15" t="inlineStr"/>
      <c r="Q28" s="16" t="n"/>
      <c r="R28" s="16" t="n"/>
      <c r="S28" s="16" t="n"/>
      <c r="T28" s="16" t="n"/>
      <c r="U28" s="16" t="n"/>
      <c r="V28" s="17" t="n"/>
      <c r="W28" s="16" t="n"/>
      <c r="X28" s="16" t="n"/>
      <c r="Y28" s="16" t="n"/>
      <c r="Z28" s="16" t="n"/>
      <c r="AA28" s="16" t="n"/>
      <c r="AB28" s="16" t="n"/>
      <c r="AC28" s="16" t="n"/>
      <c r="AD28" s="17" t="n"/>
      <c r="AE28" s="16" t="n"/>
      <c r="AF28" s="16" t="n"/>
      <c r="AG28" s="16" t="n"/>
      <c r="AH28" s="16" t="n"/>
      <c r="AI28" s="16" t="n"/>
      <c r="AJ28" s="16" t="n"/>
      <c r="AK28" s="16" t="n"/>
      <c r="AL28" s="16" t="n"/>
      <c r="AM28" s="13" t="inlineStr">
        <is>
          <t>Baixa</t>
        </is>
      </c>
      <c r="AN28" s="13" t="inlineStr"/>
      <c r="AO28" s="19" t="inlineStr">
        <is>
          <t>Não</t>
        </is>
      </c>
      <c r="AP28" s="13" t="inlineStr"/>
      <c r="AQ28" s="13" t="inlineStr"/>
      <c r="AR28" s="15" t="inlineStr"/>
      <c r="AS28" s="15" t="inlineStr">
        <is>
          <t>NOTAS FISCAIS DE COMPRA JANEIRO 2026.pdf - p. 27</t>
        </is>
      </c>
    </row>
    <row r="29">
      <c r="A29" s="13" t="inlineStr">
        <is>
          <t>JAN26-P028</t>
        </is>
      </c>
      <c r="B29" s="13" t="n">
        <v>28</v>
      </c>
      <c r="C29" s="13" t="inlineStr">
        <is>
          <t>NFS-e</t>
        </is>
      </c>
      <c r="D29" s="13" t="inlineStr"/>
      <c r="E29" s="13" t="inlineStr"/>
      <c r="F29" s="13" t="inlineStr"/>
      <c r="G29" s="25" t="n">
        <v>46055</v>
      </c>
      <c r="H29" s="25" t="n"/>
      <c r="I29" s="13" t="inlineStr"/>
      <c r="J29" s="13" t="inlineStr">
        <is>
          <t>TERRA NOVA (LOT. Meco 16459, SAO SEBASTIAO.</t>
        </is>
      </c>
      <c r="K29" s="13" t="inlineStr"/>
      <c r="L29" s="13" t="inlineStr">
        <is>
          <t>23.655.038/0002-89</t>
        </is>
      </c>
      <c r="M29" s="13" t="inlineStr">
        <is>
          <t>SKAL /0002</t>
        </is>
      </c>
      <c r="N29" s="13" t="inlineStr">
        <is>
          <t>Servicos</t>
        </is>
      </c>
      <c r="O29" s="13" t="inlineStr">
        <is>
          <t>Outros servicos</t>
        </is>
      </c>
      <c r="P29" s="15" t="inlineStr"/>
      <c r="Q29" s="16" t="n">
        <v>7.5</v>
      </c>
      <c r="R29" s="16" t="n"/>
      <c r="S29" s="16" t="n"/>
      <c r="T29" s="16" t="n"/>
      <c r="U29" s="16" t="n"/>
      <c r="V29" s="17" t="n"/>
      <c r="W29" s="16" t="n"/>
      <c r="X29" s="16" t="n"/>
      <c r="Y29" s="16" t="n"/>
      <c r="Z29" s="16" t="n"/>
      <c r="AA29" s="16" t="n">
        <v>0</v>
      </c>
      <c r="AB29" s="16" t="n">
        <v>0</v>
      </c>
      <c r="AC29" s="16" t="n"/>
      <c r="AD29" s="17" t="n"/>
      <c r="AE29" s="16" t="n"/>
      <c r="AF29" s="16" t="n"/>
      <c r="AG29" s="16" t="n"/>
      <c r="AH29" s="16" t="n"/>
      <c r="AI29" s="16" t="n"/>
      <c r="AJ29" s="16" t="n"/>
      <c r="AK29" s="16" t="n"/>
      <c r="AL29" s="16" t="n"/>
      <c r="AM29" s="13" t="inlineStr">
        <is>
          <t>Media</t>
        </is>
      </c>
      <c r="AN29" s="13" t="inlineStr"/>
      <c r="AO29" s="18" t="inlineStr">
        <is>
          <t>Sim</t>
        </is>
      </c>
      <c r="AP29" s="13" t="inlineStr"/>
      <c r="AQ29" s="13" t="inlineStr"/>
      <c r="AR29" s="15" t="inlineStr"/>
      <c r="AS29" s="15" t="inlineStr">
        <is>
          <t>NOTAS FISCAIS DE COMPRA JANEIRO 2026.pdf - p. 28</t>
        </is>
      </c>
    </row>
    <row r="30">
      <c r="A30" s="13" t="inlineStr">
        <is>
          <t>JAN26-P029</t>
        </is>
      </c>
      <c r="B30" s="13" t="n">
        <v>29</v>
      </c>
      <c r="C30" s="13" t="inlineStr">
        <is>
          <t>NFS-e</t>
        </is>
      </c>
      <c r="D30" s="13" t="inlineStr"/>
      <c r="E30" s="13" t="inlineStr"/>
      <c r="F30" s="13" t="inlineStr"/>
      <c r="G30" s="25" t="n">
        <v>46055</v>
      </c>
      <c r="H30" s="25" t="n"/>
      <c r="I30" s="13" t="inlineStr"/>
      <c r="J30" s="13" t="inlineStr">
        <is>
          <t>RIGARDO RODRIGUES DE SOUSA 90931442370</t>
        </is>
      </c>
      <c r="K30" s="13" t="inlineStr">
        <is>
          <t>40.439.061/0001-74</t>
        </is>
      </c>
      <c r="L30" s="13" t="inlineStr"/>
      <c r="M30" s="13" t="inlineStr"/>
      <c r="N30" s="13" t="inlineStr">
        <is>
          <t>Servicos</t>
        </is>
      </c>
      <c r="O30" s="13" t="inlineStr">
        <is>
          <t>Outros servicos</t>
        </is>
      </c>
      <c r="P30" s="15" t="inlineStr"/>
      <c r="Q30" s="16" t="n"/>
      <c r="R30" s="16" t="n"/>
      <c r="S30" s="16" t="n"/>
      <c r="T30" s="16" t="n"/>
      <c r="U30" s="16" t="n"/>
      <c r="V30" s="17" t="n"/>
      <c r="W30" s="16" t="n"/>
      <c r="X30" s="16" t="n"/>
      <c r="Y30" s="16" t="n"/>
      <c r="Z30" s="16" t="n"/>
      <c r="AA30" s="16" t="n">
        <v>0</v>
      </c>
      <c r="AB30" s="16" t="n">
        <v>0</v>
      </c>
      <c r="AC30" s="16" t="n"/>
      <c r="AD30" s="17" t="n"/>
      <c r="AE30" s="16" t="n"/>
      <c r="AF30" s="16" t="n"/>
      <c r="AG30" s="16" t="n"/>
      <c r="AH30" s="16" t="n"/>
      <c r="AI30" s="16" t="n"/>
      <c r="AJ30" s="16" t="n"/>
      <c r="AK30" s="16" t="n"/>
      <c r="AL30" s="16" t="n"/>
      <c r="AM30" s="13" t="inlineStr">
        <is>
          <t>Media</t>
        </is>
      </c>
      <c r="AN30" s="21" t="inlineStr">
        <is>
          <t>Revisar documento</t>
        </is>
      </c>
      <c r="AO30" s="20" t="inlineStr">
        <is>
          <t>Revisar</t>
        </is>
      </c>
      <c r="AP30" s="13" t="inlineStr"/>
      <c r="AQ30" s="13" t="inlineStr"/>
      <c r="AR30" s="15" t="inlineStr"/>
      <c r="AS30" s="15" t="inlineStr">
        <is>
          <t>NOTAS FISCAIS DE COMPRA JANEIRO 2026.pdf - p. 29</t>
        </is>
      </c>
    </row>
    <row r="31">
      <c r="A31" s="13" t="inlineStr">
        <is>
          <t>JAN26-P030</t>
        </is>
      </c>
      <c r="B31" s="13" t="n">
        <v>30</v>
      </c>
      <c r="C31" s="13" t="inlineStr">
        <is>
          <t>NFS-e</t>
        </is>
      </c>
      <c r="D31" s="13" t="inlineStr"/>
      <c r="E31" s="13" t="inlineStr"/>
      <c r="F31" s="13" t="inlineStr"/>
      <c r="G31" s="25" t="n">
        <v>46048</v>
      </c>
      <c r="H31" s="25" t="n"/>
      <c r="I31" s="13" t="inlineStr"/>
      <c r="J31" s="13" t="inlineStr">
        <is>
          <t>JESUINO@APOIOCONTABILP.COM</t>
        </is>
      </c>
      <c r="K31" s="13" t="inlineStr"/>
      <c r="L31" s="13" t="inlineStr">
        <is>
          <t>23.655.038/0002-89</t>
        </is>
      </c>
      <c r="M31" s="13" t="inlineStr">
        <is>
          <t>SKAL /0002</t>
        </is>
      </c>
      <c r="N31" s="13" t="inlineStr">
        <is>
          <t>Servicos</t>
        </is>
      </c>
      <c r="O31" s="13" t="inlineStr">
        <is>
          <t>Outros servicos</t>
        </is>
      </c>
      <c r="P31" s="15" t="inlineStr"/>
      <c r="Q31" s="16" t="n">
        <v>4198</v>
      </c>
      <c r="R31" s="16" t="n"/>
      <c r="S31" s="16" t="n"/>
      <c r="T31" s="16" t="n"/>
      <c r="U31" s="16" t="n"/>
      <c r="V31" s="17" t="n"/>
      <c r="W31" s="16" t="n"/>
      <c r="X31" s="16" t="n"/>
      <c r="Y31" s="16" t="n"/>
      <c r="Z31" s="16" t="n"/>
      <c r="AA31" s="16" t="n"/>
      <c r="AB31" s="16" t="n">
        <v>0</v>
      </c>
      <c r="AC31" s="16" t="n"/>
      <c r="AD31" s="17" t="n"/>
      <c r="AE31" s="16" t="n">
        <v>4198</v>
      </c>
      <c r="AF31" s="16" t="n"/>
      <c r="AG31" s="16" t="n"/>
      <c r="AH31" s="16" t="n"/>
      <c r="AI31" s="16" t="n"/>
      <c r="AJ31" s="16" t="n"/>
      <c r="AK31" s="16" t="n"/>
      <c r="AL31" s="16" t="n"/>
      <c r="AM31" s="13" t="inlineStr">
        <is>
          <t>Media</t>
        </is>
      </c>
      <c r="AN31" s="21" t="inlineStr">
        <is>
          <t>ISS OCR suspeito</t>
        </is>
      </c>
      <c r="AO31" s="18" t="inlineStr">
        <is>
          <t>Sim</t>
        </is>
      </c>
      <c r="AP31" s="13" t="inlineStr"/>
      <c r="AQ31" s="13" t="inlineStr"/>
      <c r="AR31" s="15" t="inlineStr">
        <is>
          <t>ALERTA: ISS extraído por OCR parece incompatível com o valor do documento; conferir original.</t>
        </is>
      </c>
      <c r="AS31" s="15" t="inlineStr">
        <is>
          <t>NOTAS FISCAIS DE COMPRA JANEIRO 2026.pdf - p. 30</t>
        </is>
      </c>
    </row>
    <row r="32">
      <c r="A32" s="13" t="inlineStr">
        <is>
          <t>JAN26-P031</t>
        </is>
      </c>
      <c r="B32" s="13" t="n">
        <v>31</v>
      </c>
      <c r="C32" s="13" t="inlineStr">
        <is>
          <t>NFS-e</t>
        </is>
      </c>
      <c r="D32" s="13" t="inlineStr"/>
      <c r="E32" s="13" t="inlineStr">
        <is>
          <t>5</t>
        </is>
      </c>
      <c r="F32" s="13" t="inlineStr">
        <is>
          <t>12</t>
        </is>
      </c>
      <c r="G32" s="25" t="n">
        <v>45996</v>
      </c>
      <c r="H32" s="25" t="n"/>
      <c r="I32" s="13" t="inlineStr"/>
      <c r="J32" s="13" t="inlineStr">
        <is>
          <t>- REPRESENTANTES COMERCIAIS E AGENTES DO COMERGIO DE MADEIRA, MATERIAL DE CONSTRUCAO E FERRAGENS,</t>
        </is>
      </c>
      <c r="K32" s="13" t="inlineStr"/>
      <c r="L32" s="13" t="inlineStr"/>
      <c r="M32" s="13" t="inlineStr"/>
      <c r="N32" s="13" t="inlineStr">
        <is>
          <t>Servicos</t>
        </is>
      </c>
      <c r="O32" s="13" t="inlineStr">
        <is>
          <t>Representacao/comissoes</t>
        </is>
      </c>
      <c r="P32" s="15" t="inlineStr"/>
      <c r="Q32" s="16" t="n">
        <v>797.5599999999999</v>
      </c>
      <c r="R32" s="16" t="n"/>
      <c r="S32" s="16" t="n"/>
      <c r="T32" s="16" t="n"/>
      <c r="U32" s="16" t="n"/>
      <c r="V32" s="17" t="n"/>
      <c r="W32" s="16" t="n"/>
      <c r="X32" s="16" t="n"/>
      <c r="Y32" s="16" t="n"/>
      <c r="Z32" s="16" t="n"/>
      <c r="AA32" s="16" t="n"/>
      <c r="AB32" s="16" t="n"/>
      <c r="AC32" s="16" t="n">
        <v>791.96</v>
      </c>
      <c r="AD32" s="17" t="n"/>
      <c r="AE32" s="16" t="n"/>
      <c r="AF32" s="16" t="n"/>
      <c r="AG32" s="16" t="n"/>
      <c r="AH32" s="16" t="n"/>
      <c r="AI32" s="16" t="n"/>
      <c r="AJ32" s="16" t="n"/>
      <c r="AK32" s="16" t="n"/>
      <c r="AL32" s="16" t="n"/>
      <c r="AM32" s="13" t="inlineStr">
        <is>
          <t>Media</t>
        </is>
      </c>
      <c r="AN32" s="13" t="inlineStr"/>
      <c r="AO32" s="18" t="inlineStr">
        <is>
          <t>Sim</t>
        </is>
      </c>
      <c r="AP32" s="13" t="inlineStr"/>
      <c r="AQ32" s="13" t="inlineStr"/>
      <c r="AR32" s="15" t="inlineStr"/>
      <c r="AS32" s="15" t="inlineStr">
        <is>
          <t>NOTAS FISCAIS DE COMPRA JANEIRO 2026.pdf - p. 31</t>
        </is>
      </c>
    </row>
    <row r="33">
      <c r="A33" s="13" t="inlineStr">
        <is>
          <t>JAN26-P032</t>
        </is>
      </c>
      <c r="B33" s="13" t="n">
        <v>32</v>
      </c>
      <c r="C33" s="13" t="inlineStr">
        <is>
          <t>NF-e</t>
        </is>
      </c>
      <c r="D33" s="13" t="inlineStr"/>
      <c r="E33" s="13" t="inlineStr"/>
      <c r="F33" s="13" t="inlineStr"/>
      <c r="G33" s="25" t="n">
        <v>46036</v>
      </c>
      <c r="H33" s="25" t="n"/>
      <c r="I33" s="13" t="inlineStr"/>
      <c r="J33" s="13" t="inlineStr">
        <is>
          <t>Dest Skin NGENHARIA INDUSTRIA E COMERCIO LTDA AVENIDA SAOTRANCISCO, 100 -PAROUE JUKEMA » TERFSINA 1</t>
        </is>
      </c>
      <c r="K33" s="13" t="inlineStr"/>
      <c r="L33" s="13" t="inlineStr"/>
      <c r="M33" s="13" t="inlineStr"/>
      <c r="N33" s="13" t="inlineStr">
        <is>
          <t>Produtos</t>
        </is>
      </c>
      <c r="O33" s="13" t="inlineStr">
        <is>
          <t>Outros produtos</t>
        </is>
      </c>
      <c r="P33" s="15" t="inlineStr">
        <is>
          <t>0180 | on) | vee | ry | maree | ae | voere | sesoncAaporecUTosemHCo | ven | or | ‘ec | mo | ouawroace | ven | Es | ane. | cS</t>
        </is>
      </c>
      <c r="Q33" s="16" t="n"/>
      <c r="R33" s="16" t="n"/>
      <c r="S33" s="16" t="n"/>
      <c r="T33" s="16" t="n"/>
      <c r="U33" s="16" t="n"/>
      <c r="V33" s="17" t="n"/>
      <c r="W33" s="16" t="n"/>
      <c r="X33" s="16" t="n"/>
      <c r="Y33" s="16" t="n"/>
      <c r="Z33" s="16" t="n"/>
      <c r="AA33" s="16" t="n"/>
      <c r="AB33" s="16" t="n"/>
      <c r="AC33" s="16" t="n"/>
      <c r="AD33" s="17" t="n"/>
      <c r="AE33" s="16" t="n"/>
      <c r="AF33" s="16" t="n"/>
      <c r="AG33" s="16" t="n"/>
      <c r="AH33" s="16" t="n"/>
      <c r="AI33" s="16" t="n"/>
      <c r="AJ33" s="16" t="n"/>
      <c r="AK33" s="16" t="n"/>
      <c r="AL33" s="16" t="n"/>
      <c r="AM33" s="13" t="inlineStr">
        <is>
          <t>Baixa</t>
        </is>
      </c>
      <c r="AN33" s="21" t="inlineStr">
        <is>
          <t>Revisar documento</t>
        </is>
      </c>
      <c r="AO33" s="20" t="inlineStr">
        <is>
          <t>Revisar</t>
        </is>
      </c>
      <c r="AP33" s="13" t="inlineStr"/>
      <c r="AQ33" s="13" t="inlineStr"/>
      <c r="AR33" s="15" t="inlineStr"/>
      <c r="AS33" s="15" t="inlineStr">
        <is>
          <t>NOTAS FISCAIS DE COMPRA JANEIRO 2026.pdf - p. 32</t>
        </is>
      </c>
    </row>
    <row r="34">
      <c r="A34" s="13" t="inlineStr">
        <is>
          <t>JAN26-P033</t>
        </is>
      </c>
      <c r="B34" s="13" t="n">
        <v>33</v>
      </c>
      <c r="C34" s="13" t="inlineStr">
        <is>
          <t>DAR/GNRE</t>
        </is>
      </c>
      <c r="D34" s="13" t="inlineStr"/>
      <c r="E34" s="13" t="inlineStr"/>
      <c r="F34" s="13" t="inlineStr"/>
      <c r="G34" s="25" t="n">
        <v>46037</v>
      </c>
      <c r="H34" s="25" t="n"/>
      <c r="I34" s="13" t="inlineStr"/>
      <c r="J34" s="13" t="inlineStr">
        <is>
          <t>[AV SAO FRANCISCO, 4900,</t>
        </is>
      </c>
      <c r="K34" s="13" t="inlineStr"/>
      <c r="L34" s="13" t="inlineStr"/>
      <c r="M34" s="13" t="inlineStr"/>
      <c r="N34" s="13" t="inlineStr">
        <is>
          <t>Apoio</t>
        </is>
      </c>
      <c r="O34" s="13" t="inlineStr">
        <is>
          <t>Documento de apoio</t>
        </is>
      </c>
      <c r="P34" s="15" t="inlineStr"/>
      <c r="Q34" s="16" t="n"/>
      <c r="R34" s="16" t="n"/>
      <c r="S34" s="16" t="n"/>
      <c r="T34" s="16" t="n"/>
      <c r="U34" s="16" t="n"/>
      <c r="V34" s="17" t="n"/>
      <c r="W34" s="16" t="n"/>
      <c r="X34" s="16" t="n"/>
      <c r="Y34" s="16" t="n"/>
      <c r="Z34" s="16" t="n"/>
      <c r="AA34" s="16" t="n"/>
      <c r="AB34" s="16" t="n"/>
      <c r="AC34" s="16" t="n"/>
      <c r="AD34" s="17" t="n"/>
      <c r="AE34" s="16" t="n"/>
      <c r="AF34" s="16" t="n"/>
      <c r="AG34" s="16" t="n"/>
      <c r="AH34" s="16" t="n"/>
      <c r="AI34" s="16" t="n"/>
      <c r="AJ34" s="16" t="n"/>
      <c r="AK34" s="16" t="n"/>
      <c r="AL34" s="16" t="n"/>
      <c r="AM34" s="13" t="inlineStr">
        <is>
          <t>Baixa</t>
        </is>
      </c>
      <c r="AN34" s="13" t="inlineStr"/>
      <c r="AO34" s="19" t="inlineStr">
        <is>
          <t>Não</t>
        </is>
      </c>
      <c r="AP34" s="13" t="inlineStr"/>
      <c r="AQ34" s="13" t="inlineStr"/>
      <c r="AR34" s="15" t="inlineStr"/>
      <c r="AS34" s="15" t="inlineStr">
        <is>
          <t>NOTAS FISCAIS DE COMPRA JANEIRO 2026.pdf - p. 33</t>
        </is>
      </c>
    </row>
    <row r="35">
      <c r="A35" s="13" t="inlineStr">
        <is>
          <t>JAN26-P034</t>
        </is>
      </c>
      <c r="B35" s="13" t="n">
        <v>34</v>
      </c>
      <c r="C35" s="13" t="inlineStr">
        <is>
          <t>DAR/GNRE</t>
        </is>
      </c>
      <c r="D35" s="13" t="inlineStr"/>
      <c r="E35" s="13" t="inlineStr"/>
      <c r="F35" s="13" t="inlineStr"/>
      <c r="G35" s="25" t="n">
        <v>46036</v>
      </c>
      <c r="H35" s="25" t="n"/>
      <c r="I35" s="13" t="inlineStr"/>
      <c r="J35" s="13" t="inlineStr">
        <is>
          <t>GERENCIA DE FISCALIZAGAO DE MERCADORIA EM TRANSITO</t>
        </is>
      </c>
      <c r="K35" s="13" t="inlineStr"/>
      <c r="L35" s="13" t="inlineStr"/>
      <c r="M35" s="13" t="inlineStr"/>
      <c r="N35" s="13" t="inlineStr">
        <is>
          <t>Apoio</t>
        </is>
      </c>
      <c r="O35" s="13" t="inlineStr">
        <is>
          <t>Documento de apoio</t>
        </is>
      </c>
      <c r="P35" s="15" t="inlineStr"/>
      <c r="Q35" s="16" t="n"/>
      <c r="R35" s="16" t="n"/>
      <c r="S35" s="16" t="n"/>
      <c r="T35" s="16" t="n"/>
      <c r="U35" s="16" t="n"/>
      <c r="V35" s="17" t="n"/>
      <c r="W35" s="16" t="n"/>
      <c r="X35" s="16" t="n"/>
      <c r="Y35" s="16" t="n"/>
      <c r="Z35" s="16" t="n"/>
      <c r="AA35" s="16" t="n"/>
      <c r="AB35" s="16" t="n"/>
      <c r="AC35" s="16" t="n"/>
      <c r="AD35" s="17" t="n"/>
      <c r="AE35" s="16" t="n"/>
      <c r="AF35" s="16" t="n"/>
      <c r="AG35" s="16" t="n"/>
      <c r="AH35" s="16" t="n"/>
      <c r="AI35" s="16" t="n"/>
      <c r="AJ35" s="16" t="n"/>
      <c r="AK35" s="16" t="n"/>
      <c r="AL35" s="16" t="n"/>
      <c r="AM35" s="13" t="inlineStr">
        <is>
          <t>Baixa</t>
        </is>
      </c>
      <c r="AN35" s="13" t="inlineStr"/>
      <c r="AO35" s="19" t="inlineStr">
        <is>
          <t>Não</t>
        </is>
      </c>
      <c r="AP35" s="13" t="inlineStr"/>
      <c r="AQ35" s="13" t="inlineStr"/>
      <c r="AR35" s="15" t="inlineStr"/>
      <c r="AS35" s="15" t="inlineStr">
        <is>
          <t>NOTAS FISCAIS DE COMPRA JANEIRO 2026.pdf - p. 34</t>
        </is>
      </c>
    </row>
    <row r="36">
      <c r="A36" s="13" t="inlineStr">
        <is>
          <t>JAN26-P035</t>
        </is>
      </c>
      <c r="B36" s="13" t="n">
        <v>35</v>
      </c>
      <c r="C36" s="13" t="inlineStr">
        <is>
          <t>NFS-e</t>
        </is>
      </c>
      <c r="D36" s="13" t="inlineStr"/>
      <c r="E36" s="13" t="inlineStr">
        <is>
          <t>0</t>
        </is>
      </c>
      <c r="F36" s="13" t="inlineStr">
        <is>
          <t>01</t>
        </is>
      </c>
      <c r="G36" s="25" t="n"/>
      <c r="H36" s="25" t="n"/>
      <c r="I36" s="13" t="inlineStr"/>
      <c r="J36" s="13" t="inlineStr">
        <is>
          <t>CONSULTING AND INFORMATION SERVICES LTOA</t>
        </is>
      </c>
      <c r="K36" s="13" t="inlineStr"/>
      <c r="L36" s="13" t="inlineStr">
        <is>
          <t>23.655.038/0002-89</t>
        </is>
      </c>
      <c r="M36" s="13" t="inlineStr">
        <is>
          <t>SKAL /0002</t>
        </is>
      </c>
      <c r="N36" s="13" t="inlineStr">
        <is>
          <t>Servicos</t>
        </is>
      </c>
      <c r="O36" s="13" t="inlineStr">
        <is>
          <t>Consultoria/assessoria</t>
        </is>
      </c>
      <c r="P36" s="15" t="inlineStr"/>
      <c r="Q36" s="16" t="n">
        <v>9689.93</v>
      </c>
      <c r="R36" s="16" t="n"/>
      <c r="S36" s="16" t="n"/>
      <c r="T36" s="16" t="n"/>
      <c r="U36" s="16" t="n"/>
      <c r="V36" s="17" t="n"/>
      <c r="W36" s="16" t="n"/>
      <c r="X36" s="16" t="n"/>
      <c r="Y36" s="16" t="n"/>
      <c r="Z36" s="16" t="n"/>
      <c r="AA36" s="16" t="n">
        <v>0</v>
      </c>
      <c r="AB36" s="16" t="n"/>
      <c r="AC36" s="16" t="n">
        <v>9.68</v>
      </c>
      <c r="AD36" s="17" t="n"/>
      <c r="AE36" s="16" t="n">
        <v>9689.93</v>
      </c>
      <c r="AF36" s="16" t="n"/>
      <c r="AG36" s="16" t="n"/>
      <c r="AH36" s="16" t="n"/>
      <c r="AI36" s="16" t="n"/>
      <c r="AJ36" s="16" t="n"/>
      <c r="AK36" s="16" t="n"/>
      <c r="AL36" s="16" t="n"/>
      <c r="AM36" s="13" t="inlineStr">
        <is>
          <t>Media</t>
        </is>
      </c>
      <c r="AN36" s="21" t="inlineStr">
        <is>
          <t>ISS OCR suspeito</t>
        </is>
      </c>
      <c r="AO36" s="18" t="inlineStr">
        <is>
          <t>Sim</t>
        </is>
      </c>
      <c r="AP36" s="13" t="inlineStr"/>
      <c r="AQ36" s="13" t="inlineStr"/>
      <c r="AR36" s="15" t="inlineStr">
        <is>
          <t>ALERTA: ISS extraído por OCR parece incompatível com o valor do documento; conferir original.</t>
        </is>
      </c>
      <c r="AS36" s="15" t="inlineStr">
        <is>
          <t>NOTAS FISCAIS DE COMPRA JANEIRO 2026.pdf - p. 35</t>
        </is>
      </c>
    </row>
    <row r="37">
      <c r="A37" s="13" t="inlineStr">
        <is>
          <t>JAN26-P036</t>
        </is>
      </c>
      <c r="B37" s="13" t="n">
        <v>36</v>
      </c>
      <c r="C37" s="13" t="inlineStr">
        <is>
          <t>NF-e</t>
        </is>
      </c>
      <c r="D37" s="13" t="inlineStr"/>
      <c r="E37" s="13" t="inlineStr">
        <is>
          <t>222</t>
        </is>
      </c>
      <c r="F37" s="13" t="inlineStr"/>
      <c r="G37" s="25" t="n">
        <v>46036</v>
      </c>
      <c r="H37" s="25" t="n"/>
      <c r="I37" s="13" t="inlineStr"/>
      <c r="J37" s="13" t="inlineStr">
        <is>
          <t>\CPNGENIARIA INDUSTRIA F COMERCKO LTDA AVENIDA SAO FRANCISCO, 4000- PARQUE JUREMA - TERESINA =</t>
        </is>
      </c>
      <c r="K37" s="13" t="inlineStr">
        <is>
          <t>46.091.289/0001-00</t>
        </is>
      </c>
      <c r="L37" s="13" t="inlineStr">
        <is>
          <t>23.655.038/0002-89</t>
        </is>
      </c>
      <c r="M37" s="13" t="inlineStr">
        <is>
          <t>SKAL /0002</t>
        </is>
      </c>
      <c r="N37" s="13" t="inlineStr">
        <is>
          <t>Produtos</t>
        </is>
      </c>
      <c r="O37" s="13" t="inlineStr">
        <is>
          <t>Materia-prima mineral</t>
        </is>
      </c>
      <c r="P37" s="15" t="inlineStr">
        <is>
          <t>eae | cry | Tao | “aa | rod | cry | am | ae | oo | Descae40 9 HeOWT ERIE | Ebsss | rows | on | oo | ‘ae. ournase | owns | osseons | voi</t>
        </is>
      </c>
      <c r="Q37" s="16" t="n"/>
      <c r="R37" s="16" t="n"/>
      <c r="S37" s="16" t="n"/>
      <c r="T37" s="16" t="n"/>
      <c r="U37" s="16" t="n"/>
      <c r="V37" s="17" t="n"/>
      <c r="W37" s="16" t="n"/>
      <c r="X37" s="16" t="n"/>
      <c r="Y37" s="16" t="n"/>
      <c r="Z37" s="16" t="n"/>
      <c r="AA37" s="16" t="n"/>
      <c r="AB37" s="16" t="n"/>
      <c r="AC37" s="16" t="n"/>
      <c r="AD37" s="17" t="n"/>
      <c r="AE37" s="16" t="n"/>
      <c r="AF37" s="16" t="n"/>
      <c r="AG37" s="16" t="n"/>
      <c r="AH37" s="16" t="n"/>
      <c r="AI37" s="16" t="n"/>
      <c r="AJ37" s="16" t="n"/>
      <c r="AK37" s="16" t="n"/>
      <c r="AL37" s="16" t="n"/>
      <c r="AM37" s="13" t="inlineStr">
        <is>
          <t>Media</t>
        </is>
      </c>
      <c r="AN37" s="21" t="inlineStr">
        <is>
          <t>Revisar documento</t>
        </is>
      </c>
      <c r="AO37" s="20" t="inlineStr">
        <is>
          <t>Revisar</t>
        </is>
      </c>
      <c r="AP37" s="13" t="inlineStr"/>
      <c r="AQ37" s="13" t="inlineStr"/>
      <c r="AR37" s="15" t="inlineStr"/>
      <c r="AS37" s="15" t="inlineStr">
        <is>
          <t>NOTAS FISCAIS DE COMPRA JANEIRO 2026.pdf - p. 36</t>
        </is>
      </c>
    </row>
    <row r="38">
      <c r="A38" s="13" t="inlineStr">
        <is>
          <t>JAN26-P037</t>
        </is>
      </c>
      <c r="B38" s="13" t="n">
        <v>37</v>
      </c>
      <c r="C38" s="13" t="inlineStr">
        <is>
          <t>DAR/GNRE</t>
        </is>
      </c>
      <c r="D38" s="13" t="inlineStr"/>
      <c r="E38" s="13" t="inlineStr"/>
      <c r="F38" s="13" t="inlineStr"/>
      <c r="G38" s="25" t="n">
        <v>46037</v>
      </c>
      <c r="H38" s="25" t="n"/>
      <c r="I38" s="13" t="inlineStr"/>
      <c r="J38" s="13" t="inlineStr">
        <is>
          <t>LOCAIS DE PAGAMENTO ITAU, SANTANDER, BANCO DO BRASIL, CAIXA ECONOMICA FEDERAL,</t>
        </is>
      </c>
      <c r="K38" s="13" t="inlineStr"/>
      <c r="L38" s="13" t="inlineStr">
        <is>
          <t>23.655.038/0002-89</t>
        </is>
      </c>
      <c r="M38" s="13" t="inlineStr">
        <is>
          <t>SKAL /0002</t>
        </is>
      </c>
      <c r="N38" s="13" t="inlineStr">
        <is>
          <t>Apoio</t>
        </is>
      </c>
      <c r="O38" s="13" t="inlineStr">
        <is>
          <t>Documento de apoio</t>
        </is>
      </c>
      <c r="P38" s="15" t="inlineStr"/>
      <c r="Q38" s="16" t="n"/>
      <c r="R38" s="16" t="n"/>
      <c r="S38" s="16" t="n"/>
      <c r="T38" s="16" t="n"/>
      <c r="U38" s="16" t="n"/>
      <c r="V38" s="17" t="n"/>
      <c r="W38" s="16" t="n"/>
      <c r="X38" s="16" t="n"/>
      <c r="Y38" s="16" t="n"/>
      <c r="Z38" s="16" t="n"/>
      <c r="AA38" s="16" t="n"/>
      <c r="AB38" s="16" t="n"/>
      <c r="AC38" s="16" t="n"/>
      <c r="AD38" s="17" t="n"/>
      <c r="AE38" s="16" t="n"/>
      <c r="AF38" s="16" t="n"/>
      <c r="AG38" s="16" t="n"/>
      <c r="AH38" s="16" t="n"/>
      <c r="AI38" s="16" t="n"/>
      <c r="AJ38" s="16" t="n"/>
      <c r="AK38" s="16" t="n"/>
      <c r="AL38" s="16" t="n"/>
      <c r="AM38" s="13" t="inlineStr">
        <is>
          <t>Baixa</t>
        </is>
      </c>
      <c r="AN38" s="13" t="inlineStr"/>
      <c r="AO38" s="19" t="inlineStr">
        <is>
          <t>Não</t>
        </is>
      </c>
      <c r="AP38" s="13" t="inlineStr"/>
      <c r="AQ38" s="13" t="inlineStr"/>
      <c r="AR38" s="15" t="inlineStr"/>
      <c r="AS38" s="15" t="inlineStr">
        <is>
          <t>NOTAS FISCAIS DE COMPRA JANEIRO 2026.pdf - p. 37</t>
        </is>
      </c>
    </row>
    <row r="39">
      <c r="A39" s="13" t="inlineStr">
        <is>
          <t>JAN26-P038</t>
        </is>
      </c>
      <c r="B39" s="13" t="n">
        <v>38</v>
      </c>
      <c r="C39" s="13" t="inlineStr">
        <is>
          <t>DAR/GNRE</t>
        </is>
      </c>
      <c r="D39" s="13" t="inlineStr"/>
      <c r="E39" s="13" t="inlineStr"/>
      <c r="F39" s="13" t="inlineStr"/>
      <c r="G39" s="25" t="n">
        <v>46036</v>
      </c>
      <c r="H39" s="25" t="n"/>
      <c r="I39" s="13" t="inlineStr"/>
      <c r="J39" s="13" t="inlineStr">
        <is>
          <t>GERENCIA DE FISCALIZACAO DE MERCADORIA EM TRANSITO</t>
        </is>
      </c>
      <c r="K39" s="13" t="inlineStr"/>
      <c r="L39" s="13" t="inlineStr"/>
      <c r="M39" s="13" t="inlineStr"/>
      <c r="N39" s="13" t="inlineStr">
        <is>
          <t>Apoio</t>
        </is>
      </c>
      <c r="O39" s="13" t="inlineStr">
        <is>
          <t>Documento de apoio</t>
        </is>
      </c>
      <c r="P39" s="15" t="inlineStr"/>
      <c r="Q39" s="16" t="n"/>
      <c r="R39" s="16" t="n"/>
      <c r="S39" s="16" t="n"/>
      <c r="T39" s="16" t="n"/>
      <c r="U39" s="16" t="n"/>
      <c r="V39" s="17" t="n"/>
      <c r="W39" s="16" t="n"/>
      <c r="X39" s="16" t="n"/>
      <c r="Y39" s="16" t="n"/>
      <c r="Z39" s="16" t="n"/>
      <c r="AA39" s="16" t="n"/>
      <c r="AB39" s="16" t="n"/>
      <c r="AC39" s="16" t="n"/>
      <c r="AD39" s="17" t="n"/>
      <c r="AE39" s="16" t="n"/>
      <c r="AF39" s="16" t="n"/>
      <c r="AG39" s="16" t="n"/>
      <c r="AH39" s="16" t="n"/>
      <c r="AI39" s="16" t="n"/>
      <c r="AJ39" s="16" t="n"/>
      <c r="AK39" s="16" t="n"/>
      <c r="AL39" s="16" t="n"/>
      <c r="AM39" s="13" t="inlineStr">
        <is>
          <t>Baixa</t>
        </is>
      </c>
      <c r="AN39" s="13" t="inlineStr"/>
      <c r="AO39" s="19" t="inlineStr">
        <is>
          <t>Não</t>
        </is>
      </c>
      <c r="AP39" s="13" t="inlineStr"/>
      <c r="AQ39" s="13" t="inlineStr"/>
      <c r="AR39" s="15" t="inlineStr"/>
      <c r="AS39" s="15" t="inlineStr">
        <is>
          <t>NOTAS FISCAIS DE COMPRA JANEIRO 2026.pdf - p. 38</t>
        </is>
      </c>
    </row>
    <row r="40">
      <c r="A40" s="13" t="inlineStr">
        <is>
          <t>JAN26-P039</t>
        </is>
      </c>
      <c r="B40" s="13" t="n">
        <v>39</v>
      </c>
      <c r="C40" s="13" t="inlineStr">
        <is>
          <t>NFS-e</t>
        </is>
      </c>
      <c r="D40" s="13" t="inlineStr"/>
      <c r="E40" s="13" t="inlineStr"/>
      <c r="F40" s="13" t="inlineStr"/>
      <c r="G40" s="25" t="n">
        <v>46016</v>
      </c>
      <c r="H40" s="25" t="n"/>
      <c r="I40" s="13" t="inlineStr"/>
      <c r="J40" s="13" t="inlineStr">
        <is>
          <t>AUTO SHOP RASTREAMENTO LTDA</t>
        </is>
      </c>
      <c r="K40" s="13" t="inlineStr">
        <is>
          <t>24.625.077/0001-15</t>
        </is>
      </c>
      <c r="L40" s="13" t="inlineStr"/>
      <c r="M40" s="13" t="inlineStr"/>
      <c r="N40" s="13" t="inlineStr">
        <is>
          <t>Servicos</t>
        </is>
      </c>
      <c r="O40" s="13" t="inlineStr">
        <is>
          <t>Outros servicos</t>
        </is>
      </c>
      <c r="P40" s="15" t="inlineStr"/>
      <c r="Q40" s="16" t="n">
        <v>1198</v>
      </c>
      <c r="R40" s="16" t="n"/>
      <c r="S40" s="16" t="n"/>
      <c r="T40" s="16" t="n"/>
      <c r="U40" s="16" t="n"/>
      <c r="V40" s="17" t="n"/>
      <c r="W40" s="16" t="n"/>
      <c r="X40" s="16" t="n"/>
      <c r="Y40" s="16" t="n"/>
      <c r="Z40" s="16" t="n"/>
      <c r="AA40" s="16" t="n"/>
      <c r="AB40" s="16" t="n"/>
      <c r="AC40" s="16" t="n"/>
      <c r="AD40" s="17" t="n"/>
      <c r="AE40" s="16" t="n"/>
      <c r="AF40" s="16" t="n"/>
      <c r="AG40" s="16" t="n"/>
      <c r="AH40" s="16" t="n"/>
      <c r="AI40" s="16" t="n"/>
      <c r="AJ40" s="16" t="n"/>
      <c r="AK40" s="16" t="n"/>
      <c r="AL40" s="16" t="n"/>
      <c r="AM40" s="13" t="inlineStr">
        <is>
          <t>Media</t>
        </is>
      </c>
      <c r="AN40" s="13" t="inlineStr"/>
      <c r="AO40" s="18" t="inlineStr">
        <is>
          <t>Sim</t>
        </is>
      </c>
      <c r="AP40" s="13" t="inlineStr"/>
      <c r="AQ40" s="13" t="inlineStr"/>
      <c r="AR40" s="15" t="inlineStr"/>
      <c r="AS40" s="15" t="inlineStr">
        <is>
          <t>NOTAS FISCAIS DE COMPRA JANEIRO 2026.pdf - p. 39</t>
        </is>
      </c>
    </row>
    <row r="41">
      <c r="A41" s="13" t="inlineStr">
        <is>
          <t>JAN26-P040</t>
        </is>
      </c>
      <c r="B41" s="13" t="n">
        <v>40</v>
      </c>
      <c r="C41" s="13" t="inlineStr">
        <is>
          <t>NFS-e</t>
        </is>
      </c>
      <c r="D41" s="13" t="inlineStr"/>
      <c r="E41" s="13" t="inlineStr">
        <is>
          <t>2</t>
        </is>
      </c>
      <c r="F41" s="13" t="inlineStr"/>
      <c r="G41" s="25" t="n"/>
      <c r="H41" s="25" t="n"/>
      <c r="I41" s="13" t="inlineStr"/>
      <c r="J41" s="13" t="inlineStr">
        <is>
          <t>E-moll</t>
        </is>
      </c>
      <c r="K41" s="13" t="inlineStr"/>
      <c r="L41" s="13" t="inlineStr">
        <is>
          <t>23.655.038/0002-89</t>
        </is>
      </c>
      <c r="M41" s="13" t="inlineStr">
        <is>
          <t>SKAL /0002</t>
        </is>
      </c>
      <c r="N41" s="13" t="inlineStr">
        <is>
          <t>Servicos</t>
        </is>
      </c>
      <c r="O41" s="13" t="inlineStr">
        <is>
          <t>Representacao/comissoes</t>
        </is>
      </c>
      <c r="P41" s="15" t="inlineStr"/>
      <c r="Q41" s="16" t="n"/>
      <c r="R41" s="16" t="n"/>
      <c r="S41" s="16" t="n"/>
      <c r="T41" s="16" t="n"/>
      <c r="U41" s="16" t="n"/>
      <c r="V41" s="17" t="n"/>
      <c r="W41" s="16" t="n"/>
      <c r="X41" s="16" t="n"/>
      <c r="Y41" s="16" t="n"/>
      <c r="Z41" s="16" t="n"/>
      <c r="AA41" s="16" t="n"/>
      <c r="AB41" s="16" t="n"/>
      <c r="AC41" s="16" t="n"/>
      <c r="AD41" s="17" t="n"/>
      <c r="AE41" s="16" t="n"/>
      <c r="AF41" s="16" t="n"/>
      <c r="AG41" s="16" t="n"/>
      <c r="AH41" s="16" t="n"/>
      <c r="AI41" s="16" t="n"/>
      <c r="AJ41" s="16" t="n"/>
      <c r="AK41" s="16" t="n"/>
      <c r="AL41" s="16" t="n"/>
      <c r="AM41" s="13" t="inlineStr">
        <is>
          <t>Media</t>
        </is>
      </c>
      <c r="AN41" s="21" t="inlineStr">
        <is>
          <t>Revisar documento</t>
        </is>
      </c>
      <c r="AO41" s="20" t="inlineStr">
        <is>
          <t>Revisar</t>
        </is>
      </c>
      <c r="AP41" s="13" t="inlineStr"/>
      <c r="AQ41" s="13" t="inlineStr"/>
      <c r="AR41" s="15" t="inlineStr"/>
      <c r="AS41" s="15" t="inlineStr">
        <is>
          <t>NOTAS FISCAIS DE COMPRA JANEIRO 2026.pdf - p. 40</t>
        </is>
      </c>
    </row>
    <row r="42">
      <c r="A42" s="13" t="inlineStr">
        <is>
          <t>JAN26-P041</t>
        </is>
      </c>
      <c r="B42" s="13" t="n">
        <v>41</v>
      </c>
      <c r="C42" s="13" t="inlineStr">
        <is>
          <t>NF-e</t>
        </is>
      </c>
      <c r="D42" s="13" t="inlineStr">
        <is>
          <t>55</t>
        </is>
      </c>
      <c r="E42" s="13" t="inlineStr">
        <is>
          <t>536564</t>
        </is>
      </c>
      <c r="F42" s="13" t="inlineStr">
        <is>
          <t>1</t>
        </is>
      </c>
      <c r="G42" s="25" t="n">
        <v>46045</v>
      </c>
      <c r="H42" s="25" t="n"/>
      <c r="I42" s="13" t="inlineStr">
        <is>
          <t>23260110260249000351550010005365641407857835</t>
        </is>
      </c>
      <c r="J42" s="13" t="inlineStr">
        <is>
          <t>COMPANHIA INDUSTRIAL DE CIMENTO APODI</t>
        </is>
      </c>
      <c r="K42" s="13" t="inlineStr">
        <is>
          <t>10.260.249/0003-51</t>
        </is>
      </c>
      <c r="L42" s="13" t="inlineStr">
        <is>
          <t>23.655.038/0002-89</t>
        </is>
      </c>
      <c r="M42" s="13" t="inlineStr">
        <is>
          <t>SKAL /0002</t>
        </is>
      </c>
      <c r="N42" s="13" t="inlineStr">
        <is>
          <t>Produtos</t>
        </is>
      </c>
      <c r="O42" s="13" t="inlineStr">
        <is>
          <t>Cimento</t>
        </is>
      </c>
      <c r="P42" s="15" t="inlineStr">
        <is>
          <t>Cimento Portland / produção do estabelecimento - dados fiscais conforme DANFE.</t>
        </is>
      </c>
      <c r="Q42" s="16" t="n">
        <v>17790.3</v>
      </c>
      <c r="R42" s="16" t="n">
        <v>17790.3</v>
      </c>
      <c r="S42" s="16" t="n"/>
      <c r="T42" s="16" t="n"/>
      <c r="U42" s="16" t="n">
        <v>17790.3</v>
      </c>
      <c r="V42" s="17" t="n">
        <v>0.12</v>
      </c>
      <c r="W42" s="16" t="n">
        <v>2134.84</v>
      </c>
      <c r="X42" s="16" t="n"/>
      <c r="Y42" s="16" t="n"/>
      <c r="Z42" s="16" t="n"/>
      <c r="AA42" s="16" t="n"/>
      <c r="AB42" s="16" t="n"/>
      <c r="AC42" s="16" t="n"/>
      <c r="AD42" s="17" t="n"/>
      <c r="AE42" s="16" t="n"/>
      <c r="AF42" s="16" t="n"/>
      <c r="AG42" s="16" t="n"/>
      <c r="AH42" s="16" t="n"/>
      <c r="AI42" s="16" t="n"/>
      <c r="AJ42" s="16" t="n"/>
      <c r="AK42" s="16" t="n"/>
      <c r="AL42" s="16" t="n"/>
      <c r="AM42" s="13" t="inlineStr">
        <is>
          <t>Alta</t>
        </is>
      </c>
      <c r="AN42" s="13" t="inlineStr"/>
      <c r="AO42" s="18" t="inlineStr">
        <is>
          <t>Sim</t>
        </is>
      </c>
      <c r="AP42" s="13" t="inlineStr"/>
      <c r="AQ42" s="13" t="inlineStr"/>
      <c r="AR42" s="15" t="inlineStr"/>
      <c r="AS42" s="15" t="inlineStr">
        <is>
          <t>NOTAS FISCAIS DE COMPRA JANEIRO 2026.pdf - p. 41</t>
        </is>
      </c>
    </row>
    <row r="43">
      <c r="A43" s="13" t="inlineStr">
        <is>
          <t>JAN26-P042</t>
        </is>
      </c>
      <c r="B43" s="13" t="n">
        <v>42</v>
      </c>
      <c r="C43" s="13" t="inlineStr">
        <is>
          <t>NF-e</t>
        </is>
      </c>
      <c r="D43" s="13" t="inlineStr"/>
      <c r="E43" s="13" t="inlineStr">
        <is>
          <t>536357</t>
        </is>
      </c>
      <c r="F43" s="13" t="inlineStr"/>
      <c r="G43" s="25" t="n">
        <v>46044</v>
      </c>
      <c r="H43" s="25" t="n"/>
      <c r="I43" s="13" t="inlineStr"/>
      <c r="J43" s="13" t="inlineStr">
        <is>
          <t>COMPANHIA INDUSTRIAL DE CIMENTO APODI</t>
        </is>
      </c>
      <c r="K43" s="13" t="inlineStr">
        <is>
          <t>10.260.249/0003-51</t>
        </is>
      </c>
      <c r="L43" s="13" t="inlineStr">
        <is>
          <t>23.655.038/0002-89</t>
        </is>
      </c>
      <c r="M43" s="13" t="inlineStr">
        <is>
          <t>SKAL /0002</t>
        </is>
      </c>
      <c r="N43" s="13" t="inlineStr">
        <is>
          <t>Produtos</t>
        </is>
      </c>
      <c r="O43" s="13" t="inlineStr">
        <is>
          <t>Cimento</t>
        </is>
      </c>
      <c r="P43" s="15" t="inlineStr">
        <is>
          <t>Cimento Portland / produção do estabelecimento - dados fiscais conforme DANFE.</t>
        </is>
      </c>
      <c r="Q43" s="16" t="n">
        <v>18607.05</v>
      </c>
      <c r="R43" s="16" t="n">
        <v>18607.05</v>
      </c>
      <c r="S43" s="16" t="n"/>
      <c r="T43" s="16" t="n"/>
      <c r="U43" s="16" t="n">
        <v>18607.05</v>
      </c>
      <c r="V43" s="17" t="n">
        <v>0.12</v>
      </c>
      <c r="W43" s="16" t="n">
        <v>2232.85</v>
      </c>
      <c r="X43" s="16" t="n"/>
      <c r="Y43" s="16" t="n"/>
      <c r="Z43" s="16" t="n"/>
      <c r="AA43" s="16" t="n"/>
      <c r="AB43" s="16" t="n"/>
      <c r="AC43" s="16" t="n"/>
      <c r="AD43" s="17" t="n"/>
      <c r="AE43" s="16" t="n"/>
      <c r="AF43" s="16" t="n"/>
      <c r="AG43" s="16" t="n"/>
      <c r="AH43" s="16" t="n"/>
      <c r="AI43" s="16" t="n"/>
      <c r="AJ43" s="16" t="n"/>
      <c r="AK43" s="16" t="n"/>
      <c r="AL43" s="16" t="n"/>
      <c r="AM43" s="13" t="inlineStr">
        <is>
          <t>Media</t>
        </is>
      </c>
      <c r="AN43" s="13" t="inlineStr"/>
      <c r="AO43" s="18" t="inlineStr">
        <is>
          <t>Sim</t>
        </is>
      </c>
      <c r="AP43" s="13" t="inlineStr"/>
      <c r="AQ43" s="13" t="inlineStr"/>
      <c r="AR43" s="15" t="inlineStr"/>
      <c r="AS43" s="15" t="inlineStr">
        <is>
          <t>NOTAS FISCAIS DE COMPRA JANEIRO 2026.pdf - p. 42</t>
        </is>
      </c>
    </row>
    <row r="44">
      <c r="A44" s="13" t="inlineStr">
        <is>
          <t>JAN26-P043</t>
        </is>
      </c>
      <c r="B44" s="13" t="n">
        <v>43</v>
      </c>
      <c r="C44" s="13" t="inlineStr">
        <is>
          <t>NF-e</t>
        </is>
      </c>
      <c r="D44" s="13" t="inlineStr"/>
      <c r="E44" s="13" t="inlineStr">
        <is>
          <t>536302</t>
        </is>
      </c>
      <c r="F44" s="13" t="inlineStr"/>
      <c r="G44" s="25" t="n">
        <v>46043</v>
      </c>
      <c r="H44" s="25" t="n"/>
      <c r="I44" s="13" t="inlineStr"/>
      <c r="J44" s="13" t="inlineStr">
        <is>
          <t>COMPANHIA INDUSTRIAL DE CIMENTO APODI</t>
        </is>
      </c>
      <c r="K44" s="13" t="inlineStr">
        <is>
          <t>10.260.249/0003-51</t>
        </is>
      </c>
      <c r="L44" s="13" t="inlineStr">
        <is>
          <t>23.655.038/0002-89</t>
        </is>
      </c>
      <c r="M44" s="13" t="inlineStr">
        <is>
          <t>SKAL /0002</t>
        </is>
      </c>
      <c r="N44" s="13" t="inlineStr">
        <is>
          <t>Produtos</t>
        </is>
      </c>
      <c r="O44" s="13" t="inlineStr">
        <is>
          <t>Cimento</t>
        </is>
      </c>
      <c r="P44" s="15" t="inlineStr">
        <is>
          <t>Cimento Portland / produção do estabelecimento - dados fiscais conforme DANFE.</t>
        </is>
      </c>
      <c r="Q44" s="16" t="n">
        <v>18711</v>
      </c>
      <c r="R44" s="16" t="n">
        <v>18711</v>
      </c>
      <c r="S44" s="16" t="n"/>
      <c r="T44" s="16" t="n"/>
      <c r="U44" s="16" t="n">
        <v>18711</v>
      </c>
      <c r="V44" s="17" t="n">
        <v>0.12</v>
      </c>
      <c r="W44" s="16" t="n">
        <v>2245.32</v>
      </c>
      <c r="X44" s="16" t="n"/>
      <c r="Y44" s="16" t="n"/>
      <c r="Z44" s="16" t="n"/>
      <c r="AA44" s="16" t="n"/>
      <c r="AB44" s="16" t="n"/>
      <c r="AC44" s="16" t="n"/>
      <c r="AD44" s="17" t="n"/>
      <c r="AE44" s="16" t="n"/>
      <c r="AF44" s="16" t="n"/>
      <c r="AG44" s="16" t="n"/>
      <c r="AH44" s="16" t="n"/>
      <c r="AI44" s="16" t="n"/>
      <c r="AJ44" s="16" t="n"/>
      <c r="AK44" s="16" t="n"/>
      <c r="AL44" s="16" t="n"/>
      <c r="AM44" s="13" t="inlineStr">
        <is>
          <t>Media</t>
        </is>
      </c>
      <c r="AN44" s="13" t="inlineStr"/>
      <c r="AO44" s="18" t="inlineStr">
        <is>
          <t>Sim</t>
        </is>
      </c>
      <c r="AP44" s="13" t="inlineStr"/>
      <c r="AQ44" s="13" t="inlineStr"/>
      <c r="AR44" s="15" t="inlineStr"/>
      <c r="AS44" s="15" t="inlineStr">
        <is>
          <t>NOTAS FISCAIS DE COMPRA JANEIRO 2026.pdf - p. 43</t>
        </is>
      </c>
    </row>
    <row r="45">
      <c r="A45" s="13" t="inlineStr">
        <is>
          <t>JAN26-P044</t>
        </is>
      </c>
      <c r="B45" s="13" t="n">
        <v>44</v>
      </c>
      <c r="C45" s="13" t="inlineStr">
        <is>
          <t>NF-e</t>
        </is>
      </c>
      <c r="D45" s="13" t="inlineStr"/>
      <c r="E45" s="13" t="inlineStr">
        <is>
          <t>536108</t>
        </is>
      </c>
      <c r="F45" s="13" t="inlineStr"/>
      <c r="G45" s="25" t="n">
        <v>46042</v>
      </c>
      <c r="H45" s="25" t="n"/>
      <c r="I45" s="13" t="inlineStr"/>
      <c r="J45" s="13" t="inlineStr">
        <is>
          <t>COMPANHIA INDUSTRIAL DE CIMENTO APODI</t>
        </is>
      </c>
      <c r="K45" s="13" t="inlineStr">
        <is>
          <t>10.260.249/0003-51</t>
        </is>
      </c>
      <c r="L45" s="13" t="inlineStr">
        <is>
          <t>23.655.038/0002-89</t>
        </is>
      </c>
      <c r="M45" s="13" t="inlineStr">
        <is>
          <t>SKAL /0002</t>
        </is>
      </c>
      <c r="N45" s="13" t="inlineStr">
        <is>
          <t>Produtos</t>
        </is>
      </c>
      <c r="O45" s="13" t="inlineStr">
        <is>
          <t>Cimento</t>
        </is>
      </c>
      <c r="P45" s="15" t="inlineStr">
        <is>
          <t>Cimento Portland / produção do estabelecimento - dados fiscais conforme DANFE.</t>
        </is>
      </c>
      <c r="Q45" s="16" t="n">
        <v>18814.95</v>
      </c>
      <c r="R45" s="16" t="n">
        <v>18814.95</v>
      </c>
      <c r="S45" s="16" t="n"/>
      <c r="T45" s="16" t="n"/>
      <c r="U45" s="16" t="n">
        <v>18814.95</v>
      </c>
      <c r="V45" s="17" t="n">
        <v>0.12</v>
      </c>
      <c r="W45" s="16" t="n">
        <v>2257.79</v>
      </c>
      <c r="X45" s="16" t="n"/>
      <c r="Y45" s="16" t="n"/>
      <c r="Z45" s="16" t="n"/>
      <c r="AA45" s="16" t="n"/>
      <c r="AB45" s="16" t="n"/>
      <c r="AC45" s="16" t="n"/>
      <c r="AD45" s="17" t="n"/>
      <c r="AE45" s="16" t="n"/>
      <c r="AF45" s="16" t="n"/>
      <c r="AG45" s="16" t="n"/>
      <c r="AH45" s="16" t="n"/>
      <c r="AI45" s="16" t="n"/>
      <c r="AJ45" s="16" t="n"/>
      <c r="AK45" s="16" t="n"/>
      <c r="AL45" s="16" t="n"/>
      <c r="AM45" s="13" t="inlineStr">
        <is>
          <t>Media</t>
        </is>
      </c>
      <c r="AN45" s="13" t="inlineStr"/>
      <c r="AO45" s="18" t="inlineStr">
        <is>
          <t>Sim</t>
        </is>
      </c>
      <c r="AP45" s="13" t="inlineStr"/>
      <c r="AQ45" s="13" t="inlineStr"/>
      <c r="AR45" s="15" t="inlineStr"/>
      <c r="AS45" s="15" t="inlineStr">
        <is>
          <t>NOTAS FISCAIS DE COMPRA JANEIRO 2026.pdf - p. 44</t>
        </is>
      </c>
    </row>
    <row r="46">
      <c r="A46" s="13" t="inlineStr">
        <is>
          <t>JAN26-P045</t>
        </is>
      </c>
      <c r="B46" s="13" t="n">
        <v>45</v>
      </c>
      <c r="C46" s="13" t="inlineStr">
        <is>
          <t>NF-e</t>
        </is>
      </c>
      <c r="D46" s="13" t="inlineStr">
        <is>
          <t>55</t>
        </is>
      </c>
      <c r="E46" s="13" t="inlineStr">
        <is>
          <t>535954</t>
        </is>
      </c>
      <c r="F46" s="13" t="inlineStr">
        <is>
          <t>1</t>
        </is>
      </c>
      <c r="G46" s="25" t="n">
        <v>46041</v>
      </c>
      <c r="H46" s="25" t="n"/>
      <c r="I46" s="13" t="inlineStr">
        <is>
          <t>23260110260249000351550010003595412246773162</t>
        </is>
      </c>
      <c r="J46" s="13" t="inlineStr">
        <is>
          <t>COMPANHIA INDUSTRIAL DE CIMENTO APODI</t>
        </is>
      </c>
      <c r="K46" s="13" t="inlineStr">
        <is>
          <t>10.260.249/0003-51</t>
        </is>
      </c>
      <c r="L46" s="13" t="inlineStr">
        <is>
          <t>23.655.038/0002-89</t>
        </is>
      </c>
      <c r="M46" s="13" t="inlineStr">
        <is>
          <t>SKAL /0002</t>
        </is>
      </c>
      <c r="N46" s="13" t="inlineStr">
        <is>
          <t>Produtos</t>
        </is>
      </c>
      <c r="O46" s="13" t="inlineStr">
        <is>
          <t>Cimento</t>
        </is>
      </c>
      <c r="P46" s="15" t="inlineStr">
        <is>
          <t>Cimento Portland / produção do estabelecimento - dados fiscais conforme DANFE.</t>
        </is>
      </c>
      <c r="Q46" s="16" t="n">
        <v>18621.9</v>
      </c>
      <c r="R46" s="16" t="n">
        <v>18621.9</v>
      </c>
      <c r="S46" s="16" t="n"/>
      <c r="T46" s="16" t="n"/>
      <c r="U46" s="16" t="n">
        <v>18621.9</v>
      </c>
      <c r="V46" s="17" t="n">
        <v>0.12</v>
      </c>
      <c r="W46" s="16" t="n">
        <v>2234.63</v>
      </c>
      <c r="X46" s="16" t="n"/>
      <c r="Y46" s="16" t="n"/>
      <c r="Z46" s="16" t="n"/>
      <c r="AA46" s="16" t="n"/>
      <c r="AB46" s="16" t="n"/>
      <c r="AC46" s="16" t="n"/>
      <c r="AD46" s="17" t="n"/>
      <c r="AE46" s="16" t="n"/>
      <c r="AF46" s="16" t="n"/>
      <c r="AG46" s="16" t="n"/>
      <c r="AH46" s="16" t="n"/>
      <c r="AI46" s="16" t="n"/>
      <c r="AJ46" s="16" t="n"/>
      <c r="AK46" s="16" t="n"/>
      <c r="AL46" s="16" t="n"/>
      <c r="AM46" s="13" t="inlineStr">
        <is>
          <t>Alta</t>
        </is>
      </c>
      <c r="AN46" s="13" t="inlineStr"/>
      <c r="AO46" s="18" t="inlineStr">
        <is>
          <t>Sim</t>
        </is>
      </c>
      <c r="AP46" s="13" t="inlineStr"/>
      <c r="AQ46" s="13" t="inlineStr"/>
      <c r="AR46" s="15" t="inlineStr"/>
      <c r="AS46" s="15" t="inlineStr">
        <is>
          <t>NOTAS FISCAIS DE COMPRA JANEIRO 2026.pdf - p. 45</t>
        </is>
      </c>
    </row>
    <row r="47">
      <c r="A47" s="13" t="inlineStr">
        <is>
          <t>JAN26-P046</t>
        </is>
      </c>
      <c r="B47" s="13" t="n">
        <v>46</v>
      </c>
      <c r="C47" s="13" t="inlineStr">
        <is>
          <t>NF-e</t>
        </is>
      </c>
      <c r="D47" s="13" t="inlineStr"/>
      <c r="E47" s="13" t="inlineStr">
        <is>
          <t>535509</t>
        </is>
      </c>
      <c r="F47" s="13" t="inlineStr"/>
      <c r="G47" s="25" t="n">
        <v>46026</v>
      </c>
      <c r="H47" s="25" t="n"/>
      <c r="I47" s="13" t="inlineStr"/>
      <c r="J47" s="13" t="inlineStr">
        <is>
          <t>COMPANHIA INDUSTRIAL DE CIMENTO APODI</t>
        </is>
      </c>
      <c r="K47" s="13" t="inlineStr">
        <is>
          <t>10.260.249/0003-51</t>
        </is>
      </c>
      <c r="L47" s="13" t="inlineStr">
        <is>
          <t>23.655.038/0002-89</t>
        </is>
      </c>
      <c r="M47" s="13" t="inlineStr">
        <is>
          <t>SKAL /0002</t>
        </is>
      </c>
      <c r="N47" s="13" t="inlineStr">
        <is>
          <t>Produtos</t>
        </is>
      </c>
      <c r="O47" s="13" t="inlineStr">
        <is>
          <t>Cimento</t>
        </is>
      </c>
      <c r="P47" s="15" t="inlineStr">
        <is>
          <t>Cimento Portland / produção do estabelecimento - dados fiscais conforme DANFE.</t>
        </is>
      </c>
      <c r="Q47" s="16" t="n">
        <v>18839.7</v>
      </c>
      <c r="R47" s="16" t="n">
        <v>18839.7</v>
      </c>
      <c r="S47" s="16" t="n"/>
      <c r="T47" s="16" t="n"/>
      <c r="U47" s="16" t="n">
        <v>18839.7</v>
      </c>
      <c r="V47" s="17" t="n">
        <v>0.12</v>
      </c>
      <c r="W47" s="16" t="n">
        <v>2260.76</v>
      </c>
      <c r="X47" s="16" t="n"/>
      <c r="Y47" s="16" t="n"/>
      <c r="Z47" s="16" t="n"/>
      <c r="AA47" s="16" t="n"/>
      <c r="AB47" s="16" t="n"/>
      <c r="AC47" s="16" t="n"/>
      <c r="AD47" s="17" t="n"/>
      <c r="AE47" s="16" t="n"/>
      <c r="AF47" s="16" t="n"/>
      <c r="AG47" s="16" t="n"/>
      <c r="AH47" s="16" t="n"/>
      <c r="AI47" s="16" t="n"/>
      <c r="AJ47" s="16" t="n"/>
      <c r="AK47" s="16" t="n"/>
      <c r="AL47" s="16" t="n"/>
      <c r="AM47" s="13" t="inlineStr">
        <is>
          <t>Media</t>
        </is>
      </c>
      <c r="AN47" s="13" t="inlineStr"/>
      <c r="AO47" s="18" t="inlineStr">
        <is>
          <t>Sim</t>
        </is>
      </c>
      <c r="AP47" s="13" t="inlineStr"/>
      <c r="AQ47" s="13" t="inlineStr"/>
      <c r="AR47" s="15" t="inlineStr"/>
      <c r="AS47" s="15" t="inlineStr">
        <is>
          <t>NOTAS FISCAIS DE COMPRA JANEIRO 2026.pdf - p. 46</t>
        </is>
      </c>
    </row>
    <row r="48">
      <c r="A48" s="13" t="inlineStr">
        <is>
          <t>JAN26-P047</t>
        </is>
      </c>
      <c r="B48" s="13" t="n">
        <v>47</v>
      </c>
      <c r="C48" s="13" t="inlineStr">
        <is>
          <t>CT-e</t>
        </is>
      </c>
      <c r="D48" s="13" t="inlineStr"/>
      <c r="E48" s="13" t="inlineStr">
        <is>
          <t>438</t>
        </is>
      </c>
      <c r="F48" s="13" t="inlineStr"/>
      <c r="G48" s="25" t="n">
        <v>46045</v>
      </c>
      <c r="H48" s="25" t="n"/>
      <c r="I48" s="13" t="inlineStr"/>
      <c r="J48" s="13" t="inlineStr">
        <is>
          <t>F G INTELIGENCIA EM LOGISTICA LTDA</t>
        </is>
      </c>
      <c r="K48" s="13" t="inlineStr">
        <is>
          <t>42.709.787/0003-77</t>
        </is>
      </c>
      <c r="L48" s="13" t="inlineStr">
        <is>
          <t>23.655.038/0002-89</t>
        </is>
      </c>
      <c r="M48" s="13" t="inlineStr">
        <is>
          <t>SKAL /0002</t>
        </is>
      </c>
      <c r="N48" s="13" t="inlineStr">
        <is>
          <t>Fretes</t>
        </is>
      </c>
      <c r="O48" s="13" t="inlineStr">
        <is>
          <t>Frete de insumo - cimento</t>
        </is>
      </c>
      <c r="P48" s="15" t="inlineStr">
        <is>
          <t>Frete rodoviário de aquisição de cimento - remetente Companhia Industrial de Cimento Apodi.</t>
        </is>
      </c>
      <c r="Q48" s="16" t="n">
        <v>11141.4</v>
      </c>
      <c r="R48" s="16" t="n"/>
      <c r="S48" s="16" t="n"/>
      <c r="T48" s="16" t="n">
        <v>11141.4</v>
      </c>
      <c r="U48" s="16" t="n">
        <v>11141.4</v>
      </c>
      <c r="V48" s="17" t="n">
        <v>0.12</v>
      </c>
      <c r="W48" s="16" t="n">
        <v>1336.97</v>
      </c>
      <c r="X48" s="16" t="n"/>
      <c r="Y48" s="16" t="n"/>
      <c r="Z48" s="16" t="n"/>
      <c r="AA48" s="16" t="n"/>
      <c r="AB48" s="16" t="n"/>
      <c r="AC48" s="16" t="n"/>
      <c r="AD48" s="17" t="n"/>
      <c r="AE48" s="16" t="n"/>
      <c r="AF48" s="16" t="n"/>
      <c r="AG48" s="16" t="n"/>
      <c r="AH48" s="16" t="n"/>
      <c r="AI48" s="16" t="n"/>
      <c r="AJ48" s="16" t="n"/>
      <c r="AK48" s="16" t="n"/>
      <c r="AL48" s="16" t="n">
        <v>17790.3</v>
      </c>
      <c r="AM48" s="13" t="inlineStr">
        <is>
          <t>Baixa</t>
        </is>
      </c>
      <c r="AN48" s="13" t="inlineStr"/>
      <c r="AO48" s="18" t="inlineStr">
        <is>
          <t>Sim</t>
        </is>
      </c>
      <c r="AP48" s="13" t="inlineStr"/>
      <c r="AQ48" s="13" t="inlineStr"/>
      <c r="AR48" s="15" t="inlineStr"/>
      <c r="AS48" s="15" t="inlineStr">
        <is>
          <t>NOTAS FISCAIS DE COMPRA JANEIRO 2026.pdf - p. 47</t>
        </is>
      </c>
    </row>
    <row r="49">
      <c r="A49" s="13" t="inlineStr">
        <is>
          <t>JAN26-P048</t>
        </is>
      </c>
      <c r="B49" s="13" t="n">
        <v>48</v>
      </c>
      <c r="C49" s="13" t="inlineStr">
        <is>
          <t>CT-e</t>
        </is>
      </c>
      <c r="D49" s="13" t="inlineStr"/>
      <c r="E49" s="13" t="inlineStr">
        <is>
          <t>433</t>
        </is>
      </c>
      <c r="F49" s="13" t="inlineStr"/>
      <c r="G49" s="25" t="n">
        <v>46044</v>
      </c>
      <c r="H49" s="25" t="n"/>
      <c r="I49" s="13" t="inlineStr"/>
      <c r="J49" s="13" t="inlineStr">
        <is>
          <t>F G INTELIGENCIA EM LOGISTICA LTDA</t>
        </is>
      </c>
      <c r="K49" s="13" t="inlineStr">
        <is>
          <t>42.709.787/0003-77</t>
        </is>
      </c>
      <c r="L49" s="13" t="inlineStr">
        <is>
          <t>23.655.038/0002-89</t>
        </is>
      </c>
      <c r="M49" s="13" t="inlineStr">
        <is>
          <t>SKAL /0002</t>
        </is>
      </c>
      <c r="N49" s="13" t="inlineStr">
        <is>
          <t>Fretes</t>
        </is>
      </c>
      <c r="O49" s="13" t="inlineStr">
        <is>
          <t>Frete de insumo - cimento</t>
        </is>
      </c>
      <c r="P49" s="15" t="inlineStr">
        <is>
          <t>Frete rodoviário de aquisição de cimento - remetente Companhia Industrial de Cimento Apodi.</t>
        </is>
      </c>
      <c r="Q49" s="16" t="n">
        <v>11652.9</v>
      </c>
      <c r="R49" s="16" t="n"/>
      <c r="S49" s="16" t="n">
        <v>1.55</v>
      </c>
      <c r="T49" s="16" t="n">
        <v>11652.9</v>
      </c>
      <c r="U49" s="16" t="n">
        <v>11652.9</v>
      </c>
      <c r="V49" s="17" t="n">
        <v>0.12</v>
      </c>
      <c r="W49" s="16" t="n">
        <v>1398.35</v>
      </c>
      <c r="X49" s="16" t="n"/>
      <c r="Y49" s="16" t="n"/>
      <c r="Z49" s="16" t="n"/>
      <c r="AA49" s="16" t="n"/>
      <c r="AB49" s="16" t="n"/>
      <c r="AC49" s="16" t="n"/>
      <c r="AD49" s="17" t="n"/>
      <c r="AE49" s="16" t="n"/>
      <c r="AF49" s="16" t="n"/>
      <c r="AG49" s="16" t="n"/>
      <c r="AH49" s="16" t="n"/>
      <c r="AI49" s="16" t="n"/>
      <c r="AJ49" s="16" t="n"/>
      <c r="AK49" s="16" t="n"/>
      <c r="AL49" s="16" t="n">
        <v>18607.05</v>
      </c>
      <c r="AM49" s="13" t="inlineStr">
        <is>
          <t>Media</t>
        </is>
      </c>
      <c r="AN49" s="13" t="inlineStr"/>
      <c r="AO49" s="18" t="inlineStr">
        <is>
          <t>Sim</t>
        </is>
      </c>
      <c r="AP49" s="13" t="inlineStr"/>
      <c r="AQ49" s="13" t="inlineStr"/>
      <c r="AR49" s="15" t="inlineStr"/>
      <c r="AS49" s="15" t="inlineStr">
        <is>
          <t>NOTAS FISCAIS DE COMPRA JANEIRO 2026.pdf - p. 48</t>
        </is>
      </c>
    </row>
    <row r="50">
      <c r="A50" s="13" t="inlineStr">
        <is>
          <t>JAN26-P049</t>
        </is>
      </c>
      <c r="B50" s="13" t="n">
        <v>49</v>
      </c>
      <c r="C50" s="13" t="inlineStr">
        <is>
          <t>CT-e</t>
        </is>
      </c>
      <c r="D50" s="13" t="inlineStr">
        <is>
          <t>57</t>
        </is>
      </c>
      <c r="E50" s="13" t="inlineStr">
        <is>
          <t>431</t>
        </is>
      </c>
      <c r="F50" s="13" t="inlineStr">
        <is>
          <t>1</t>
        </is>
      </c>
      <c r="G50" s="25" t="n">
        <v>46043</v>
      </c>
      <c r="H50" s="25" t="n"/>
      <c r="I50" s="13" t="inlineStr">
        <is>
          <t>23260142709787000377570010000004311000000007</t>
        </is>
      </c>
      <c r="J50" s="13" t="inlineStr">
        <is>
          <t>F G INTELIGENCIA EM LOGISTICA LTDA</t>
        </is>
      </c>
      <c r="K50" s="13" t="inlineStr">
        <is>
          <t>42.709.787/0003-77</t>
        </is>
      </c>
      <c r="L50" s="13" t="inlineStr">
        <is>
          <t>23.655.038/0002-89</t>
        </is>
      </c>
      <c r="M50" s="13" t="inlineStr">
        <is>
          <t>SKAL /0002</t>
        </is>
      </c>
      <c r="N50" s="13" t="inlineStr">
        <is>
          <t>Fretes</t>
        </is>
      </c>
      <c r="O50" s="13" t="inlineStr">
        <is>
          <t>Frete de insumo - cimento</t>
        </is>
      </c>
      <c r="P50" s="15" t="inlineStr">
        <is>
          <t>Frete rodoviário de aquisição de cimento - remetente Companhia Industrial de Cimento Apodi.</t>
        </is>
      </c>
      <c r="Q50" s="16" t="n">
        <v>11718</v>
      </c>
      <c r="R50" s="16" t="n"/>
      <c r="S50" s="16" t="n"/>
      <c r="T50" s="16" t="n">
        <v>11718</v>
      </c>
      <c r="U50" s="16" t="n">
        <v>11718</v>
      </c>
      <c r="V50" s="17" t="n">
        <v>0.12</v>
      </c>
      <c r="W50" s="16" t="n">
        <v>1406.16</v>
      </c>
      <c r="X50" s="16" t="n"/>
      <c r="Y50" s="16" t="n"/>
      <c r="Z50" s="16" t="n"/>
      <c r="AA50" s="16" t="n"/>
      <c r="AB50" s="16" t="n"/>
      <c r="AC50" s="16" t="n"/>
      <c r="AD50" s="17" t="n"/>
      <c r="AE50" s="16" t="n"/>
      <c r="AF50" s="16" t="n"/>
      <c r="AG50" s="16" t="n"/>
      <c r="AH50" s="16" t="n"/>
      <c r="AI50" s="16" t="n"/>
      <c r="AJ50" s="16" t="n"/>
      <c r="AK50" s="16" t="n"/>
      <c r="AL50" s="16" t="n">
        <v>18711</v>
      </c>
      <c r="AM50" s="13" t="inlineStr">
        <is>
          <t>Alta</t>
        </is>
      </c>
      <c r="AN50" s="13" t="inlineStr"/>
      <c r="AO50" s="18" t="inlineStr">
        <is>
          <t>Sim</t>
        </is>
      </c>
      <c r="AP50" s="13" t="inlineStr"/>
      <c r="AQ50" s="13" t="inlineStr"/>
      <c r="AR50" s="15" t="inlineStr"/>
      <c r="AS50" s="15" t="inlineStr">
        <is>
          <t>NOTAS FISCAIS DE COMPRA JANEIRO 2026.pdf - p. 49</t>
        </is>
      </c>
    </row>
    <row r="51">
      <c r="A51" s="13" t="inlineStr">
        <is>
          <t>JAN26-P050</t>
        </is>
      </c>
      <c r="B51" s="13" t="n">
        <v>50</v>
      </c>
      <c r="C51" s="13" t="inlineStr">
        <is>
          <t>CT-e</t>
        </is>
      </c>
      <c r="D51" s="13" t="inlineStr">
        <is>
          <t>57</t>
        </is>
      </c>
      <c r="E51" s="13" t="inlineStr">
        <is>
          <t>426</t>
        </is>
      </c>
      <c r="F51" s="13" t="inlineStr">
        <is>
          <t>1</t>
        </is>
      </c>
      <c r="G51" s="25" t="n">
        <v>46042</v>
      </c>
      <c r="H51" s="25" t="n"/>
      <c r="I51" s="13" t="inlineStr">
        <is>
          <t>23260142709787000377570010000004261000000007</t>
        </is>
      </c>
      <c r="J51" s="13" t="inlineStr">
        <is>
          <t>F G INTELIGENCIA EM LOGISTICA LTDA</t>
        </is>
      </c>
      <c r="K51" s="13" t="inlineStr">
        <is>
          <t>42.709.787/0003-77</t>
        </is>
      </c>
      <c r="L51" s="13" t="inlineStr">
        <is>
          <t>23.655.038/0002-89</t>
        </is>
      </c>
      <c r="M51" s="13" t="inlineStr">
        <is>
          <t>SKAL /0002</t>
        </is>
      </c>
      <c r="N51" s="13" t="inlineStr">
        <is>
          <t>Fretes</t>
        </is>
      </c>
      <c r="O51" s="13" t="inlineStr">
        <is>
          <t>Frete de insumo - cimento</t>
        </is>
      </c>
      <c r="P51" s="15" t="inlineStr">
        <is>
          <t>Frete rodoviário de aquisição de cimento - remetente Companhia Industrial de Cimento Apodi.</t>
        </is>
      </c>
      <c r="Q51" s="16" t="n">
        <v>11783.1</v>
      </c>
      <c r="R51" s="16" t="n"/>
      <c r="S51" s="16" t="n"/>
      <c r="T51" s="16" t="n">
        <v>11783.1</v>
      </c>
      <c r="U51" s="16" t="n">
        <v>11783.1</v>
      </c>
      <c r="V51" s="17" t="n">
        <v>0.12</v>
      </c>
      <c r="W51" s="16" t="n">
        <v>1413.97</v>
      </c>
      <c r="X51" s="16" t="n"/>
      <c r="Y51" s="16" t="n"/>
      <c r="Z51" s="16" t="n"/>
      <c r="AA51" s="16" t="n"/>
      <c r="AB51" s="16" t="n"/>
      <c r="AC51" s="16" t="n"/>
      <c r="AD51" s="17" t="n"/>
      <c r="AE51" s="16" t="n"/>
      <c r="AF51" s="16" t="n"/>
      <c r="AG51" s="16" t="n"/>
      <c r="AH51" s="16" t="n"/>
      <c r="AI51" s="16" t="n"/>
      <c r="AJ51" s="16" t="n"/>
      <c r="AK51" s="16" t="n"/>
      <c r="AL51" s="16" t="n">
        <v>18814.95</v>
      </c>
      <c r="AM51" s="13" t="inlineStr">
        <is>
          <t>Alta</t>
        </is>
      </c>
      <c r="AN51" s="13" t="inlineStr"/>
      <c r="AO51" s="18" t="inlineStr">
        <is>
          <t>Sim</t>
        </is>
      </c>
      <c r="AP51" s="13" t="inlineStr"/>
      <c r="AQ51" s="13" t="inlineStr"/>
      <c r="AR51" s="15" t="inlineStr"/>
      <c r="AS51" s="15" t="inlineStr">
        <is>
          <t>NOTAS FISCAIS DE COMPRA JANEIRO 2026.pdf - p. 50</t>
        </is>
      </c>
    </row>
    <row r="52">
      <c r="A52" s="13" t="inlineStr">
        <is>
          <t>JAN26-P051</t>
        </is>
      </c>
      <c r="B52" s="13" t="n">
        <v>51</v>
      </c>
      <c r="C52" s="13" t="inlineStr">
        <is>
          <t>CT-e</t>
        </is>
      </c>
      <c r="D52" s="13" t="inlineStr">
        <is>
          <t>57</t>
        </is>
      </c>
      <c r="E52" s="13" t="inlineStr">
        <is>
          <t>421</t>
        </is>
      </c>
      <c r="F52" s="13" t="inlineStr">
        <is>
          <t>1</t>
        </is>
      </c>
      <c r="G52" s="25" t="n">
        <v>46041</v>
      </c>
      <c r="H52" s="25" t="n"/>
      <c r="I52" s="13" t="inlineStr">
        <is>
          <t>23260142709787000377570010000004211000000000</t>
        </is>
      </c>
      <c r="J52" s="13" t="inlineStr">
        <is>
          <t>F G INTELIGENCIA EM LOGISTICA LTDA</t>
        </is>
      </c>
      <c r="K52" s="13" t="inlineStr">
        <is>
          <t>42.709.787/0003-77</t>
        </is>
      </c>
      <c r="L52" s="13" t="inlineStr">
        <is>
          <t>23.655.038/0002-89</t>
        </is>
      </c>
      <c r="M52" s="13" t="inlineStr">
        <is>
          <t>SKAL /0002</t>
        </is>
      </c>
      <c r="N52" s="13" t="inlineStr">
        <is>
          <t>Fretes</t>
        </is>
      </c>
      <c r="O52" s="13" t="inlineStr">
        <is>
          <t>Frete de insumo - cimento</t>
        </is>
      </c>
      <c r="P52" s="15" t="inlineStr">
        <is>
          <t>Frete rodoviário de aquisição de cimento - remetente Companhia Industrial de Cimento Apodi.</t>
        </is>
      </c>
      <c r="Q52" s="16" t="n">
        <v>11662.2</v>
      </c>
      <c r="R52" s="16" t="n"/>
      <c r="S52" s="16" t="n"/>
      <c r="T52" s="16" t="n">
        <v>11662.2</v>
      </c>
      <c r="U52" s="16" t="n">
        <v>11662.2</v>
      </c>
      <c r="V52" s="17" t="n">
        <v>0.12</v>
      </c>
      <c r="W52" s="16" t="n">
        <v>1399.46</v>
      </c>
      <c r="X52" s="16" t="n"/>
      <c r="Y52" s="16" t="n"/>
      <c r="Z52" s="16" t="n"/>
      <c r="AA52" s="16" t="n"/>
      <c r="AB52" s="16" t="n"/>
      <c r="AC52" s="16" t="n"/>
      <c r="AD52" s="17" t="n"/>
      <c r="AE52" s="16" t="n"/>
      <c r="AF52" s="16" t="n"/>
      <c r="AG52" s="16" t="n"/>
      <c r="AH52" s="16" t="n"/>
      <c r="AI52" s="16" t="n"/>
      <c r="AJ52" s="16" t="n"/>
      <c r="AK52" s="16" t="n"/>
      <c r="AL52" s="16" t="n">
        <v>18621.9</v>
      </c>
      <c r="AM52" s="13" t="inlineStr">
        <is>
          <t>Alta</t>
        </is>
      </c>
      <c r="AN52" s="13" t="inlineStr"/>
      <c r="AO52" s="18" t="inlineStr">
        <is>
          <t>Sim</t>
        </is>
      </c>
      <c r="AP52" s="13" t="inlineStr"/>
      <c r="AQ52" s="13" t="inlineStr"/>
      <c r="AR52" s="15" t="inlineStr"/>
      <c r="AS52" s="15" t="inlineStr">
        <is>
          <t>NOTAS FISCAIS DE COMPRA JANEIRO 2026.pdf - p. 51</t>
        </is>
      </c>
    </row>
    <row r="53">
      <c r="A53" s="13" t="inlineStr">
        <is>
          <t>JAN26-P052</t>
        </is>
      </c>
      <c r="B53" s="13" t="n">
        <v>52</v>
      </c>
      <c r="C53" s="13" t="inlineStr">
        <is>
          <t>CT-e</t>
        </is>
      </c>
      <c r="D53" s="13" t="inlineStr">
        <is>
          <t>57</t>
        </is>
      </c>
      <c r="E53" s="13" t="inlineStr">
        <is>
          <t>418</t>
        </is>
      </c>
      <c r="F53" s="13" t="inlineStr">
        <is>
          <t>1</t>
        </is>
      </c>
      <c r="G53" s="25" t="n">
        <v>46036</v>
      </c>
      <c r="H53" s="25" t="n"/>
      <c r="I53" s="13" t="inlineStr">
        <is>
          <t>23260142709787000377570010000004181000000005</t>
        </is>
      </c>
      <c r="J53" s="13" t="inlineStr">
        <is>
          <t>F G INTELIGENCIA EM LOGISTICA LTDA</t>
        </is>
      </c>
      <c r="K53" s="13" t="inlineStr">
        <is>
          <t>42.709.787/0003-77</t>
        </is>
      </c>
      <c r="L53" s="13" t="inlineStr">
        <is>
          <t>23.655.038/0002-89</t>
        </is>
      </c>
      <c r="M53" s="13" t="inlineStr">
        <is>
          <t>SKAL /0002</t>
        </is>
      </c>
      <c r="N53" s="13" t="inlineStr">
        <is>
          <t>Fretes</t>
        </is>
      </c>
      <c r="O53" s="13" t="inlineStr">
        <is>
          <t>Frete de insumo - cimento</t>
        </is>
      </c>
      <c r="P53" s="15" t="inlineStr">
        <is>
          <t>Frete rodoviário de aquisição de cimento - remetente Companhia Industrial de Cimento Apodi.</t>
        </is>
      </c>
      <c r="Q53" s="16" t="n">
        <v>11798.6</v>
      </c>
      <c r="R53" s="16" t="n"/>
      <c r="S53" s="16" t="n"/>
      <c r="T53" s="16" t="n">
        <v>11798.6</v>
      </c>
      <c r="U53" s="16" t="n">
        <v>11798.6</v>
      </c>
      <c r="V53" s="17" t="n">
        <v>0.12</v>
      </c>
      <c r="W53" s="16" t="n">
        <v>1415.83</v>
      </c>
      <c r="X53" s="16" t="n"/>
      <c r="Y53" s="16" t="n"/>
      <c r="Z53" s="16" t="n"/>
      <c r="AA53" s="16" t="n"/>
      <c r="AB53" s="16" t="n"/>
      <c r="AC53" s="16" t="n"/>
      <c r="AD53" s="17" t="n"/>
      <c r="AE53" s="16" t="n"/>
      <c r="AF53" s="16" t="n"/>
      <c r="AG53" s="16" t="n"/>
      <c r="AH53" s="16" t="n"/>
      <c r="AI53" s="16" t="n"/>
      <c r="AJ53" s="16" t="n"/>
      <c r="AK53" s="16" t="n"/>
      <c r="AL53" s="16" t="n">
        <v>18839.7</v>
      </c>
      <c r="AM53" s="13" t="inlineStr">
        <is>
          <t>Alta</t>
        </is>
      </c>
      <c r="AN53" s="13" t="inlineStr"/>
      <c r="AO53" s="18" t="inlineStr">
        <is>
          <t>Sim</t>
        </is>
      </c>
      <c r="AP53" s="13" t="inlineStr"/>
      <c r="AQ53" s="13" t="inlineStr"/>
      <c r="AR53" s="15" t="inlineStr"/>
      <c r="AS53" s="15" t="inlineStr">
        <is>
          <t>NOTAS FISCAIS DE COMPRA JANEIRO 2026.pdf - p. 52</t>
        </is>
      </c>
    </row>
    <row r="54">
      <c r="A54" s="13" t="inlineStr">
        <is>
          <t>JAN26-P053</t>
        </is>
      </c>
      <c r="B54" s="13" t="n">
        <v>53</v>
      </c>
      <c r="C54" s="13" t="inlineStr">
        <is>
          <t>NF-e</t>
        </is>
      </c>
      <c r="D54" s="13" t="inlineStr"/>
      <c r="E54" s="13" t="inlineStr">
        <is>
          <t>2198</t>
        </is>
      </c>
      <c r="F54" s="13" t="inlineStr">
        <is>
          <t>001</t>
        </is>
      </c>
      <c r="G54" s="25" t="n">
        <v>46041</v>
      </c>
      <c r="H54" s="25" t="n"/>
      <c r="I54" s="13" t="inlineStr"/>
      <c r="J54" s="13" t="inlineStr">
        <is>
          <t>CAIEIRA CANTA GALO EXTRACAO E COMERCIO DE CALCARIO LTDA</t>
        </is>
      </c>
      <c r="K54" s="13" t="inlineStr">
        <is>
          <t>07.776.339/0002-04</t>
        </is>
      </c>
      <c r="L54" s="13" t="inlineStr">
        <is>
          <t>23.655.038/0002-89</t>
        </is>
      </c>
      <c r="M54" s="13" t="inlineStr">
        <is>
          <t>SKAL /0002</t>
        </is>
      </c>
      <c r="N54" s="13" t="inlineStr">
        <is>
          <t>Produtos</t>
        </is>
      </c>
      <c r="O54" s="13" t="inlineStr">
        <is>
          <t>Materia-prima mineral</t>
        </is>
      </c>
      <c r="P54" s="15" t="inlineStr">
        <is>
          <t>CALCARIO DOLOMITICO #170 (SACOS 25 KG), 2,000 t, R$ 244,00/t</t>
        </is>
      </c>
      <c r="Q54" s="16" t="n">
        <v>488</v>
      </c>
      <c r="R54" s="16" t="n">
        <v>488</v>
      </c>
      <c r="S54" s="16" t="n"/>
      <c r="T54" s="16" t="n"/>
      <c r="U54" s="16" t="n">
        <v>215.5</v>
      </c>
      <c r="V54" s="17" t="n">
        <v>0.12</v>
      </c>
      <c r="W54" s="16" t="n">
        <v>25.86</v>
      </c>
      <c r="X54" s="16" t="n"/>
      <c r="Y54" s="16" t="n"/>
      <c r="Z54" s="16" t="n"/>
      <c r="AA54" s="16" t="n"/>
      <c r="AB54" s="16" t="n"/>
      <c r="AC54" s="16" t="n"/>
      <c r="AD54" s="17" t="n"/>
      <c r="AE54" s="16" t="n"/>
      <c r="AF54" s="16" t="n"/>
      <c r="AG54" s="16" t="n"/>
      <c r="AH54" s="16" t="n"/>
      <c r="AI54" s="16" t="n"/>
      <c r="AJ54" s="16" t="n"/>
      <c r="AK54" s="16" t="n"/>
      <c r="AL54" s="16" t="n"/>
      <c r="AM54" s="13" t="inlineStr">
        <is>
          <t>Alta</t>
        </is>
      </c>
      <c r="AN54" s="13" t="inlineStr"/>
      <c r="AO54" s="18" t="inlineStr">
        <is>
          <t>Sim</t>
        </is>
      </c>
      <c r="AP54" s="13" t="inlineStr"/>
      <c r="AQ54" s="13" t="inlineStr"/>
      <c r="AR54" s="15" t="inlineStr"/>
      <c r="AS54" s="15" t="inlineStr">
        <is>
          <t>NOTAS FISCAIS DE COMPRA JANEIRO 2026.pdf - p. 53</t>
        </is>
      </c>
    </row>
    <row r="55">
      <c r="A55" s="13" t="inlineStr">
        <is>
          <t>JAN26-P054</t>
        </is>
      </c>
      <c r="B55" s="13" t="n">
        <v>54</v>
      </c>
      <c r="C55" s="13" t="inlineStr">
        <is>
          <t>NF-e</t>
        </is>
      </c>
      <c r="D55" s="13" t="inlineStr"/>
      <c r="E55" s="13" t="inlineStr">
        <is>
          <t>2181</t>
        </is>
      </c>
      <c r="F55" s="13" t="inlineStr">
        <is>
          <t>001</t>
        </is>
      </c>
      <c r="G55" s="25" t="n">
        <v>46039</v>
      </c>
      <c r="H55" s="25" t="n"/>
      <c r="I55" s="13" t="inlineStr"/>
      <c r="J55" s="13" t="inlineStr">
        <is>
          <t>CAIEIRA CANTA GALO EXTRACAO E COMERCIO DE CALCARIO LTDA</t>
        </is>
      </c>
      <c r="K55" s="13" t="inlineStr">
        <is>
          <t>07.776.339/0002-04</t>
        </is>
      </c>
      <c r="L55" s="13" t="inlineStr">
        <is>
          <t>23.655.038/0002-89</t>
        </is>
      </c>
      <c r="M55" s="13" t="inlineStr">
        <is>
          <t>SKAL /0002</t>
        </is>
      </c>
      <c r="N55" s="13" t="inlineStr">
        <is>
          <t>Produtos</t>
        </is>
      </c>
      <c r="O55" s="13" t="inlineStr">
        <is>
          <t>Materia-prima mineral</t>
        </is>
      </c>
      <c r="P55" s="15" t="inlineStr">
        <is>
          <t>CALCARIO DOLOMITICO #170 (SACOS 25 KG), 18,000 t, R$ 244,00/t</t>
        </is>
      </c>
      <c r="Q55" s="16" t="n">
        <v>4392</v>
      </c>
      <c r="R55" s="16" t="n">
        <v>4392</v>
      </c>
      <c r="S55" s="16" t="n"/>
      <c r="T55" s="16" t="n"/>
      <c r="U55" s="16" t="n">
        <v>1939.51</v>
      </c>
      <c r="V55" s="17" t="n">
        <v>0.12</v>
      </c>
      <c r="W55" s="16" t="n">
        <v>232.74</v>
      </c>
      <c r="X55" s="16" t="n"/>
      <c r="Y55" s="16" t="n"/>
      <c r="Z55" s="16" t="n"/>
      <c r="AA55" s="16" t="n"/>
      <c r="AB55" s="16" t="n"/>
      <c r="AC55" s="16" t="n"/>
      <c r="AD55" s="17" t="n"/>
      <c r="AE55" s="16" t="n"/>
      <c r="AF55" s="16" t="n"/>
      <c r="AG55" s="16" t="n"/>
      <c r="AH55" s="16" t="n"/>
      <c r="AI55" s="16" t="n"/>
      <c r="AJ55" s="16" t="n"/>
      <c r="AK55" s="16" t="n"/>
      <c r="AL55" s="16" t="n"/>
      <c r="AM55" s="13" t="inlineStr">
        <is>
          <t>Alta</t>
        </is>
      </c>
      <c r="AN55" s="13" t="inlineStr"/>
      <c r="AO55" s="18" t="inlineStr">
        <is>
          <t>Sim</t>
        </is>
      </c>
      <c r="AP55" s="13" t="inlineStr"/>
      <c r="AQ55" s="13" t="inlineStr"/>
      <c r="AR55" s="15" t="inlineStr"/>
      <c r="AS55" s="15" t="inlineStr">
        <is>
          <t>NOTAS FISCAIS DE COMPRA JANEIRO 2026.pdf - p. 54</t>
        </is>
      </c>
    </row>
    <row r="56">
      <c r="A56" s="13" t="inlineStr">
        <is>
          <t>JAN26-P055</t>
        </is>
      </c>
      <c r="B56" s="13" t="n">
        <v>55</v>
      </c>
      <c r="C56" s="13" t="inlineStr">
        <is>
          <t>NF-e</t>
        </is>
      </c>
      <c r="D56" s="13" t="inlineStr"/>
      <c r="E56" s="13" t="inlineStr">
        <is>
          <t>17232</t>
        </is>
      </c>
      <c r="F56" s="13" t="inlineStr">
        <is>
          <t>1</t>
        </is>
      </c>
      <c r="G56" s="25" t="n">
        <v>46035</v>
      </c>
      <c r="H56" s="25" t="n"/>
      <c r="I56" s="13" t="inlineStr"/>
      <c r="J56" s="13" t="inlineStr">
        <is>
          <t>PLASTER DISTRIBUIDORA LTDA</t>
        </is>
      </c>
      <c r="K56" s="13" t="inlineStr">
        <is>
          <t>42.534.679/0001-49</t>
        </is>
      </c>
      <c r="L56" s="13" t="inlineStr">
        <is>
          <t>23.655.038/0002-89</t>
        </is>
      </c>
      <c r="M56" s="13" t="inlineStr">
        <is>
          <t>SKAL /0002</t>
        </is>
      </c>
      <c r="N56" s="13" t="inlineStr">
        <is>
          <t>Produtos</t>
        </is>
      </c>
      <c r="O56" s="13" t="inlineStr">
        <is>
          <t>Materia-prima/aditivo</t>
        </is>
      </c>
      <c r="P56" s="15" t="inlineStr"/>
      <c r="Q56" s="16" t="n">
        <v>43536</v>
      </c>
      <c r="R56" s="16" t="n">
        <v>42165.62</v>
      </c>
      <c r="S56" s="16" t="n"/>
      <c r="T56" s="16" t="n"/>
      <c r="U56" s="16" t="n">
        <v>42165.62</v>
      </c>
      <c r="V56" s="17" t="n"/>
      <c r="W56" s="16" t="n">
        <v>5059.87</v>
      </c>
      <c r="X56" s="16" t="n"/>
      <c r="Y56" s="16" t="n"/>
      <c r="Z56" s="16" t="n">
        <v>1370.38</v>
      </c>
      <c r="AA56" s="16" t="n">
        <v>612.24</v>
      </c>
      <c r="AB56" s="16" t="n">
        <v>2820.04</v>
      </c>
      <c r="AC56" s="16" t="n"/>
      <c r="AD56" s="17" t="n"/>
      <c r="AE56" s="16" t="n"/>
      <c r="AF56" s="16" t="n"/>
      <c r="AG56" s="16" t="n"/>
      <c r="AH56" s="16" t="n"/>
      <c r="AI56" s="16" t="n"/>
      <c r="AJ56" s="16" t="n"/>
      <c r="AK56" s="16" t="n"/>
      <c r="AL56" s="16" t="n"/>
      <c r="AM56" s="13" t="inlineStr">
        <is>
          <t>Alta</t>
        </is>
      </c>
      <c r="AN56" s="13" t="inlineStr"/>
      <c r="AO56" s="18" t="inlineStr">
        <is>
          <t>Sim</t>
        </is>
      </c>
      <c r="AP56" s="13" t="inlineStr"/>
      <c r="AQ56" s="13" t="inlineStr"/>
      <c r="AR56" s="15" t="inlineStr"/>
      <c r="AS56" s="15" t="inlineStr">
        <is>
          <t>NOTAS FISCAIS DE COMPRA JANEIRO 2026.pdf - p. 55</t>
        </is>
      </c>
    </row>
    <row r="57">
      <c r="A57" s="13" t="inlineStr">
        <is>
          <t>JAN26-P056</t>
        </is>
      </c>
      <c r="B57" s="13" t="n">
        <v>56</v>
      </c>
      <c r="C57" s="13" t="inlineStr">
        <is>
          <t>NFS-e</t>
        </is>
      </c>
      <c r="D57" s="13" t="inlineStr"/>
      <c r="E57" s="13" t="inlineStr">
        <is>
          <t>27</t>
        </is>
      </c>
      <c r="F57" s="13" t="inlineStr">
        <is>
          <t>900</t>
        </is>
      </c>
      <c r="G57" s="25" t="n">
        <v>46045</v>
      </c>
      <c r="H57" s="25" t="n"/>
      <c r="I57" s="13" t="inlineStr"/>
      <c r="J57" s="13" t="inlineStr">
        <is>
          <t>JAILSON DA CONCEICAO PAIVA</t>
        </is>
      </c>
      <c r="K57" s="13" t="inlineStr">
        <is>
          <t>53.605.493/0001-50</t>
        </is>
      </c>
      <c r="L57" s="13" t="inlineStr">
        <is>
          <t>23.655.038/0002-89</t>
        </is>
      </c>
      <c r="M57" s="13" t="inlineStr">
        <is>
          <t>SKAL /0002</t>
        </is>
      </c>
      <c r="N57" s="13" t="inlineStr">
        <is>
          <t>Servicos</t>
        </is>
      </c>
      <c r="O57" s="13" t="inlineStr">
        <is>
          <t>Manutencao/reparacao</t>
        </is>
      </c>
      <c r="P57" s="15" t="inlineStr">
        <is>
          <t>SERVICO DE CONFECCAO PARA ENSACADEIRA, ROSCA DA ENSACADEIRA, ROSCA DO MISTURADOR, BASE DOS MANCAIS DO ELEVADOR.</t>
        </is>
      </c>
      <c r="Q57" s="16" t="n">
        <v>2000</v>
      </c>
      <c r="R57" s="16" t="n"/>
      <c r="S57" s="16" t="n">
        <v>2000</v>
      </c>
      <c r="T57" s="16" t="n"/>
      <c r="U57" s="16" t="n"/>
      <c r="V57" s="17" t="n"/>
      <c r="W57" s="16" t="n"/>
      <c r="X57" s="16" t="n"/>
      <c r="Y57" s="16" t="n"/>
      <c r="Z57" s="16" t="n"/>
      <c r="AA57" s="16" t="n">
        <v>0</v>
      </c>
      <c r="AB57" s="16" t="n">
        <v>0</v>
      </c>
      <c r="AC57" s="16" t="n"/>
      <c r="AD57" s="17" t="n"/>
      <c r="AE57" s="16" t="n"/>
      <c r="AF57" s="16" t="n"/>
      <c r="AG57" s="16" t="n"/>
      <c r="AH57" s="16" t="n"/>
      <c r="AI57" s="16" t="n"/>
      <c r="AJ57" s="16" t="n"/>
      <c r="AK57" s="16" t="n"/>
      <c r="AL57" s="16" t="n"/>
      <c r="AM57" s="13" t="inlineStr">
        <is>
          <t>Alta</t>
        </is>
      </c>
      <c r="AN57" s="13" t="inlineStr"/>
      <c r="AO57" s="18" t="inlineStr">
        <is>
          <t>Sim</t>
        </is>
      </c>
      <c r="AP57" s="13" t="inlineStr"/>
      <c r="AQ57" s="13" t="inlineStr"/>
      <c r="AR57" s="15" t="inlineStr"/>
      <c r="AS57" s="15" t="inlineStr">
        <is>
          <t>NOTAS FISCAIS DE COMPRA JANEIRO 2026.pdf - p. 56</t>
        </is>
      </c>
    </row>
    <row r="58">
      <c r="A58" s="13" t="inlineStr">
        <is>
          <t>JAN26-P057</t>
        </is>
      </c>
      <c r="B58" s="13" t="n">
        <v>57</v>
      </c>
      <c r="C58" s="13" t="inlineStr">
        <is>
          <t>NFS-e</t>
        </is>
      </c>
      <c r="D58" s="13" t="inlineStr"/>
      <c r="E58" s="13" t="inlineStr">
        <is>
          <t>24</t>
        </is>
      </c>
      <c r="F58" s="13" t="inlineStr">
        <is>
          <t>900</t>
        </is>
      </c>
      <c r="G58" s="25" t="n">
        <v>46048</v>
      </c>
      <c r="H58" s="25" t="n"/>
      <c r="I58" s="13" t="inlineStr"/>
      <c r="J58" s="13" t="inlineStr">
        <is>
          <t>EMERSON CANDIDO DE AQUINO 56476779320</t>
        </is>
      </c>
      <c r="K58" s="13" t="inlineStr">
        <is>
          <t>45.264.826/0001-04</t>
        </is>
      </c>
      <c r="L58" s="13" t="inlineStr">
        <is>
          <t>23.655.038/0002-89</t>
        </is>
      </c>
      <c r="M58" s="13" t="inlineStr">
        <is>
          <t>SKAL /0002</t>
        </is>
      </c>
      <c r="N58" s="13" t="inlineStr">
        <is>
          <t>Servicos</t>
        </is>
      </c>
      <c r="O58" s="13" t="inlineStr">
        <is>
          <t>Entrega</t>
        </is>
      </c>
      <c r="P58" s="15" t="inlineStr">
        <is>
          <t>SERVICO PRESTADO DE ENTREGA DE MERCADORIA</t>
        </is>
      </c>
      <c r="Q58" s="16" t="n">
        <v>2500</v>
      </c>
      <c r="R58" s="16" t="n"/>
      <c r="S58" s="16" t="n">
        <v>2500</v>
      </c>
      <c r="T58" s="16" t="n"/>
      <c r="U58" s="16" t="n"/>
      <c r="V58" s="17" t="n"/>
      <c r="W58" s="16" t="n"/>
      <c r="X58" s="16" t="n"/>
      <c r="Y58" s="16" t="n"/>
      <c r="Z58" s="16" t="n"/>
      <c r="AA58" s="16" t="n"/>
      <c r="AB58" s="16" t="n"/>
      <c r="AC58" s="16" t="n"/>
      <c r="AD58" s="17" t="n"/>
      <c r="AE58" s="16" t="n"/>
      <c r="AF58" s="16" t="n"/>
      <c r="AG58" s="16" t="n"/>
      <c r="AH58" s="16" t="n"/>
      <c r="AI58" s="16" t="n"/>
      <c r="AJ58" s="16" t="n"/>
      <c r="AK58" s="16" t="n"/>
      <c r="AL58" s="16" t="n"/>
      <c r="AM58" s="13" t="inlineStr">
        <is>
          <t>Alta</t>
        </is>
      </c>
      <c r="AN58" s="13" t="inlineStr"/>
      <c r="AO58" s="18" t="inlineStr">
        <is>
          <t>Sim</t>
        </is>
      </c>
      <c r="AP58" s="13" t="inlineStr"/>
      <c r="AQ58" s="13" t="inlineStr"/>
      <c r="AR58" s="15" t="inlineStr"/>
      <c r="AS58" s="15" t="inlineStr">
        <is>
          <t>NOTAS FISCAIS DE COMPRA JANEIRO 2026.pdf - p. 57</t>
        </is>
      </c>
    </row>
    <row r="59">
      <c r="A59" s="13" t="inlineStr">
        <is>
          <t>JAN26-P058</t>
        </is>
      </c>
      <c r="B59" s="13" t="n">
        <v>58</v>
      </c>
      <c r="C59" s="13" t="inlineStr">
        <is>
          <t>NFS-e</t>
        </is>
      </c>
      <c r="D59" s="13" t="inlineStr"/>
      <c r="E59" s="13" t="inlineStr">
        <is>
          <t>960441</t>
        </is>
      </c>
      <c r="F59" s="13" t="inlineStr">
        <is>
          <t>U</t>
        </is>
      </c>
      <c r="G59" s="25" t="n">
        <v>46042</v>
      </c>
      <c r="H59" s="25" t="n"/>
      <c r="I59" s="13" t="inlineStr"/>
      <c r="J59" s="13" t="inlineStr">
        <is>
          <t>HOSPITAIS E CLINICAS DO PIAUI S/S LTDA</t>
        </is>
      </c>
      <c r="K59" s="13" t="inlineStr">
        <is>
          <t>00.885.918/0001-65</t>
        </is>
      </c>
      <c r="L59" s="13" t="inlineStr">
        <is>
          <t>23.655.038/0002-89</t>
        </is>
      </c>
      <c r="M59" s="13" t="inlineStr">
        <is>
          <t>SKAL /0002</t>
        </is>
      </c>
      <c r="N59" s="13" t="inlineStr">
        <is>
          <t>Servicos</t>
        </is>
      </c>
      <c r="O59" s="13" t="inlineStr">
        <is>
          <t>Plano de saude</t>
        </is>
      </c>
      <c r="P59" s="15" t="inlineStr">
        <is>
          <t>08 WDM 82 | 8s | 109,04 mesa | to F | cs | 3:795,94 Content M. 450 M. Ja Vendar E7266 H. Fatar | spares tet. 02601" Vencinen | 593203 | MP! | [Ries | esinatara</t>
        </is>
      </c>
      <c r="Q59" s="16" t="n">
        <v>5901.18</v>
      </c>
      <c r="R59" s="16" t="n"/>
      <c r="S59" s="16" t="n">
        <v>5901.18</v>
      </c>
      <c r="T59" s="16" t="n"/>
      <c r="U59" s="16" t="n"/>
      <c r="V59" s="17" t="n"/>
      <c r="W59" s="16" t="n"/>
      <c r="X59" s="16" t="n"/>
      <c r="Y59" s="16" t="n"/>
      <c r="Z59" s="16" t="n"/>
      <c r="AA59" s="16" t="n"/>
      <c r="AB59" s="16" t="n"/>
      <c r="AC59" s="16" t="n">
        <v>5901.18</v>
      </c>
      <c r="AD59" s="17" t="n">
        <v>0.05</v>
      </c>
      <c r="AE59" s="16" t="n">
        <v>295.05</v>
      </c>
      <c r="AF59" s="16" t="n"/>
      <c r="AG59" s="16" t="n"/>
      <c r="AH59" s="16" t="n"/>
      <c r="AI59" s="16" t="n"/>
      <c r="AJ59" s="16" t="n"/>
      <c r="AK59" s="16" t="n"/>
      <c r="AL59" s="16" t="n"/>
      <c r="AM59" s="13" t="inlineStr">
        <is>
          <t>Alta</t>
        </is>
      </c>
      <c r="AN59" s="13" t="inlineStr"/>
      <c r="AO59" s="18" t="inlineStr">
        <is>
          <t>Sim</t>
        </is>
      </c>
      <c r="AP59" s="13" t="inlineStr"/>
      <c r="AQ59" s="13" t="inlineStr"/>
      <c r="AR59" s="15" t="inlineStr"/>
      <c r="AS59" s="15" t="inlineStr">
        <is>
          <t>NOTAS FISCAIS DE COMPRA JANEIRO 2026.pdf - p. 58</t>
        </is>
      </c>
    </row>
    <row r="60">
      <c r="A60" s="13" t="inlineStr">
        <is>
          <t>JAN26-P059</t>
        </is>
      </c>
      <c r="B60" s="13" t="n">
        <v>59</v>
      </c>
      <c r="C60" s="13" t="inlineStr">
        <is>
          <t>NF-e</t>
        </is>
      </c>
      <c r="D60" s="13" t="inlineStr"/>
      <c r="E60" s="13" t="inlineStr">
        <is>
          <t>832</t>
        </is>
      </c>
      <c r="F60" s="13" t="inlineStr">
        <is>
          <t>1</t>
        </is>
      </c>
      <c r="G60" s="25" t="n">
        <v>46048</v>
      </c>
      <c r="H60" s="25" t="n"/>
      <c r="I60" s="13" t="inlineStr"/>
      <c r="J60" s="13" t="inlineStr">
        <is>
          <t>ROMILSON SILVA DE ASSIS</t>
        </is>
      </c>
      <c r="K60" s="13" t="inlineStr">
        <is>
          <t>19.255.075/0001-41</t>
        </is>
      </c>
      <c r="L60" s="13" t="inlineStr">
        <is>
          <t>23.655.038/0002-89</t>
        </is>
      </c>
      <c r="M60" s="13" t="inlineStr">
        <is>
          <t>SKAL /0002</t>
        </is>
      </c>
      <c r="N60" s="13" t="inlineStr">
        <is>
          <t>Produtos</t>
        </is>
      </c>
      <c r="O60" s="13" t="inlineStr">
        <is>
          <t>Manutencao/pecas</t>
        </is>
      </c>
      <c r="P60" s="15" t="inlineStr">
        <is>
          <t>NIPLE C/ FURO CALIBRADO 1,5 MM / VALVULA NAO RETORNO + VISOR</t>
        </is>
      </c>
      <c r="Q60" s="16" t="n">
        <v>350</v>
      </c>
      <c r="R60" s="16" t="n">
        <v>350</v>
      </c>
      <c r="S60" s="16" t="n"/>
      <c r="T60" s="16" t="n"/>
      <c r="U60" s="16" t="n"/>
      <c r="V60" s="17" t="n"/>
      <c r="W60" s="16" t="n"/>
      <c r="X60" s="16" t="n"/>
      <c r="Y60" s="16" t="n"/>
      <c r="Z60" s="16" t="n"/>
      <c r="AA60" s="16" t="n"/>
      <c r="AB60" s="16" t="n"/>
      <c r="AC60" s="16" t="n"/>
      <c r="AD60" s="17" t="n"/>
      <c r="AE60" s="16" t="n"/>
      <c r="AF60" s="16" t="n"/>
      <c r="AG60" s="16" t="n"/>
      <c r="AH60" s="16" t="n"/>
      <c r="AI60" s="16" t="n"/>
      <c r="AJ60" s="16" t="n"/>
      <c r="AK60" s="16" t="n"/>
      <c r="AL60" s="16" t="n"/>
      <c r="AM60" s="13" t="inlineStr">
        <is>
          <t>Alta</t>
        </is>
      </c>
      <c r="AN60" s="13" t="inlineStr"/>
      <c r="AO60" s="18" t="inlineStr">
        <is>
          <t>Sim</t>
        </is>
      </c>
      <c r="AP60" s="13" t="inlineStr"/>
      <c r="AQ60" s="13" t="inlineStr"/>
      <c r="AR60" s="15" t="inlineStr"/>
      <c r="AS60" s="15" t="inlineStr">
        <is>
          <t>NOTAS FISCAIS DE COMPRA JANEIRO 2026.pdf - p. 59</t>
        </is>
      </c>
    </row>
    <row r="61">
      <c r="A61" s="13" t="inlineStr">
        <is>
          <t>JAN26-P060</t>
        </is>
      </c>
      <c r="B61" s="13" t="n">
        <v>60</v>
      </c>
      <c r="C61" s="13" t="inlineStr">
        <is>
          <t>NFS-e</t>
        </is>
      </c>
      <c r="D61" s="13" t="inlineStr"/>
      <c r="E61" s="13" t="inlineStr">
        <is>
          <t>36</t>
        </is>
      </c>
      <c r="F61" s="13" t="inlineStr">
        <is>
          <t>900</t>
        </is>
      </c>
      <c r="G61" s="25" t="n">
        <v>46045</v>
      </c>
      <c r="H61" s="25" t="n"/>
      <c r="I61" s="13" t="inlineStr"/>
      <c r="J61" s="13" t="inlineStr">
        <is>
          <t>MARCOS JOSE FONTANA HANUS</t>
        </is>
      </c>
      <c r="K61" s="13" t="inlineStr">
        <is>
          <t>57.460.869/0001-36</t>
        </is>
      </c>
      <c r="L61" s="13" t="inlineStr">
        <is>
          <t>23.655.038/0002-89</t>
        </is>
      </c>
      <c r="M61" s="13" t="inlineStr">
        <is>
          <t>SKAL /0002</t>
        </is>
      </c>
      <c r="N61" s="13" t="inlineStr">
        <is>
          <t>Servicos</t>
        </is>
      </c>
      <c r="O61" s="13" t="inlineStr">
        <is>
          <t>Hospedagem</t>
        </is>
      </c>
      <c r="P61" s="15" t="inlineStr">
        <is>
          <t>REFERENTE A DESPESA NO PERIODO DE 21/01 A 23/01/2026</t>
        </is>
      </c>
      <c r="Q61" s="16" t="n">
        <v>52</v>
      </c>
      <c r="R61" s="16" t="n"/>
      <c r="S61" s="16" t="n">
        <v>52</v>
      </c>
      <c r="T61" s="16" t="n"/>
      <c r="U61" s="16" t="n"/>
      <c r="V61" s="17" t="n"/>
      <c r="W61" s="16" t="n"/>
      <c r="X61" s="16" t="n"/>
      <c r="Y61" s="16" t="n"/>
      <c r="Z61" s="16" t="n"/>
      <c r="AA61" s="16" t="n">
        <v>62</v>
      </c>
      <c r="AB61" s="16" t="n">
        <v>62</v>
      </c>
      <c r="AC61" s="16" t="n"/>
      <c r="AD61" s="17" t="n"/>
      <c r="AE61" s="16" t="n"/>
      <c r="AF61" s="16" t="n"/>
      <c r="AG61" s="16" t="n"/>
      <c r="AH61" s="16" t="n"/>
      <c r="AI61" s="16" t="n"/>
      <c r="AJ61" s="16" t="n"/>
      <c r="AK61" s="16" t="n"/>
      <c r="AL61" s="16" t="n"/>
      <c r="AM61" s="13" t="inlineStr">
        <is>
          <t>Alta</t>
        </is>
      </c>
      <c r="AN61" s="13" t="inlineStr"/>
      <c r="AO61" s="18" t="inlineStr">
        <is>
          <t>Sim</t>
        </is>
      </c>
      <c r="AP61" s="13" t="inlineStr"/>
      <c r="AQ61" s="13" t="inlineStr"/>
      <c r="AR61" s="15" t="inlineStr"/>
      <c r="AS61" s="15" t="inlineStr">
        <is>
          <t>NOTAS FISCAIS DE COMPRA JANEIRO 2026.pdf - p. 60</t>
        </is>
      </c>
    </row>
    <row r="62">
      <c r="A62" s="13" t="inlineStr">
        <is>
          <t>JAN26-P061</t>
        </is>
      </c>
      <c r="B62" s="13" t="n">
        <v>61</v>
      </c>
      <c r="C62" s="13" t="inlineStr">
        <is>
          <t>NFS-e</t>
        </is>
      </c>
      <c r="D62" s="13" t="inlineStr"/>
      <c r="E62" s="13" t="inlineStr">
        <is>
          <t>330</t>
        </is>
      </c>
      <c r="F62" s="13" t="inlineStr">
        <is>
          <t>U</t>
        </is>
      </c>
      <c r="G62" s="25" t="n">
        <v>46027</v>
      </c>
      <c r="H62" s="25" t="n"/>
      <c r="I62" s="13" t="inlineStr"/>
      <c r="J62" s="13" t="inlineStr">
        <is>
          <t>MINERAR ENGENHARIA E MEIO AMBIENTE LTDA</t>
        </is>
      </c>
      <c r="K62" s="13" t="inlineStr">
        <is>
          <t>37.102.634/0001-65</t>
        </is>
      </c>
      <c r="L62" s="13" t="inlineStr">
        <is>
          <t>23.655.038/0002-89</t>
        </is>
      </c>
      <c r="M62" s="13" t="inlineStr">
        <is>
          <t>SKAL /0002</t>
        </is>
      </c>
      <c r="N62" s="13" t="inlineStr">
        <is>
          <t>Servicos</t>
        </is>
      </c>
      <c r="O62" s="13" t="inlineStr">
        <is>
          <t>Consultoria/assessoria</t>
        </is>
      </c>
      <c r="P62" s="15" t="inlineStr">
        <is>
          <t>PRESTACAO DE SERVICO REFERENTE A CONSULTORIA MENSAL DE ENGENHARIA DE MINAS.</t>
        </is>
      </c>
      <c r="Q62" s="16" t="n">
        <v>759</v>
      </c>
      <c r="R62" s="16" t="n"/>
      <c r="S62" s="16" t="n">
        <v>759</v>
      </c>
      <c r="T62" s="16" t="n"/>
      <c r="U62" s="16" t="n"/>
      <c r="V62" s="17" t="n"/>
      <c r="W62" s="16" t="n"/>
      <c r="X62" s="16" t="n"/>
      <c r="Y62" s="16" t="n"/>
      <c r="Z62" s="16" t="n"/>
      <c r="AA62" s="16" t="n"/>
      <c r="AB62" s="16" t="n"/>
      <c r="AC62" s="16" t="n"/>
      <c r="AD62" s="17" t="n"/>
      <c r="AE62" s="16" t="n">
        <v>759</v>
      </c>
      <c r="AF62" s="16" t="n"/>
      <c r="AG62" s="16" t="n"/>
      <c r="AH62" s="16" t="n"/>
      <c r="AI62" s="16" t="n"/>
      <c r="AJ62" s="16" t="n"/>
      <c r="AK62" s="16" t="n"/>
      <c r="AL62" s="16" t="n"/>
      <c r="AM62" s="13" t="inlineStr">
        <is>
          <t>Alta</t>
        </is>
      </c>
      <c r="AN62" s="21" t="inlineStr">
        <is>
          <t>ISS OCR suspeito</t>
        </is>
      </c>
      <c r="AO62" s="18" t="inlineStr">
        <is>
          <t>Sim</t>
        </is>
      </c>
      <c r="AP62" s="13" t="inlineStr"/>
      <c r="AQ62" s="13" t="inlineStr"/>
      <c r="AR62" s="15" t="inlineStr">
        <is>
          <t>ALERTA: ISS extraído por OCR parece incompatível com o valor do documento; conferir original.</t>
        </is>
      </c>
      <c r="AS62" s="15" t="inlineStr">
        <is>
          <t>NOTAS FISCAIS DE COMPRA JANEIRO 2026.pdf - p. 61</t>
        </is>
      </c>
    </row>
    <row r="63">
      <c r="A63" s="13" t="inlineStr">
        <is>
          <t>JAN26-P062</t>
        </is>
      </c>
      <c r="B63" s="13" t="n">
        <v>62</v>
      </c>
      <c r="C63" s="13" t="inlineStr">
        <is>
          <t>NFS-e</t>
        </is>
      </c>
      <c r="D63" s="13" t="inlineStr"/>
      <c r="E63" s="13" t="inlineStr">
        <is>
          <t>53</t>
        </is>
      </c>
      <c r="F63" s="13" t="inlineStr">
        <is>
          <t>1</t>
        </is>
      </c>
      <c r="G63" s="25" t="n">
        <v>46031</v>
      </c>
      <c r="H63" s="25" t="n"/>
      <c r="I63" s="13" t="inlineStr"/>
      <c r="J63" s="13" t="inlineStr">
        <is>
          <t>KLESIO KENNEDY REPRESENTACAO DE MATERIAL DE CONSTRUCAO LTDA</t>
        </is>
      </c>
      <c r="K63" s="13" t="inlineStr">
        <is>
          <t>15.439.685/0001-99</t>
        </is>
      </c>
      <c r="L63" s="13" t="inlineStr">
        <is>
          <t>23.655.038/0002-89</t>
        </is>
      </c>
      <c r="M63" s="13" t="inlineStr">
        <is>
          <t>SKAL /0002</t>
        </is>
      </c>
      <c r="N63" s="13" t="inlineStr">
        <is>
          <t>Servicos</t>
        </is>
      </c>
      <c r="O63" s="13" t="inlineStr">
        <is>
          <t>Representacao/comissoes</t>
        </is>
      </c>
      <c r="P63" s="15" t="inlineStr">
        <is>
          <t>SERVICO DE REPRESENTACAO</t>
        </is>
      </c>
      <c r="Q63" s="16" t="n">
        <v>14933</v>
      </c>
      <c r="R63" s="16" t="n"/>
      <c r="S63" s="16" t="n">
        <v>14933</v>
      </c>
      <c r="T63" s="16" t="n"/>
      <c r="U63" s="16" t="n"/>
      <c r="V63" s="17" t="n"/>
      <c r="W63" s="16" t="n"/>
      <c r="X63" s="16" t="n"/>
      <c r="Y63" s="16" t="n"/>
      <c r="Z63" s="16" t="n"/>
      <c r="AA63" s="16" t="n">
        <v>50</v>
      </c>
      <c r="AB63" s="16" t="n">
        <v>50</v>
      </c>
      <c r="AC63" s="16" t="n">
        <v>14933</v>
      </c>
      <c r="AD63" s="17" t="n">
        <v>0.05</v>
      </c>
      <c r="AE63" s="16" t="n"/>
      <c r="AF63" s="16" t="n"/>
      <c r="AG63" s="16" t="n"/>
      <c r="AH63" s="16" t="n"/>
      <c r="AI63" s="16" t="n"/>
      <c r="AJ63" s="16" t="n"/>
      <c r="AK63" s="16" t="n"/>
      <c r="AL63" s="16" t="n"/>
      <c r="AM63" s="13" t="inlineStr">
        <is>
          <t>Alta</t>
        </is>
      </c>
      <c r="AN63" s="13" t="inlineStr"/>
      <c r="AO63" s="18" t="inlineStr">
        <is>
          <t>Sim</t>
        </is>
      </c>
      <c r="AP63" s="13" t="inlineStr"/>
      <c r="AQ63" s="13" t="inlineStr"/>
      <c r="AR63" s="15" t="inlineStr"/>
      <c r="AS63" s="15" t="inlineStr">
        <is>
          <t>NOTAS FISCAIS DE COMPRA JANEIRO 2026.pdf - p. 62</t>
        </is>
      </c>
    </row>
    <row r="64">
      <c r="A64" s="13" t="inlineStr">
        <is>
          <t>JAN26-P063</t>
        </is>
      </c>
      <c r="B64" s="13" t="n">
        <v>63</v>
      </c>
      <c r="C64" s="13" t="inlineStr">
        <is>
          <t>NFS-e</t>
        </is>
      </c>
      <c r="D64" s="13" t="inlineStr"/>
      <c r="E64" s="13" t="inlineStr">
        <is>
          <t>244</t>
        </is>
      </c>
      <c r="F64" s="13" t="inlineStr">
        <is>
          <t>U</t>
        </is>
      </c>
      <c r="G64" s="25" t="n">
        <v>45999</v>
      </c>
      <c r="H64" s="25" t="n"/>
      <c r="I64" s="13" t="inlineStr"/>
      <c r="J64" s="13" t="inlineStr">
        <is>
          <t>F. ALVES CAMINHA - ME</t>
        </is>
      </c>
      <c r="K64" s="13" t="inlineStr">
        <is>
          <t>29.100.059/0001-33</t>
        </is>
      </c>
      <c r="L64" s="13" t="inlineStr">
        <is>
          <t>23.655.038/0001-06</t>
        </is>
      </c>
      <c r="M64" s="13" t="inlineStr">
        <is>
          <t>SKAL /0001</t>
        </is>
      </c>
      <c r="N64" s="13" t="inlineStr">
        <is>
          <t>Servicos</t>
        </is>
      </c>
      <c r="O64" s="13" t="inlineStr">
        <is>
          <t>Representacao/comissoes</t>
        </is>
      </c>
      <c r="P64" s="15" t="inlineStr">
        <is>
          <t>COMISSAO DE VENDAS OUTUBRO E NOVEMBRO DE 2025</t>
        </is>
      </c>
      <c r="Q64" s="16" t="n">
        <v>797.5599999999999</v>
      </c>
      <c r="R64" s="16" t="n"/>
      <c r="S64" s="16" t="n">
        <v>797.5599999999999</v>
      </c>
      <c r="T64" s="16" t="n"/>
      <c r="U64" s="16" t="n"/>
      <c r="V64" s="17" t="n"/>
      <c r="W64" s="16" t="n"/>
      <c r="X64" s="16" t="n"/>
      <c r="Y64" s="16" t="n"/>
      <c r="Z64" s="16" t="n"/>
      <c r="AA64" s="16" t="n"/>
      <c r="AB64" s="16" t="n"/>
      <c r="AC64" s="16" t="n">
        <v>707.58</v>
      </c>
      <c r="AD64" s="17" t="n"/>
      <c r="AE64" s="16" t="n"/>
      <c r="AF64" s="16" t="n"/>
      <c r="AG64" s="16" t="n"/>
      <c r="AH64" s="16" t="n"/>
      <c r="AI64" s="16" t="n"/>
      <c r="AJ64" s="16" t="n"/>
      <c r="AK64" s="16" t="n"/>
      <c r="AL64" s="16" t="n"/>
      <c r="AM64" s="13" t="inlineStr">
        <is>
          <t>Alta</t>
        </is>
      </c>
      <c r="AN64" s="13" t="inlineStr"/>
      <c r="AO64" s="18" t="inlineStr">
        <is>
          <t>Sim</t>
        </is>
      </c>
      <c r="AP64" s="13" t="inlineStr"/>
      <c r="AQ64" s="13" t="inlineStr"/>
      <c r="AR64" s="15" t="inlineStr"/>
      <c r="AS64" s="15" t="inlineStr">
        <is>
          <t>NOTAS FISCAIS DE COMPRA JANEIRO 2026.pdf - p. 63</t>
        </is>
      </c>
    </row>
    <row r="65">
      <c r="A65" s="13" t="inlineStr">
        <is>
          <t>JAN26-P064</t>
        </is>
      </c>
      <c r="B65" s="13" t="n">
        <v>64</v>
      </c>
      <c r="C65" s="13" t="inlineStr">
        <is>
          <t>NFS-e</t>
        </is>
      </c>
      <c r="D65" s="13" t="inlineStr"/>
      <c r="E65" s="13" t="inlineStr">
        <is>
          <t>221</t>
        </is>
      </c>
      <c r="F65" s="13" t="inlineStr">
        <is>
          <t>U</t>
        </is>
      </c>
      <c r="G65" s="25" t="n">
        <v>46029</v>
      </c>
      <c r="H65" s="25" t="n"/>
      <c r="I65" s="13" t="inlineStr"/>
      <c r="J65" s="13" t="inlineStr">
        <is>
          <t>E &amp; P SOARES DOS SANTOS LTDA - ME</t>
        </is>
      </c>
      <c r="K65" s="13" t="inlineStr">
        <is>
          <t>27.803.620/0001-15</t>
        </is>
      </c>
      <c r="L65" s="13" t="inlineStr">
        <is>
          <t>23.655.038/0002-89</t>
        </is>
      </c>
      <c r="M65" s="13" t="inlineStr">
        <is>
          <t>SKAL /0002</t>
        </is>
      </c>
      <c r="N65" s="13" t="inlineStr">
        <is>
          <t>Servicos</t>
        </is>
      </c>
      <c r="O65" s="13" t="inlineStr">
        <is>
          <t>Representacao/comissoes</t>
        </is>
      </c>
      <c r="P65" s="15" t="inlineStr">
        <is>
          <t>NF DE REPRESENTACAO COMERCIAL REFERENTE A COMPETENCIA DO MES DE DEZEMBRO DE 2025.</t>
        </is>
      </c>
      <c r="Q65" s="16" t="n">
        <v>35238.7</v>
      </c>
      <c r="R65" s="16" t="n"/>
      <c r="S65" s="16" t="n">
        <v>35238.7</v>
      </c>
      <c r="T65" s="16" t="n"/>
      <c r="U65" s="16" t="n"/>
      <c r="V65" s="17" t="n"/>
      <c r="W65" s="16" t="n"/>
      <c r="X65" s="16" t="n"/>
      <c r="Y65" s="16" t="n"/>
      <c r="Z65" s="16" t="n"/>
      <c r="AA65" s="16" t="n">
        <v>35238.7</v>
      </c>
      <c r="AB65" s="16" t="n"/>
      <c r="AC65" s="16" t="n"/>
      <c r="AD65" s="17" t="n"/>
      <c r="AE65" s="16" t="n"/>
      <c r="AF65" s="16" t="n"/>
      <c r="AG65" s="16" t="n"/>
      <c r="AH65" s="16" t="n"/>
      <c r="AI65" s="16" t="n"/>
      <c r="AJ65" s="16" t="n"/>
      <c r="AK65" s="16" t="n"/>
      <c r="AL65" s="16" t="n"/>
      <c r="AM65" s="13" t="inlineStr">
        <is>
          <t>Alta</t>
        </is>
      </c>
      <c r="AN65" s="13" t="inlineStr"/>
      <c r="AO65" s="18" t="inlineStr">
        <is>
          <t>Sim</t>
        </is>
      </c>
      <c r="AP65" s="13" t="inlineStr"/>
      <c r="AQ65" s="13" t="inlineStr"/>
      <c r="AR65" s="15" t="inlineStr"/>
      <c r="AS65" s="15" t="inlineStr">
        <is>
          <t>NOTAS FISCAIS DE COMPRA JANEIRO 2026.pdf - p. 64</t>
        </is>
      </c>
    </row>
    <row r="66">
      <c r="A66" s="13" t="inlineStr">
        <is>
          <t>JAN26-P065</t>
        </is>
      </c>
      <c r="B66" s="13" t="n">
        <v>65</v>
      </c>
      <c r="C66" s="13" t="inlineStr">
        <is>
          <t>NFS-e</t>
        </is>
      </c>
      <c r="D66" s="13" t="inlineStr"/>
      <c r="E66" s="13" t="inlineStr">
        <is>
          <t>57</t>
        </is>
      </c>
      <c r="F66" s="13" t="inlineStr">
        <is>
          <t>U</t>
        </is>
      </c>
      <c r="G66" s="25" t="n">
        <v>46029</v>
      </c>
      <c r="H66" s="25" t="n"/>
      <c r="I66" s="13" t="inlineStr"/>
      <c r="J66" s="13" t="inlineStr">
        <is>
          <t>F J DE SOUSA REPRESENTACOES</t>
        </is>
      </c>
      <c r="K66" s="13" t="inlineStr">
        <is>
          <t>44.036.268/0001-59</t>
        </is>
      </c>
      <c r="L66" s="13" t="inlineStr">
        <is>
          <t>23.655.038/0002-89</t>
        </is>
      </c>
      <c r="M66" s="13" t="inlineStr">
        <is>
          <t>SKAL /0002</t>
        </is>
      </c>
      <c r="N66" s="13" t="inlineStr">
        <is>
          <t>Servicos</t>
        </is>
      </c>
      <c r="O66" s="13" t="inlineStr">
        <is>
          <t>Representacao/comissoes</t>
        </is>
      </c>
      <c r="P66" s="15" t="inlineStr">
        <is>
          <t>COMISSAO SOBRE VENDAS - DEZEMBRO/2025.</t>
        </is>
      </c>
      <c r="Q66" s="16" t="n">
        <v>14232.77</v>
      </c>
      <c r="R66" s="16" t="n"/>
      <c r="S66" s="16" t="n">
        <v>14232.77</v>
      </c>
      <c r="T66" s="16" t="n"/>
      <c r="U66" s="16" t="n"/>
      <c r="V66" s="17" t="n"/>
      <c r="W66" s="16" t="n"/>
      <c r="X66" s="16" t="n"/>
      <c r="Y66" s="16" t="n"/>
      <c r="Z66" s="16" t="n"/>
      <c r="AA66" s="16" t="n">
        <v>9</v>
      </c>
      <c r="AB66" s="16" t="n"/>
      <c r="AC66" s="16" t="n"/>
      <c r="AD66" s="17" t="n"/>
      <c r="AE66" s="16" t="n"/>
      <c r="AF66" s="16" t="n"/>
      <c r="AG66" s="16" t="n"/>
      <c r="AH66" s="16" t="n"/>
      <c r="AI66" s="16" t="n"/>
      <c r="AJ66" s="16" t="n"/>
      <c r="AK66" s="16" t="n"/>
      <c r="AL66" s="16" t="n"/>
      <c r="AM66" s="13" t="inlineStr">
        <is>
          <t>Alta</t>
        </is>
      </c>
      <c r="AN66" s="13" t="inlineStr"/>
      <c r="AO66" s="18" t="inlineStr">
        <is>
          <t>Sim</t>
        </is>
      </c>
      <c r="AP66" s="13" t="inlineStr"/>
      <c r="AQ66" s="13" t="inlineStr"/>
      <c r="AR66" s="15" t="inlineStr"/>
      <c r="AS66" s="15" t="inlineStr">
        <is>
          <t>NOTAS FISCAIS DE COMPRA JANEIRO 2026.pdf - p. 65</t>
        </is>
      </c>
    </row>
    <row r="67">
      <c r="A67" s="13" t="inlineStr">
        <is>
          <t>JAN26-P066</t>
        </is>
      </c>
      <c r="B67" s="13" t="n">
        <v>66</v>
      </c>
      <c r="C67" s="13" t="inlineStr">
        <is>
          <t>NFS-e</t>
        </is>
      </c>
      <c r="D67" s="13" t="inlineStr"/>
      <c r="E67" s="13" t="inlineStr">
        <is>
          <t>32</t>
        </is>
      </c>
      <c r="F67" s="13" t="inlineStr">
        <is>
          <t>900</t>
        </is>
      </c>
      <c r="G67" s="25" t="n">
        <v>46043</v>
      </c>
      <c r="H67" s="25" t="n">
        <v>46047</v>
      </c>
      <c r="I67" s="13" t="inlineStr"/>
      <c r="J67" s="13" t="inlineStr">
        <is>
          <t>GRACILENE MARIA BEZERRA DOS SANTOS</t>
        </is>
      </c>
      <c r="K67" s="13" t="inlineStr">
        <is>
          <t>54.011.991/0001-37</t>
        </is>
      </c>
      <c r="L67" s="13" t="inlineStr">
        <is>
          <t>23.655.038/0002-89</t>
        </is>
      </c>
      <c r="M67" s="13" t="inlineStr">
        <is>
          <t>SKAL /0002</t>
        </is>
      </c>
      <c r="N67" s="13" t="inlineStr">
        <is>
          <t>Servicos</t>
        </is>
      </c>
      <c r="O67" s="13" t="inlineStr">
        <is>
          <t>Marketing/promocao</t>
        </is>
      </c>
      <c r="P67" s="15" t="inlineStr">
        <is>
          <t>SERVICO DE PROMOCAO DE VENDAS. COMPETENCIA DEZEMBRO/2025.</t>
        </is>
      </c>
      <c r="Q67" s="16" t="n">
        <v>4782.92</v>
      </c>
      <c r="R67" s="16" t="n"/>
      <c r="S67" s="16" t="n">
        <v>4782.92</v>
      </c>
      <c r="T67" s="16" t="n"/>
      <c r="U67" s="16" t="n"/>
      <c r="V67" s="17" t="n"/>
      <c r="W67" s="16" t="n"/>
      <c r="X67" s="16" t="n"/>
      <c r="Y67" s="16" t="n"/>
      <c r="Z67" s="16" t="n"/>
      <c r="AA67" s="16" t="n">
        <v>4782.92</v>
      </c>
      <c r="AB67" s="16" t="n">
        <v>4782.92</v>
      </c>
      <c r="AC67" s="16" t="n"/>
      <c r="AD67" s="17" t="n"/>
      <c r="AE67" s="16" t="n"/>
      <c r="AF67" s="16" t="n"/>
      <c r="AG67" s="16" t="n"/>
      <c r="AH67" s="16" t="n"/>
      <c r="AI67" s="16" t="n"/>
      <c r="AJ67" s="16" t="n"/>
      <c r="AK67" s="16" t="n"/>
      <c r="AL67" s="16" t="n"/>
      <c r="AM67" s="13" t="inlineStr">
        <is>
          <t>Alta</t>
        </is>
      </c>
      <c r="AN67" s="13" t="inlineStr"/>
      <c r="AO67" s="18" t="inlineStr">
        <is>
          <t>Sim</t>
        </is>
      </c>
      <c r="AP67" s="13" t="inlineStr"/>
      <c r="AQ67" s="13" t="inlineStr"/>
      <c r="AR67" s="15" t="inlineStr"/>
      <c r="AS67" s="15" t="inlineStr">
        <is>
          <t>NOTAS FISCAIS DE COMPRA JANEIRO 2026.pdf - p. 66</t>
        </is>
      </c>
    </row>
    <row r="68">
      <c r="A68" s="13" t="inlineStr">
        <is>
          <t>JAN26-P067</t>
        </is>
      </c>
      <c r="B68" s="13" t="n">
        <v>67</v>
      </c>
      <c r="C68" s="13" t="inlineStr">
        <is>
          <t>Outros/Documento</t>
        </is>
      </c>
      <c r="D68" s="13" t="inlineStr"/>
      <c r="E68" s="13" t="inlineStr"/>
      <c r="F68" s="13" t="inlineStr"/>
      <c r="G68" s="25" t="n">
        <v>46024</v>
      </c>
      <c r="H68" s="25" t="n"/>
      <c r="I68" s="13" t="inlineStr"/>
      <c r="J68" s="13" t="inlineStr">
        <is>
          <t>FRALFIX sao FRANCISCO, 4000, PARQUE JUREMA, TERESINA?</t>
        </is>
      </c>
      <c r="K68" s="13" t="inlineStr"/>
      <c r="L68" s="13" t="inlineStr">
        <is>
          <t>23.655.038/0001-06</t>
        </is>
      </c>
      <c r="M68" s="13" t="inlineStr">
        <is>
          <t>SKAL /0001</t>
        </is>
      </c>
      <c r="N68" s="13" t="inlineStr">
        <is>
          <t>Apoio</t>
        </is>
      </c>
      <c r="O68" s="13" t="inlineStr">
        <is>
          <t>Documento de apoio</t>
        </is>
      </c>
      <c r="P68" s="15" t="inlineStr"/>
      <c r="Q68" s="16" t="n"/>
      <c r="R68" s="16" t="n"/>
      <c r="S68" s="16" t="n"/>
      <c r="T68" s="16" t="n"/>
      <c r="U68" s="16" t="n"/>
      <c r="V68" s="17" t="n"/>
      <c r="W68" s="16" t="n"/>
      <c r="X68" s="16" t="n"/>
      <c r="Y68" s="16" t="n"/>
      <c r="Z68" s="16" t="n"/>
      <c r="AA68" s="16" t="n">
        <v>235</v>
      </c>
      <c r="AB68" s="16" t="n"/>
      <c r="AC68" s="16" t="n"/>
      <c r="AD68" s="17" t="n"/>
      <c r="AE68" s="16" t="n"/>
      <c r="AF68" s="16" t="n"/>
      <c r="AG68" s="16" t="n"/>
      <c r="AH68" s="16" t="n"/>
      <c r="AI68" s="16" t="n"/>
      <c r="AJ68" s="16" t="n"/>
      <c r="AK68" s="16" t="n"/>
      <c r="AL68" s="16" t="n"/>
      <c r="AM68" s="13" t="inlineStr">
        <is>
          <t>Baixa</t>
        </is>
      </c>
      <c r="AN68" s="13" t="inlineStr"/>
      <c r="AO68" s="19" t="inlineStr">
        <is>
          <t>Não</t>
        </is>
      </c>
      <c r="AP68" s="13" t="inlineStr"/>
      <c r="AQ68" s="13" t="inlineStr"/>
      <c r="AR68" s="15" t="inlineStr"/>
      <c r="AS68" s="15" t="inlineStr">
        <is>
          <t>NOTAS FISCAIS DE COMPRA JANEIRO 2026.pdf - p. 67</t>
        </is>
      </c>
    </row>
    <row r="69">
      <c r="A69" s="13" t="inlineStr">
        <is>
          <t>JAN26-P068</t>
        </is>
      </c>
      <c r="B69" s="13" t="n">
        <v>68</v>
      </c>
      <c r="C69" s="13" t="inlineStr">
        <is>
          <t>Boleto/Financeiro</t>
        </is>
      </c>
      <c r="D69" s="13" t="inlineStr"/>
      <c r="E69" s="13" t="inlineStr"/>
      <c r="F69" s="13" t="inlineStr"/>
      <c r="G69" s="25" t="n">
        <v>46042</v>
      </c>
      <c r="H69" s="25" t="n"/>
      <c r="I69" s="13" t="inlineStr"/>
      <c r="J69" s="13" t="inlineStr">
        <is>
          <t>FCK INDUSTRIA E COMERCIO DE MATE</t>
        </is>
      </c>
      <c r="K69" s="13" t="inlineStr"/>
      <c r="L69" s="13" t="inlineStr"/>
      <c r="M69" s="13" t="inlineStr"/>
      <c r="N69" s="13" t="inlineStr">
        <is>
          <t>Apoio</t>
        </is>
      </c>
      <c r="O69" s="13" t="inlineStr">
        <is>
          <t>Documento de apoio</t>
        </is>
      </c>
      <c r="P69" s="15" t="inlineStr"/>
      <c r="Q69" s="16" t="n"/>
      <c r="R69" s="16" t="n"/>
      <c r="S69" s="16" t="n"/>
      <c r="T69" s="16" t="n"/>
      <c r="U69" s="16" t="n"/>
      <c r="V69" s="17" t="n"/>
      <c r="W69" s="16" t="n"/>
      <c r="X69" s="16" t="n"/>
      <c r="Y69" s="16" t="n"/>
      <c r="Z69" s="16" t="n"/>
      <c r="AA69" s="16" t="n"/>
      <c r="AB69" s="16" t="n"/>
      <c r="AC69" s="16" t="n"/>
      <c r="AD69" s="17" t="n"/>
      <c r="AE69" s="16" t="n"/>
      <c r="AF69" s="16" t="n"/>
      <c r="AG69" s="16" t="n"/>
      <c r="AH69" s="16" t="n"/>
      <c r="AI69" s="16" t="n"/>
      <c r="AJ69" s="16" t="n"/>
      <c r="AK69" s="16" t="n"/>
      <c r="AL69" s="16" t="n"/>
      <c r="AM69" s="13" t="inlineStr">
        <is>
          <t>Baixa</t>
        </is>
      </c>
      <c r="AN69" s="13" t="inlineStr"/>
      <c r="AO69" s="19" t="inlineStr">
        <is>
          <t>Não</t>
        </is>
      </c>
      <c r="AP69" s="13" t="inlineStr"/>
      <c r="AQ69" s="13" t="inlineStr"/>
      <c r="AR69" s="15" t="inlineStr"/>
      <c r="AS69" s="15" t="inlineStr">
        <is>
          <t>NOTAS FISCAIS DE COMPRA JANEIRO 2026.pdf - p. 68</t>
        </is>
      </c>
    </row>
    <row r="70">
      <c r="A70" s="13" t="inlineStr">
        <is>
          <t>JAN26-P069</t>
        </is>
      </c>
      <c r="B70" s="13" t="n">
        <v>69</v>
      </c>
      <c r="C70" s="13" t="inlineStr">
        <is>
          <t>NFS-e</t>
        </is>
      </c>
      <c r="D70" s="13" t="inlineStr"/>
      <c r="E70" s="13" t="inlineStr">
        <is>
          <t>4</t>
        </is>
      </c>
      <c r="F70" s="13" t="inlineStr">
        <is>
          <t>900</t>
        </is>
      </c>
      <c r="G70" s="25" t="n">
        <v>46048</v>
      </c>
      <c r="H70" s="25" t="n"/>
      <c r="I70" s="13" t="inlineStr"/>
      <c r="J70" s="13" t="inlineStr">
        <is>
          <t>JUVENCIO REPRESENTACOES LIMITADA</t>
        </is>
      </c>
      <c r="K70" s="13" t="inlineStr">
        <is>
          <t>07.352.685/0001-84</t>
        </is>
      </c>
      <c r="L70" s="13" t="inlineStr">
        <is>
          <t>23.655.038/0002-89</t>
        </is>
      </c>
      <c r="M70" s="13" t="inlineStr">
        <is>
          <t>SKAL /0002</t>
        </is>
      </c>
      <c r="N70" s="13" t="inlineStr">
        <is>
          <t>Servicos</t>
        </is>
      </c>
      <c r="O70" s="13" t="inlineStr">
        <is>
          <t>Representacao/comissoes</t>
        </is>
      </c>
      <c r="P70" s="15" t="inlineStr">
        <is>
          <t>COMISSAO SOBRE VENDAS REFERENTE AO MES DE DEZEMBRO DE 2025.</t>
        </is>
      </c>
      <c r="Q70" s="16" t="n">
        <v>15662.93</v>
      </c>
      <c r="R70" s="16" t="n"/>
      <c r="S70" s="16" t="n">
        <v>15662.93</v>
      </c>
      <c r="T70" s="16" t="n"/>
      <c r="U70" s="16" t="n"/>
      <c r="V70" s="17" t="n"/>
      <c r="W70" s="16" t="n"/>
      <c r="X70" s="16" t="n"/>
      <c r="Y70" s="16" t="n"/>
      <c r="Z70" s="16" t="n"/>
      <c r="AA70" s="16" t="n">
        <v>15662.93</v>
      </c>
      <c r="AB70" s="16" t="n">
        <v>15662.93</v>
      </c>
      <c r="AC70" s="16" t="n"/>
      <c r="AD70" s="17" t="n"/>
      <c r="AE70" s="16" t="n"/>
      <c r="AF70" s="16" t="n"/>
      <c r="AG70" s="16" t="n"/>
      <c r="AH70" s="16" t="n"/>
      <c r="AI70" s="16" t="n"/>
      <c r="AJ70" s="16" t="n"/>
      <c r="AK70" s="16" t="n"/>
      <c r="AL70" s="16" t="n"/>
      <c r="AM70" s="13" t="inlineStr">
        <is>
          <t>Alta</t>
        </is>
      </c>
      <c r="AN70" s="21" t="inlineStr">
        <is>
          <t>Revisar documento</t>
        </is>
      </c>
      <c r="AO70" s="20" t="inlineStr">
        <is>
          <t>Revisar</t>
        </is>
      </c>
      <c r="AP70" s="13" t="inlineStr"/>
      <c r="AQ70" s="20" t="inlineStr">
        <is>
          <t>Possível duplicidade comercial</t>
        </is>
      </c>
      <c r="AR70" s="15" t="inlineStr">
        <is>
          <t>Possível duplicidade comercial/reemissão com p.70. Mantida para revisão, não incluída no total confirmado.</t>
        </is>
      </c>
      <c r="AS70" s="15" t="inlineStr">
        <is>
          <t>NOTAS FISCAIS DE COMPRA JANEIRO 2026.pdf - p. 69</t>
        </is>
      </c>
    </row>
    <row r="71">
      <c r="A71" s="13" t="inlineStr">
        <is>
          <t>JAN26-P070</t>
        </is>
      </c>
      <c r="B71" s="13" t="n">
        <v>70</v>
      </c>
      <c r="C71" s="13" t="inlineStr">
        <is>
          <t>NFS-e</t>
        </is>
      </c>
      <c r="D71" s="13" t="inlineStr"/>
      <c r="E71" s="13" t="inlineStr">
        <is>
          <t>3</t>
        </is>
      </c>
      <c r="F71" s="13" t="inlineStr">
        <is>
          <t>900</t>
        </is>
      </c>
      <c r="G71" s="25" t="n">
        <v>46030</v>
      </c>
      <c r="H71" s="25" t="n"/>
      <c r="I71" s="13" t="inlineStr"/>
      <c r="J71" s="13" t="inlineStr">
        <is>
          <t>JUVENCIO REPRESENTACOES LIMITADA</t>
        </is>
      </c>
      <c r="K71" s="13" t="inlineStr">
        <is>
          <t>07.352.685/0001-84</t>
        </is>
      </c>
      <c r="L71" s="13" t="inlineStr">
        <is>
          <t>23.655.038/0002-89</t>
        </is>
      </c>
      <c r="M71" s="13" t="inlineStr">
        <is>
          <t>SKAL /0002</t>
        </is>
      </c>
      <c r="N71" s="13" t="inlineStr">
        <is>
          <t>Servicos</t>
        </is>
      </c>
      <c r="O71" s="13" t="inlineStr">
        <is>
          <t>Representacao/comissoes</t>
        </is>
      </c>
      <c r="P71" s="15" t="inlineStr">
        <is>
          <t>COMISSAO SOBRE VENDAS REFERENTE AO MES DE DEZEMBRO DE 2025.</t>
        </is>
      </c>
      <c r="Q71" s="16" t="n">
        <v>15662.93</v>
      </c>
      <c r="R71" s="16" t="n"/>
      <c r="S71" s="16" t="n">
        <v>15662.93</v>
      </c>
      <c r="T71" s="16" t="n"/>
      <c r="U71" s="16" t="n"/>
      <c r="V71" s="17" t="n"/>
      <c r="W71" s="16" t="n"/>
      <c r="X71" s="16" t="n"/>
      <c r="Y71" s="16" t="n"/>
      <c r="Z71" s="16" t="n"/>
      <c r="AA71" s="16" t="n">
        <v>15662.93</v>
      </c>
      <c r="AB71" s="16" t="n">
        <v>15662.93</v>
      </c>
      <c r="AC71" s="16" t="n"/>
      <c r="AD71" s="17" t="n"/>
      <c r="AE71" s="16" t="n"/>
      <c r="AF71" s="16" t="n"/>
      <c r="AG71" s="16" t="n"/>
      <c r="AH71" s="16" t="n"/>
      <c r="AI71" s="16" t="n"/>
      <c r="AJ71" s="16" t="n"/>
      <c r="AK71" s="16" t="n"/>
      <c r="AL71" s="16" t="n"/>
      <c r="AM71" s="13" t="inlineStr">
        <is>
          <t>Alta</t>
        </is>
      </c>
      <c r="AN71" s="21" t="inlineStr">
        <is>
          <t>Revisar documento</t>
        </is>
      </c>
      <c r="AO71" s="20" t="inlineStr">
        <is>
          <t>Revisar</t>
        </is>
      </c>
      <c r="AP71" s="13" t="inlineStr"/>
      <c r="AQ71" s="20" t="inlineStr">
        <is>
          <t>Possível duplicidade comercial</t>
        </is>
      </c>
      <c r="AR71" s="15" t="inlineStr">
        <is>
          <t>Possível duplicidade comercial/reemissão com p.69. Mantida para revisão, não incluída no total confirmado.</t>
        </is>
      </c>
      <c r="AS71" s="15" t="inlineStr">
        <is>
          <t>NOTAS FISCAIS DE COMPRA JANEIRO 2026.pdf - p. 70</t>
        </is>
      </c>
    </row>
    <row r="72">
      <c r="A72" s="13" t="inlineStr">
        <is>
          <t>JAN26-P071</t>
        </is>
      </c>
      <c r="B72" s="13" t="n">
        <v>71</v>
      </c>
      <c r="C72" s="13" t="inlineStr">
        <is>
          <t>Boleto/Financeiro</t>
        </is>
      </c>
      <c r="D72" s="13" t="inlineStr"/>
      <c r="E72" s="13" t="inlineStr"/>
      <c r="F72" s="13" t="inlineStr"/>
      <c r="G72" s="25" t="n"/>
      <c r="H72" s="25" t="n"/>
      <c r="I72" s="13" t="inlineStr"/>
      <c r="J72" s="13" t="inlineStr">
        <is>
          <t>{0 POR TIPO DE LIGACAO E SERVICOS EXCEDENTES</t>
        </is>
      </c>
      <c r="K72" s="13" t="inlineStr"/>
      <c r="L72" s="13" t="inlineStr"/>
      <c r="M72" s="13" t="inlineStr"/>
      <c r="N72" s="13" t="inlineStr">
        <is>
          <t>Apoio</t>
        </is>
      </c>
      <c r="O72" s="13" t="inlineStr">
        <is>
          <t>Documento de apoio</t>
        </is>
      </c>
      <c r="P72" s="15" t="inlineStr"/>
      <c r="Q72" s="16" t="n"/>
      <c r="R72" s="16" t="n"/>
      <c r="S72" s="16" t="n"/>
      <c r="T72" s="16" t="n"/>
      <c r="U72" s="16" t="n"/>
      <c r="V72" s="17" t="n"/>
      <c r="W72" s="16" t="n"/>
      <c r="X72" s="16" t="n"/>
      <c r="Y72" s="16" t="n"/>
      <c r="Z72" s="16" t="n"/>
      <c r="AA72" s="16" t="n"/>
      <c r="AB72" s="16" t="n">
        <v>3.65</v>
      </c>
      <c r="AC72" s="16" t="n"/>
      <c r="AD72" s="17" t="n"/>
      <c r="AE72" s="16" t="n"/>
      <c r="AF72" s="16" t="n"/>
      <c r="AG72" s="16" t="n"/>
      <c r="AH72" s="16" t="n"/>
      <c r="AI72" s="16" t="n"/>
      <c r="AJ72" s="16" t="n"/>
      <c r="AK72" s="16" t="n"/>
      <c r="AL72" s="16" t="n"/>
      <c r="AM72" s="13" t="inlineStr">
        <is>
          <t>Baixa</t>
        </is>
      </c>
      <c r="AN72" s="13" t="inlineStr"/>
      <c r="AO72" s="19" t="inlineStr">
        <is>
          <t>Não</t>
        </is>
      </c>
      <c r="AP72" s="13" t="inlineStr"/>
      <c r="AQ72" s="13" t="inlineStr"/>
      <c r="AR72" s="15" t="inlineStr"/>
      <c r="AS72" s="15" t="inlineStr">
        <is>
          <t>NOTAS FISCAIS DE COMPRA JANEIRO 2026.pdf - p. 71</t>
        </is>
      </c>
    </row>
    <row r="73">
      <c r="A73" s="13" t="inlineStr">
        <is>
          <t>JAN26-P072</t>
        </is>
      </c>
      <c r="B73" s="13" t="n">
        <v>72</v>
      </c>
      <c r="C73" s="13" t="inlineStr">
        <is>
          <t>Outros/Documento</t>
        </is>
      </c>
      <c r="D73" s="13" t="inlineStr"/>
      <c r="E73" s="13" t="inlineStr"/>
      <c r="F73" s="13" t="inlineStr"/>
      <c r="G73" s="25" t="n"/>
      <c r="H73" s="25" t="n"/>
      <c r="I73" s="13" t="inlineStr"/>
      <c r="J73" s="13" t="inlineStr">
        <is>
          <t>\ével: igaces mensais de longa distancia</t>
        </is>
      </c>
      <c r="K73" s="13" t="inlineStr"/>
      <c r="L73" s="13" t="inlineStr"/>
      <c r="M73" s="13" t="inlineStr"/>
      <c r="N73" s="13" t="inlineStr">
        <is>
          <t>Apoio</t>
        </is>
      </c>
      <c r="O73" s="13" t="inlineStr">
        <is>
          <t>Documento de apoio</t>
        </is>
      </c>
      <c r="P73" s="15" t="inlineStr"/>
      <c r="Q73" s="16" t="n"/>
      <c r="R73" s="16" t="n"/>
      <c r="S73" s="16" t="n"/>
      <c r="T73" s="16" t="n"/>
      <c r="U73" s="16" t="n"/>
      <c r="V73" s="17" t="n"/>
      <c r="W73" s="16" t="n"/>
      <c r="X73" s="16" t="n"/>
      <c r="Y73" s="16" t="n"/>
      <c r="Z73" s="16" t="n"/>
      <c r="AA73" s="16" t="n"/>
      <c r="AB73" s="16" t="n"/>
      <c r="AC73" s="16" t="n"/>
      <c r="AD73" s="17" t="n"/>
      <c r="AE73" s="16" t="n"/>
      <c r="AF73" s="16" t="n"/>
      <c r="AG73" s="16" t="n"/>
      <c r="AH73" s="16" t="n"/>
      <c r="AI73" s="16" t="n"/>
      <c r="AJ73" s="16" t="n"/>
      <c r="AK73" s="16" t="n"/>
      <c r="AL73" s="16" t="n"/>
      <c r="AM73" s="13" t="inlineStr">
        <is>
          <t>Baixa</t>
        </is>
      </c>
      <c r="AN73" s="13" t="inlineStr"/>
      <c r="AO73" s="19" t="inlineStr">
        <is>
          <t>Não</t>
        </is>
      </c>
      <c r="AP73" s="13" t="inlineStr"/>
      <c r="AQ73" s="13" t="inlineStr"/>
      <c r="AR73" s="15" t="inlineStr"/>
      <c r="AS73" s="15" t="inlineStr">
        <is>
          <t>NOTAS FISCAIS DE COMPRA JANEIRO 2026.pdf - p. 72</t>
        </is>
      </c>
    </row>
    <row r="74">
      <c r="A74" s="13" t="inlineStr">
        <is>
          <t>JAN26-P073</t>
        </is>
      </c>
      <c r="B74" s="13" t="n">
        <v>73</v>
      </c>
      <c r="C74" s="13" t="inlineStr">
        <is>
          <t>Outros/Documento</t>
        </is>
      </c>
      <c r="D74" s="13" t="inlineStr"/>
      <c r="E74" s="13" t="inlineStr"/>
      <c r="F74" s="13" t="inlineStr"/>
      <c r="G74" s="25" t="n"/>
      <c r="H74" s="25" t="n"/>
      <c r="I74" s="13" t="inlineStr"/>
      <c r="J74" s="13" t="inlineStr">
        <is>
          <t>‘AcabeangadBsardgo deerme pode Sart ate o0hns and osu col PEE ae ee aia wah</t>
        </is>
      </c>
      <c r="K74" s="13" t="inlineStr"/>
      <c r="L74" s="13" t="inlineStr"/>
      <c r="M74" s="13" t="inlineStr"/>
      <c r="N74" s="13" t="inlineStr">
        <is>
          <t>Apoio</t>
        </is>
      </c>
      <c r="O74" s="13" t="inlineStr">
        <is>
          <t>Documento de apoio</t>
        </is>
      </c>
      <c r="P74" s="15" t="inlineStr"/>
      <c r="Q74" s="16" t="n"/>
      <c r="R74" s="16" t="n"/>
      <c r="S74" s="16" t="n"/>
      <c r="T74" s="16" t="n"/>
      <c r="U74" s="16" t="n"/>
      <c r="V74" s="17" t="n"/>
      <c r="W74" s="16" t="n"/>
      <c r="X74" s="16" t="n"/>
      <c r="Y74" s="16" t="n"/>
      <c r="Z74" s="16" t="n"/>
      <c r="AA74" s="16" t="n"/>
      <c r="AB74" s="16" t="n"/>
      <c r="AC74" s="16" t="n"/>
      <c r="AD74" s="17" t="n"/>
      <c r="AE74" s="16" t="n"/>
      <c r="AF74" s="16" t="n"/>
      <c r="AG74" s="16" t="n"/>
      <c r="AH74" s="16" t="n"/>
      <c r="AI74" s="16" t="n"/>
      <c r="AJ74" s="16" t="n"/>
      <c r="AK74" s="16" t="n"/>
      <c r="AL74" s="16" t="n"/>
      <c r="AM74" s="13" t="inlineStr">
        <is>
          <t>Baixa</t>
        </is>
      </c>
      <c r="AN74" s="13" t="inlineStr"/>
      <c r="AO74" s="19" t="inlineStr">
        <is>
          <t>Não</t>
        </is>
      </c>
      <c r="AP74" s="13" t="inlineStr"/>
      <c r="AQ74" s="13" t="inlineStr"/>
      <c r="AR74" s="15" t="inlineStr"/>
      <c r="AS74" s="15" t="inlineStr">
        <is>
          <t>NOTAS FISCAIS DE COMPRA JANEIRO 2026.pdf - p. 73</t>
        </is>
      </c>
    </row>
    <row r="75">
      <c r="A75" s="13" t="inlineStr">
        <is>
          <t>JAN26-P074</t>
        </is>
      </c>
      <c r="B75" s="13" t="n">
        <v>74</v>
      </c>
      <c r="C75" s="13" t="inlineStr">
        <is>
          <t>Outros/Documento</t>
        </is>
      </c>
      <c r="D75" s="13" t="inlineStr"/>
      <c r="E75" s="13" t="inlineStr"/>
      <c r="F75" s="13" t="inlineStr"/>
      <c r="G75" s="25" t="n"/>
      <c r="H75" s="25" t="n"/>
      <c r="I75" s="13" t="inlineStr"/>
      <c r="J75" s="13" t="inlineStr">
        <is>
          <t>DETALHAMENTO DE LIGACOESE SERVICOS DO CELULAR (86) 99 eT get SoM eee" shay</t>
        </is>
      </c>
      <c r="K75" s="13" t="inlineStr"/>
      <c r="L75" s="13" t="inlineStr"/>
      <c r="M75" s="13" t="inlineStr"/>
      <c r="N75" s="13" t="inlineStr">
        <is>
          <t>Apoio</t>
        </is>
      </c>
      <c r="O75" s="13" t="inlineStr">
        <is>
          <t>Documento de apoio</t>
        </is>
      </c>
      <c r="P75" s="15" t="inlineStr"/>
      <c r="Q75" s="16" t="n"/>
      <c r="R75" s="16" t="n"/>
      <c r="S75" s="16" t="n"/>
      <c r="T75" s="16" t="n"/>
      <c r="U75" s="16" t="n"/>
      <c r="V75" s="17" t="n"/>
      <c r="W75" s="16" t="n"/>
      <c r="X75" s="16" t="n"/>
      <c r="Y75" s="16" t="n"/>
      <c r="Z75" s="16" t="n"/>
      <c r="AA75" s="16" t="n"/>
      <c r="AB75" s="16" t="n"/>
      <c r="AC75" s="16" t="n"/>
      <c r="AD75" s="17" t="n"/>
      <c r="AE75" s="16" t="n"/>
      <c r="AF75" s="16" t="n"/>
      <c r="AG75" s="16" t="n"/>
      <c r="AH75" s="16" t="n"/>
      <c r="AI75" s="16" t="n"/>
      <c r="AJ75" s="16" t="n"/>
      <c r="AK75" s="16" t="n"/>
      <c r="AL75" s="16" t="n"/>
      <c r="AM75" s="13" t="inlineStr">
        <is>
          <t>Baixa</t>
        </is>
      </c>
      <c r="AN75" s="13" t="inlineStr"/>
      <c r="AO75" s="19" t="inlineStr">
        <is>
          <t>Não</t>
        </is>
      </c>
      <c r="AP75" s="13" t="inlineStr"/>
      <c r="AQ75" s="13" t="inlineStr"/>
      <c r="AR75" s="15" t="inlineStr"/>
      <c r="AS75" s="15" t="inlineStr">
        <is>
          <t>NOTAS FISCAIS DE COMPRA JANEIRO 2026.pdf - p. 74</t>
        </is>
      </c>
    </row>
    <row r="76">
      <c r="A76" s="13" t="inlineStr">
        <is>
          <t>JAN26-P075</t>
        </is>
      </c>
      <c r="B76" s="13" t="n">
        <v>75</v>
      </c>
      <c r="C76" s="13" t="inlineStr">
        <is>
          <t>Outros/Documento</t>
        </is>
      </c>
      <c r="D76" s="13" t="inlineStr"/>
      <c r="E76" s="13" t="inlineStr"/>
      <c r="F76" s="13" t="inlineStr"/>
      <c r="G76" s="25" t="n"/>
      <c r="H76" s="25" t="n"/>
      <c r="I76" s="13" t="inlineStr"/>
      <c r="J76" s="13" t="inlineStr">
        <is>
          <t>me Maenymainages 7 A Boe taattom saauer Conse 200d 20 ee oak</t>
        </is>
      </c>
      <c r="K76" s="13" t="inlineStr"/>
      <c r="L76" s="13" t="inlineStr"/>
      <c r="M76" s="13" t="inlineStr"/>
      <c r="N76" s="13" t="inlineStr">
        <is>
          <t>Apoio</t>
        </is>
      </c>
      <c r="O76" s="13" t="inlineStr">
        <is>
          <t>Documento de apoio</t>
        </is>
      </c>
      <c r="P76" s="15" t="inlineStr"/>
      <c r="Q76" s="16" t="n"/>
      <c r="R76" s="16" t="n"/>
      <c r="S76" s="16" t="n"/>
      <c r="T76" s="16" t="n"/>
      <c r="U76" s="16" t="n"/>
      <c r="V76" s="17" t="n"/>
      <c r="W76" s="16" t="n"/>
      <c r="X76" s="16" t="n"/>
      <c r="Y76" s="16" t="n"/>
      <c r="Z76" s="16" t="n"/>
      <c r="AA76" s="16" t="n"/>
      <c r="AB76" s="16" t="n"/>
      <c r="AC76" s="16" t="n"/>
      <c r="AD76" s="17" t="n"/>
      <c r="AE76" s="16" t="n"/>
      <c r="AF76" s="16" t="n"/>
      <c r="AG76" s="16" t="n"/>
      <c r="AH76" s="16" t="n"/>
      <c r="AI76" s="16" t="n"/>
      <c r="AJ76" s="16" t="n"/>
      <c r="AK76" s="16" t="n"/>
      <c r="AL76" s="16" t="n"/>
      <c r="AM76" s="13" t="inlineStr">
        <is>
          <t>Baixa</t>
        </is>
      </c>
      <c r="AN76" s="13" t="inlineStr"/>
      <c r="AO76" s="19" t="inlineStr">
        <is>
          <t>Não</t>
        </is>
      </c>
      <c r="AP76" s="13" t="inlineStr"/>
      <c r="AQ76" s="13" t="inlineStr"/>
      <c r="AR76" s="15" t="inlineStr"/>
      <c r="AS76" s="15" t="inlineStr">
        <is>
          <t>NOTAS FISCAIS DE COMPRA JANEIRO 2026.pdf - p. 75</t>
        </is>
      </c>
    </row>
    <row r="77">
      <c r="A77" s="13" t="inlineStr">
        <is>
          <t>JAN26-P076</t>
        </is>
      </c>
      <c r="B77" s="13" t="n">
        <v>76</v>
      </c>
      <c r="C77" s="13" t="inlineStr">
        <is>
          <t>Outros/Documento</t>
        </is>
      </c>
      <c r="D77" s="13" t="inlineStr"/>
      <c r="E77" s="13" t="inlineStr"/>
      <c r="F77" s="13" t="inlineStr"/>
      <c r="G77" s="25" t="n"/>
      <c r="H77" s="25" t="n"/>
      <c r="I77" s="13" t="inlineStr"/>
      <c r="J77" s="13" t="inlineStr">
        <is>
          <t>thes a internet move</t>
        </is>
      </c>
      <c r="K77" s="13" t="inlineStr"/>
      <c r="L77" s="13" t="inlineStr"/>
      <c r="M77" s="13" t="inlineStr"/>
      <c r="N77" s="13" t="inlineStr">
        <is>
          <t>Apoio</t>
        </is>
      </c>
      <c r="O77" s="13" t="inlineStr">
        <is>
          <t>Documento de apoio</t>
        </is>
      </c>
      <c r="P77" s="15" t="inlineStr"/>
      <c r="Q77" s="16" t="n"/>
      <c r="R77" s="16" t="n"/>
      <c r="S77" s="16" t="n"/>
      <c r="T77" s="16" t="n"/>
      <c r="U77" s="16" t="n"/>
      <c r="V77" s="17" t="n"/>
      <c r="W77" s="16" t="n"/>
      <c r="X77" s="16" t="n"/>
      <c r="Y77" s="16" t="n"/>
      <c r="Z77" s="16" t="n"/>
      <c r="AA77" s="16" t="n"/>
      <c r="AB77" s="16" t="n"/>
      <c r="AC77" s="16" t="n"/>
      <c r="AD77" s="17" t="n"/>
      <c r="AE77" s="16" t="n"/>
      <c r="AF77" s="16" t="n"/>
      <c r="AG77" s="16" t="n"/>
      <c r="AH77" s="16" t="n"/>
      <c r="AI77" s="16" t="n"/>
      <c r="AJ77" s="16" t="n"/>
      <c r="AK77" s="16" t="n"/>
      <c r="AL77" s="16" t="n"/>
      <c r="AM77" s="13" t="inlineStr">
        <is>
          <t>Baixa</t>
        </is>
      </c>
      <c r="AN77" s="13" t="inlineStr"/>
      <c r="AO77" s="19" t="inlineStr">
        <is>
          <t>Não</t>
        </is>
      </c>
      <c r="AP77" s="13" t="inlineStr"/>
      <c r="AQ77" s="13" t="inlineStr"/>
      <c r="AR77" s="15" t="inlineStr"/>
      <c r="AS77" s="15" t="inlineStr">
        <is>
          <t>NOTAS FISCAIS DE COMPRA JANEIRO 2026.pdf - p. 76</t>
        </is>
      </c>
    </row>
    <row r="78">
      <c r="A78" s="13" t="inlineStr">
        <is>
          <t>JAN26-P077</t>
        </is>
      </c>
      <c r="B78" s="13" t="n">
        <v>77</v>
      </c>
      <c r="C78" s="13" t="inlineStr">
        <is>
          <t>NF-e</t>
        </is>
      </c>
      <c r="D78" s="13" t="inlineStr"/>
      <c r="E78" s="13" t="inlineStr">
        <is>
          <t>535011</t>
        </is>
      </c>
      <c r="F78" s="13" t="inlineStr">
        <is>
          <t>1</t>
        </is>
      </c>
      <c r="G78" s="25" t="n">
        <v>46031</v>
      </c>
      <c r="H78" s="25" t="n"/>
      <c r="I78" s="13" t="inlineStr"/>
      <c r="J78" s="13" t="inlineStr">
        <is>
          <t>COMPANHIA INDUSTRIAL DE CIMENTO APODI</t>
        </is>
      </c>
      <c r="K78" s="13" t="inlineStr">
        <is>
          <t>10.260.249/0003-51</t>
        </is>
      </c>
      <c r="L78" s="13" t="inlineStr">
        <is>
          <t>23.655.038/0002-89</t>
        </is>
      </c>
      <c r="M78" s="13" t="inlineStr">
        <is>
          <t>SKAL /0002</t>
        </is>
      </c>
      <c r="N78" s="13" t="inlineStr">
        <is>
          <t>Produtos</t>
        </is>
      </c>
      <c r="O78" s="13" t="inlineStr">
        <is>
          <t>Cimento</t>
        </is>
      </c>
      <c r="P78" s="15" t="inlineStr">
        <is>
          <t>Cimento Portland / produção do estabelecimento - dados fiscais conforme DANFE.</t>
        </is>
      </c>
      <c r="Q78" s="16" t="n">
        <v>15797.5</v>
      </c>
      <c r="R78" s="16" t="n">
        <v>15797.5</v>
      </c>
      <c r="S78" s="16" t="n"/>
      <c r="T78" s="16" t="n"/>
      <c r="U78" s="16" t="n">
        <v>15797.5</v>
      </c>
      <c r="V78" s="17" t="n">
        <v>0.12</v>
      </c>
      <c r="W78" s="16" t="n">
        <v>1895.7</v>
      </c>
      <c r="X78" s="16" t="n"/>
      <c r="Y78" s="16" t="n"/>
      <c r="Z78" s="16" t="n"/>
      <c r="AA78" s="16" t="n"/>
      <c r="AB78" s="16" t="n"/>
      <c r="AC78" s="16" t="n"/>
      <c r="AD78" s="17" t="n"/>
      <c r="AE78" s="16" t="n"/>
      <c r="AF78" s="16" t="n"/>
      <c r="AG78" s="16" t="n"/>
      <c r="AH78" s="16" t="n"/>
      <c r="AI78" s="16" t="n"/>
      <c r="AJ78" s="16" t="n"/>
      <c r="AK78" s="16" t="n"/>
      <c r="AL78" s="16" t="n"/>
      <c r="AM78" s="13" t="inlineStr">
        <is>
          <t>Alta</t>
        </is>
      </c>
      <c r="AN78" s="13" t="inlineStr"/>
      <c r="AO78" s="18" t="inlineStr">
        <is>
          <t>Sim</t>
        </is>
      </c>
      <c r="AP78" s="13" t="inlineStr"/>
      <c r="AQ78" s="13" t="inlineStr"/>
      <c r="AR78" s="15" t="inlineStr"/>
      <c r="AS78" s="15" t="inlineStr">
        <is>
          <t>NOTAS FISCAIS DE COMPRA JANEIRO 2026.pdf - p. 77</t>
        </is>
      </c>
    </row>
    <row r="79">
      <c r="A79" s="13" t="inlineStr">
        <is>
          <t>JAN26-P078</t>
        </is>
      </c>
      <c r="B79" s="13" t="n">
        <v>78</v>
      </c>
      <c r="C79" s="13" t="inlineStr">
        <is>
          <t>NF-e</t>
        </is>
      </c>
      <c r="D79" s="13" t="inlineStr"/>
      <c r="E79" s="13" t="inlineStr">
        <is>
          <t>861</t>
        </is>
      </c>
      <c r="F79" s="13" t="inlineStr">
        <is>
          <t>1</t>
        </is>
      </c>
      <c r="G79" s="25" t="n">
        <v>45972</v>
      </c>
      <c r="H79" s="25" t="n"/>
      <c r="I79" s="13" t="inlineStr"/>
      <c r="J79" s="13" t="inlineStr">
        <is>
          <t>INOVE SOLUCOES EM PRODUTOS E EQUIPAMENTOS PARA LABORATORIOS</t>
        </is>
      </c>
      <c r="K79" s="13" t="inlineStr">
        <is>
          <t>60.366.345/0001-95</t>
        </is>
      </c>
      <c r="L79" s="13" t="inlineStr">
        <is>
          <t>23.655.038/0002-89</t>
        </is>
      </c>
      <c r="M79" s="13" t="inlineStr">
        <is>
          <t>SKAL /0002</t>
        </is>
      </c>
      <c r="N79" s="13" t="inlineStr">
        <is>
          <t>Produtos</t>
        </is>
      </c>
      <c r="O79" s="13" t="inlineStr">
        <is>
          <t>Equipamentos/laboratorio</t>
        </is>
      </c>
      <c r="P79" s="15" t="inlineStr"/>
      <c r="Q79" s="16" t="n">
        <v>27000</v>
      </c>
      <c r="R79" s="16" t="n">
        <v>28961</v>
      </c>
      <c r="S79" s="16" t="n"/>
      <c r="T79" s="16" t="n"/>
      <c r="U79" s="16" t="n"/>
      <c r="V79" s="17" t="n"/>
      <c r="W79" s="16" t="n"/>
      <c r="X79" s="16" t="n"/>
      <c r="Y79" s="16" t="n"/>
      <c r="Z79" s="16" t="n"/>
      <c r="AA79" s="16" t="n"/>
      <c r="AB79" s="16" t="n"/>
      <c r="AC79" s="16" t="n"/>
      <c r="AD79" s="17" t="n"/>
      <c r="AE79" s="16" t="n"/>
      <c r="AF79" s="16" t="n"/>
      <c r="AG79" s="16" t="n"/>
      <c r="AH79" s="16" t="n"/>
      <c r="AI79" s="16" t="n"/>
      <c r="AJ79" s="16" t="n"/>
      <c r="AK79" s="16" t="n"/>
      <c r="AL79" s="16" t="n"/>
      <c r="AM79" s="13" t="inlineStr">
        <is>
          <t>Alta</t>
        </is>
      </c>
      <c r="AN79" s="13" t="inlineStr"/>
      <c r="AO79" s="18" t="inlineStr">
        <is>
          <t>Sim</t>
        </is>
      </c>
      <c r="AP79" s="13" t="inlineStr"/>
      <c r="AQ79" s="13" t="inlineStr"/>
      <c r="AR79" s="15" t="inlineStr"/>
      <c r="AS79" s="15" t="inlineStr">
        <is>
          <t>NOTAS FISCAIS DE COMPRA JANEIRO 2026.pdf - p. 78</t>
        </is>
      </c>
    </row>
    <row r="80">
      <c r="A80" s="13" t="inlineStr">
        <is>
          <t>JAN26-P079</t>
        </is>
      </c>
      <c r="B80" s="13" t="n">
        <v>79</v>
      </c>
      <c r="C80" s="13" t="inlineStr">
        <is>
          <t>NF-e</t>
        </is>
      </c>
      <c r="D80" s="13" t="inlineStr">
        <is>
          <t>55</t>
        </is>
      </c>
      <c r="E80" s="13" t="inlineStr">
        <is>
          <t>100000086</t>
        </is>
      </c>
      <c r="F80" s="13" t="inlineStr">
        <is>
          <t>500</t>
        </is>
      </c>
      <c r="G80" s="25" t="n">
        <v>45972</v>
      </c>
      <c r="H80" s="25" t="n"/>
      <c r="I80" s="13" t="inlineStr">
        <is>
          <t>35251160366345000291555001000000861108358874</t>
        </is>
      </c>
      <c r="J80" s="13" t="inlineStr">
        <is>
          <t>es, vimos por meio des</t>
        </is>
      </c>
      <c r="K80" s="13" t="inlineStr">
        <is>
          <t>60.366.345/0002-91</t>
        </is>
      </c>
      <c r="L80" s="13" t="inlineStr"/>
      <c r="M80" s="13" t="inlineStr"/>
      <c r="N80" s="13" t="inlineStr">
        <is>
          <t>Produtos</t>
        </is>
      </c>
      <c r="O80" s="13" t="inlineStr">
        <is>
          <t>Outros produtos</t>
        </is>
      </c>
      <c r="P80" s="15" t="inlineStr"/>
      <c r="Q80" s="16" t="n"/>
      <c r="R80" s="16" t="n"/>
      <c r="S80" s="16" t="n"/>
      <c r="T80" s="16" t="n"/>
      <c r="U80" s="16" t="n"/>
      <c r="V80" s="17" t="n"/>
      <c r="W80" s="16" t="n"/>
      <c r="X80" s="16" t="n"/>
      <c r="Y80" s="16" t="n"/>
      <c r="Z80" s="16" t="n"/>
      <c r="AA80" s="16" t="n"/>
      <c r="AB80" s="16" t="n"/>
      <c r="AC80" s="16" t="n"/>
      <c r="AD80" s="17" t="n"/>
      <c r="AE80" s="16" t="n"/>
      <c r="AF80" s="16" t="n"/>
      <c r="AG80" s="16" t="n"/>
      <c r="AH80" s="16" t="n"/>
      <c r="AI80" s="16" t="n"/>
      <c r="AJ80" s="16" t="n"/>
      <c r="AK80" s="16" t="n"/>
      <c r="AL80" s="16" t="n"/>
      <c r="AM80" s="13" t="inlineStr">
        <is>
          <t>Alta</t>
        </is>
      </c>
      <c r="AN80" s="21" t="inlineStr">
        <is>
          <t>Revisar documento</t>
        </is>
      </c>
      <c r="AO80" s="20" t="inlineStr">
        <is>
          <t>Revisar</t>
        </is>
      </c>
      <c r="AP80" s="13" t="inlineStr"/>
      <c r="AQ80" s="13" t="inlineStr"/>
      <c r="AR80" s="15" t="inlineStr"/>
      <c r="AS80" s="15" t="inlineStr">
        <is>
          <t>NOTAS FISCAIS DE COMPRA JANEIRO 2026.pdf - p. 79</t>
        </is>
      </c>
    </row>
    <row r="81">
      <c r="A81" s="13" t="inlineStr">
        <is>
          <t>JAN26-P080</t>
        </is>
      </c>
      <c r="B81" s="13" t="n">
        <v>80</v>
      </c>
      <c r="C81" s="13" t="inlineStr">
        <is>
          <t>NFCom</t>
        </is>
      </c>
      <c r="D81" s="13" t="inlineStr">
        <is>
          <t>62</t>
        </is>
      </c>
      <c r="E81" s="13" t="inlineStr">
        <is>
          <t>5011</t>
        </is>
      </c>
      <c r="F81" s="13" t="inlineStr">
        <is>
          <t>001</t>
        </is>
      </c>
      <c r="G81" s="25" t="n">
        <v>46025</v>
      </c>
      <c r="H81" s="25" t="n">
        <v>46037</v>
      </c>
      <c r="I81" s="13" t="inlineStr">
        <is>
          <t>22260106987622000131620010000050111049770271</t>
        </is>
      </c>
      <c r="J81" s="13" t="inlineStr">
        <is>
          <t>J R C DE ANDRADES LTDA</t>
        </is>
      </c>
      <c r="K81" s="13" t="inlineStr">
        <is>
          <t>06.987.622/0001-31</t>
        </is>
      </c>
      <c r="L81" s="13" t="inlineStr">
        <is>
          <t>23.655.038/0002-89</t>
        </is>
      </c>
      <c r="M81" s="13" t="inlineStr">
        <is>
          <t>SKAL /0002</t>
        </is>
      </c>
      <c r="N81" s="13" t="inlineStr">
        <is>
          <t>Servicos</t>
        </is>
      </c>
      <c r="O81" s="13" t="inlineStr">
        <is>
          <t>Telecomunicacoes/comunicacao</t>
        </is>
      </c>
      <c r="P81" s="15" t="inlineStr">
        <is>
          <t>SCM - DELTA 800</t>
        </is>
      </c>
      <c r="Q81" s="16" t="n">
        <v>139.9</v>
      </c>
      <c r="R81" s="16" t="n"/>
      <c r="S81" s="16" t="n"/>
      <c r="T81" s="16" t="n"/>
      <c r="U81" s="16" t="n">
        <v>0</v>
      </c>
      <c r="V81" s="17" t="n"/>
      <c r="W81" s="16" t="n">
        <v>0</v>
      </c>
      <c r="X81" s="16" t="n"/>
      <c r="Y81" s="16" t="n"/>
      <c r="Z81" s="16" t="n"/>
      <c r="AA81" s="16" t="n">
        <v>0</v>
      </c>
      <c r="AB81" s="16" t="n">
        <v>0</v>
      </c>
      <c r="AC81" s="16" t="n"/>
      <c r="AD81" s="17" t="n"/>
      <c r="AE81" s="16" t="n"/>
      <c r="AF81" s="16" t="n"/>
      <c r="AG81" s="16" t="n"/>
      <c r="AH81" s="16" t="n"/>
      <c r="AI81" s="16" t="n"/>
      <c r="AJ81" s="16" t="n"/>
      <c r="AK81" s="16" t="n"/>
      <c r="AL81" s="16" t="n"/>
      <c r="AM81" s="13" t="inlineStr">
        <is>
          <t>Alta</t>
        </is>
      </c>
      <c r="AN81" s="13" t="inlineStr"/>
      <c r="AO81" s="18" t="inlineStr">
        <is>
          <t>Sim</t>
        </is>
      </c>
      <c r="AP81" s="13" t="inlineStr"/>
      <c r="AQ81" s="13" t="inlineStr"/>
      <c r="AR81" s="15" t="inlineStr"/>
      <c r="AS81" s="15" t="inlineStr">
        <is>
          <t>NOTAS FISCAIS DE COMPRA JANEIRO 2026.pdf - p. 80</t>
        </is>
      </c>
    </row>
    <row r="82">
      <c r="A82" s="13" t="inlineStr">
        <is>
          <t>JAN26-P081</t>
        </is>
      </c>
      <c r="B82" s="13" t="n">
        <v>81</v>
      </c>
      <c r="C82" s="13" t="inlineStr">
        <is>
          <t>NF-e</t>
        </is>
      </c>
      <c r="D82" s="13" t="inlineStr"/>
      <c r="E82" s="13" t="inlineStr">
        <is>
          <t>60587</t>
        </is>
      </c>
      <c r="F82" s="13" t="inlineStr">
        <is>
          <t>1</t>
        </is>
      </c>
      <c r="G82" s="25" t="n">
        <v>46034</v>
      </c>
      <c r="H82" s="25" t="n"/>
      <c r="I82" s="13" t="inlineStr"/>
      <c r="J82" s="13" t="inlineStr">
        <is>
          <t>DISTRIBUICAO DE ALIMENTOS VANGUARDA S/A</t>
        </is>
      </c>
      <c r="K82" s="13" t="inlineStr">
        <is>
          <t>31.838.128/0025-20</t>
        </is>
      </c>
      <c r="L82" s="13" t="inlineStr">
        <is>
          <t>23.655.038/0002-89</t>
        </is>
      </c>
      <c r="M82" s="13" t="inlineStr">
        <is>
          <t>SKAL /0002</t>
        </is>
      </c>
      <c r="N82" s="13" t="inlineStr">
        <is>
          <t>Produtos</t>
        </is>
      </c>
      <c r="O82" s="13" t="inlineStr">
        <is>
          <t>Insumos diversos</t>
        </is>
      </c>
      <c r="P82" s="15" t="inlineStr">
        <is>
          <t>SAL MOIDO C/INDUSTRIAL S IODIO 1KG, 1.000 UN x R$ 0,80</t>
        </is>
      </c>
      <c r="Q82" s="16" t="n">
        <v>800</v>
      </c>
      <c r="R82" s="16" t="n">
        <v>800</v>
      </c>
      <c r="S82" s="16" t="n"/>
      <c r="T82" s="16" t="n"/>
      <c r="U82" s="16" t="n"/>
      <c r="V82" s="17" t="n"/>
      <c r="W82" s="16" t="n"/>
      <c r="X82" s="16" t="n"/>
      <c r="Y82" s="16" t="n"/>
      <c r="Z82" s="16" t="n"/>
      <c r="AA82" s="16" t="n"/>
      <c r="AB82" s="16" t="n"/>
      <c r="AC82" s="16" t="n"/>
      <c r="AD82" s="17" t="n"/>
      <c r="AE82" s="16" t="n"/>
      <c r="AF82" s="16" t="n"/>
      <c r="AG82" s="16" t="n"/>
      <c r="AH82" s="16" t="n"/>
      <c r="AI82" s="16" t="n"/>
      <c r="AJ82" s="16" t="n"/>
      <c r="AK82" s="16" t="n"/>
      <c r="AL82" s="16" t="n"/>
      <c r="AM82" s="13" t="inlineStr">
        <is>
          <t>Alta</t>
        </is>
      </c>
      <c r="AN82" s="13" t="inlineStr"/>
      <c r="AO82" s="18" t="inlineStr">
        <is>
          <t>Sim</t>
        </is>
      </c>
      <c r="AP82" s="13" t="inlineStr"/>
      <c r="AQ82" s="13" t="inlineStr"/>
      <c r="AR82" s="15" t="inlineStr"/>
      <c r="AS82" s="15" t="inlineStr">
        <is>
          <t>NOTAS FISCAIS DE COMPRA JANEIRO 2026.pdf - p. 81</t>
        </is>
      </c>
    </row>
    <row r="83">
      <c r="A83" s="13" t="inlineStr">
        <is>
          <t>JAN26-P082</t>
        </is>
      </c>
      <c r="B83" s="13" t="n">
        <v>82</v>
      </c>
      <c r="C83" s="13" t="inlineStr">
        <is>
          <t>NFS-e</t>
        </is>
      </c>
      <c r="D83" s="13" t="inlineStr"/>
      <c r="E83" s="13" t="inlineStr">
        <is>
          <t>767</t>
        </is>
      </c>
      <c r="F83" s="13" t="inlineStr">
        <is>
          <t>U</t>
        </is>
      </c>
      <c r="G83" s="25" t="n">
        <v>46036</v>
      </c>
      <c r="H83" s="25" t="n"/>
      <c r="I83" s="13" t="inlineStr"/>
      <c r="J83" s="13" t="inlineStr">
        <is>
          <t>EDWARD MOURA SOCIEDADE INDIVIDUAL DE ADVOCACIA</t>
        </is>
      </c>
      <c r="K83" s="13" t="inlineStr">
        <is>
          <t>09.244.087/0001-17</t>
        </is>
      </c>
      <c r="L83" s="13" t="inlineStr">
        <is>
          <t>23.655.038/0002-89</t>
        </is>
      </c>
      <c r="M83" s="13" t="inlineStr">
        <is>
          <t>SKAL /0002</t>
        </is>
      </c>
      <c r="N83" s="13" t="inlineStr">
        <is>
          <t>Servicos</t>
        </is>
      </c>
      <c r="O83" s="13" t="inlineStr">
        <is>
          <t>Juridico</t>
        </is>
      </c>
      <c r="P83" s="15" t="inlineStr">
        <is>
          <t>HONORARIOS ADVOCATICIOS</t>
        </is>
      </c>
      <c r="Q83" s="16" t="n">
        <v>4075</v>
      </c>
      <c r="R83" s="16" t="n"/>
      <c r="S83" s="16" t="n">
        <v>4075</v>
      </c>
      <c r="T83" s="16" t="n"/>
      <c r="U83" s="16" t="n"/>
      <c r="V83" s="17" t="n"/>
      <c r="W83" s="16" t="n"/>
      <c r="X83" s="16" t="n"/>
      <c r="Y83" s="16" t="n"/>
      <c r="Z83" s="16" t="n"/>
      <c r="AA83" s="16" t="n">
        <v>0</v>
      </c>
      <c r="AB83" s="16" t="n">
        <v>0</v>
      </c>
      <c r="AC83" s="16" t="n"/>
      <c r="AD83" s="17" t="n"/>
      <c r="AE83" s="16" t="n">
        <v>4.07</v>
      </c>
      <c r="AF83" s="16" t="n"/>
      <c r="AG83" s="16" t="n"/>
      <c r="AH83" s="16" t="n"/>
      <c r="AI83" s="16" t="n"/>
      <c r="AJ83" s="16" t="n"/>
      <c r="AK83" s="16" t="n"/>
      <c r="AL83" s="16" t="n"/>
      <c r="AM83" s="13" t="inlineStr">
        <is>
          <t>Alta</t>
        </is>
      </c>
      <c r="AN83" s="13" t="inlineStr"/>
      <c r="AO83" s="18" t="inlineStr">
        <is>
          <t>Sim</t>
        </is>
      </c>
      <c r="AP83" s="13" t="inlineStr"/>
      <c r="AQ83" s="13" t="inlineStr"/>
      <c r="AR83" s="15" t="inlineStr"/>
      <c r="AS83" s="15" t="inlineStr">
        <is>
          <t>NOTAS FISCAIS DE COMPRA JANEIRO 2026.pdf - p. 82</t>
        </is>
      </c>
    </row>
    <row r="84">
      <c r="A84" s="13" t="inlineStr">
        <is>
          <t>JAN26-P083</t>
        </is>
      </c>
      <c r="B84" s="13" t="n">
        <v>83</v>
      </c>
      <c r="C84" s="13" t="inlineStr">
        <is>
          <t>NFS-e</t>
        </is>
      </c>
      <c r="D84" s="13" t="inlineStr"/>
      <c r="E84" s="13" t="inlineStr">
        <is>
          <t>3331</t>
        </is>
      </c>
      <c r="F84" s="13" t="inlineStr">
        <is>
          <t>U</t>
        </is>
      </c>
      <c r="G84" s="25" t="n">
        <v>46030</v>
      </c>
      <c r="H84" s="25" t="n"/>
      <c r="I84" s="13" t="inlineStr"/>
      <c r="J84" s="13" t="inlineStr">
        <is>
          <t>LCM CONSULTING AND INFORMATION SERVICES LTDA</t>
        </is>
      </c>
      <c r="K84" s="13" t="inlineStr">
        <is>
          <t>04.704.452/0001-05</t>
        </is>
      </c>
      <c r="L84" s="13" t="inlineStr">
        <is>
          <t>23.655.038/0002-89</t>
        </is>
      </c>
      <c r="M84" s="13" t="inlineStr">
        <is>
          <t>SKAL /0002</t>
        </is>
      </c>
      <c r="N84" s="13" t="inlineStr">
        <is>
          <t>Servicos</t>
        </is>
      </c>
      <c r="O84" s="13" t="inlineStr">
        <is>
          <t>TI/suporte</t>
        </is>
      </c>
      <c r="P84" s="15" t="inlineStr">
        <is>
          <t>REFERENTE A PROPOSTA TOPI0027/2025, PROCEDIMENTO OPERACIONAL CREDITO E COBRANCA. PARCELA 01/03</t>
        </is>
      </c>
      <c r="Q84" s="16" t="n">
        <v>9689.33</v>
      </c>
      <c r="R84" s="16" t="n"/>
      <c r="S84" s="16" t="n">
        <v>9689.33</v>
      </c>
      <c r="T84" s="16" t="n"/>
      <c r="U84" s="16" t="n"/>
      <c r="V84" s="17" t="n"/>
      <c r="W84" s="16" t="n"/>
      <c r="X84" s="16" t="n"/>
      <c r="Y84" s="16" t="n"/>
      <c r="Z84" s="16" t="n"/>
      <c r="AA84" s="16" t="n"/>
      <c r="AB84" s="16" t="n"/>
      <c r="AC84" s="16" t="n"/>
      <c r="AD84" s="17" t="n"/>
      <c r="AE84" s="16" t="n">
        <v>9.880000000000001</v>
      </c>
      <c r="AF84" s="16" t="n"/>
      <c r="AG84" s="16" t="n"/>
      <c r="AH84" s="16" t="n"/>
      <c r="AI84" s="16" t="n"/>
      <c r="AJ84" s="16" t="n"/>
      <c r="AK84" s="16" t="n"/>
      <c r="AL84" s="16" t="n"/>
      <c r="AM84" s="13" t="inlineStr">
        <is>
          <t>Alta</t>
        </is>
      </c>
      <c r="AN84" s="13" t="inlineStr"/>
      <c r="AO84" s="18" t="inlineStr">
        <is>
          <t>Sim</t>
        </is>
      </c>
      <c r="AP84" s="13" t="inlineStr"/>
      <c r="AQ84" s="13" t="inlineStr"/>
      <c r="AR84" s="15" t="inlineStr"/>
      <c r="AS84" s="15" t="inlineStr">
        <is>
          <t>NOTAS FISCAIS DE COMPRA JANEIRO 2026.pdf - p. 83</t>
        </is>
      </c>
    </row>
    <row r="85">
      <c r="A85" s="13" t="inlineStr">
        <is>
          <t>JAN26-P084</t>
        </is>
      </c>
      <c r="B85" s="13" t="n">
        <v>84</v>
      </c>
      <c r="C85" s="13" t="inlineStr">
        <is>
          <t>NF-e</t>
        </is>
      </c>
      <c r="D85" s="13" t="inlineStr"/>
      <c r="E85" s="13" t="inlineStr">
        <is>
          <t>232676</t>
        </is>
      </c>
      <c r="F85" s="13" t="inlineStr">
        <is>
          <t>1</t>
        </is>
      </c>
      <c r="G85" s="25" t="n">
        <v>46007</v>
      </c>
      <c r="H85" s="25" t="n"/>
      <c r="I85" s="13" t="inlineStr"/>
      <c r="J85" s="13" t="inlineStr">
        <is>
          <t>INDUMAK MAQUINAS LTDA</t>
        </is>
      </c>
      <c r="K85" s="13" t="inlineStr">
        <is>
          <t>84.431.352/0001-91</t>
        </is>
      </c>
      <c r="L85" s="13" t="inlineStr">
        <is>
          <t>23.655.038/0002-89</t>
        </is>
      </c>
      <c r="M85" s="13" t="inlineStr">
        <is>
          <t>SKAL /0002</t>
        </is>
      </c>
      <c r="N85" s="13" t="inlineStr">
        <is>
          <t>Produtos</t>
        </is>
      </c>
      <c r="O85" s="13" t="inlineStr">
        <is>
          <t>Manutencao/pecas</t>
        </is>
      </c>
      <c r="P85" s="15" t="inlineStr"/>
      <c r="Q85" s="16" t="n">
        <v>1587.23</v>
      </c>
      <c r="R85" s="16" t="n">
        <v>1391.53</v>
      </c>
      <c r="S85" s="16" t="n"/>
      <c r="T85" s="16" t="n">
        <v>120.05</v>
      </c>
      <c r="U85" s="16" t="n">
        <v>1587.23</v>
      </c>
      <c r="V85" s="17" t="n"/>
      <c r="W85" s="16" t="n">
        <v>100.51</v>
      </c>
      <c r="X85" s="16" t="n"/>
      <c r="Y85" s="16" t="n"/>
      <c r="Z85" s="16" t="n">
        <v>75.65000000000001</v>
      </c>
      <c r="AA85" s="16" t="n"/>
      <c r="AB85" s="16" t="n"/>
      <c r="AC85" s="16" t="n"/>
      <c r="AD85" s="17" t="n"/>
      <c r="AE85" s="16" t="n"/>
      <c r="AF85" s="16" t="n"/>
      <c r="AG85" s="16" t="n"/>
      <c r="AH85" s="16" t="n"/>
      <c r="AI85" s="16" t="n"/>
      <c r="AJ85" s="16" t="n"/>
      <c r="AK85" s="16" t="n"/>
      <c r="AL85" s="16" t="n"/>
      <c r="AM85" s="13" t="inlineStr">
        <is>
          <t>Alta</t>
        </is>
      </c>
      <c r="AN85" s="13" t="inlineStr"/>
      <c r="AO85" s="18" t="inlineStr">
        <is>
          <t>Sim</t>
        </is>
      </c>
      <c r="AP85" s="13" t="inlineStr"/>
      <c r="AQ85" s="13" t="inlineStr"/>
      <c r="AR85" s="15" t="inlineStr"/>
      <c r="AS85" s="15" t="inlineStr">
        <is>
          <t>NOTAS FISCAIS DE COMPRA JANEIRO 2026.pdf - p. 84</t>
        </is>
      </c>
    </row>
    <row r="86">
      <c r="A86" s="13" t="inlineStr">
        <is>
          <t>JAN26-P085</t>
        </is>
      </c>
      <c r="B86" s="13" t="n">
        <v>85</v>
      </c>
      <c r="C86" s="13" t="inlineStr">
        <is>
          <t>Outros/Documento</t>
        </is>
      </c>
      <c r="D86" s="13" t="inlineStr"/>
      <c r="E86" s="13" t="inlineStr"/>
      <c r="F86" s="13" t="inlineStr"/>
      <c r="G86" s="25" t="n">
        <v>45985</v>
      </c>
      <c r="H86" s="25" t="n"/>
      <c r="I86" s="13" t="inlineStr"/>
      <c r="J86" s="13" t="inlineStr">
        <is>
          <t>\VENIDA SAO FRANCISCO 4000/D - EXTREMA</t>
        </is>
      </c>
      <c r="K86" s="13" t="inlineStr">
        <is>
          <t>84.431.352/0001-91</t>
        </is>
      </c>
      <c r="L86" s="13" t="inlineStr">
        <is>
          <t>23.655.038/0002-89</t>
        </is>
      </c>
      <c r="M86" s="13" t="inlineStr">
        <is>
          <t>SKAL /0002</t>
        </is>
      </c>
      <c r="N86" s="13" t="inlineStr">
        <is>
          <t>Apoio</t>
        </is>
      </c>
      <c r="O86" s="13" t="inlineStr">
        <is>
          <t>Documento de apoio</t>
        </is>
      </c>
      <c r="P86" s="15" t="inlineStr"/>
      <c r="Q86" s="16" t="n"/>
      <c r="R86" s="16" t="n"/>
      <c r="S86" s="16" t="n"/>
      <c r="T86" s="16" t="n"/>
      <c r="U86" s="16" t="n"/>
      <c r="V86" s="17" t="n"/>
      <c r="W86" s="16" t="n"/>
      <c r="X86" s="16" t="n"/>
      <c r="Y86" s="16" t="n"/>
      <c r="Z86" s="16" t="n"/>
      <c r="AA86" s="16" t="n"/>
      <c r="AB86" s="16" t="n"/>
      <c r="AC86" s="16" t="n"/>
      <c r="AD86" s="17" t="n"/>
      <c r="AE86" s="16" t="n"/>
      <c r="AF86" s="16" t="n"/>
      <c r="AG86" s="16" t="n"/>
      <c r="AH86" s="16" t="n"/>
      <c r="AI86" s="16" t="n"/>
      <c r="AJ86" s="16" t="n"/>
      <c r="AK86" s="16" t="n"/>
      <c r="AL86" s="16" t="n"/>
      <c r="AM86" s="13" t="inlineStr">
        <is>
          <t>Media</t>
        </is>
      </c>
      <c r="AN86" s="13" t="inlineStr"/>
      <c r="AO86" s="19" t="inlineStr">
        <is>
          <t>Não</t>
        </is>
      </c>
      <c r="AP86" s="13" t="inlineStr"/>
      <c r="AQ86" s="13" t="inlineStr"/>
      <c r="AR86" s="15" t="inlineStr"/>
      <c r="AS86" s="15" t="inlineStr">
        <is>
          <t>NOTAS FISCAIS DE COMPRA JANEIRO 2026.pdf - p. 85</t>
        </is>
      </c>
    </row>
    <row r="87">
      <c r="A87" s="13" t="inlineStr">
        <is>
          <t>JAN26-P086</t>
        </is>
      </c>
      <c r="B87" s="13" t="n">
        <v>86</v>
      </c>
      <c r="C87" s="13" t="inlineStr">
        <is>
          <t>Outros/Documento</t>
        </is>
      </c>
      <c r="D87" s="13" t="inlineStr"/>
      <c r="E87" s="13" t="inlineStr"/>
      <c r="F87" s="13" t="inlineStr"/>
      <c r="G87" s="25" t="n">
        <v>45985</v>
      </c>
      <c r="H87" s="25" t="n"/>
      <c r="I87" s="13" t="inlineStr"/>
      <c r="J87" s="13" t="inlineStr">
        <is>
          <t>quantidades e condigées comerciais acordadas por intermédio deste. Em caso de pecas de linha, a</t>
        </is>
      </c>
      <c r="K87" s="13" t="inlineStr"/>
      <c r="L87" s="13" t="inlineStr"/>
      <c r="M87" s="13" t="inlineStr"/>
      <c r="N87" s="13" t="inlineStr">
        <is>
          <t>Apoio</t>
        </is>
      </c>
      <c r="O87" s="13" t="inlineStr">
        <is>
          <t>Documento de apoio</t>
        </is>
      </c>
      <c r="P87" s="15" t="inlineStr"/>
      <c r="Q87" s="16" t="n"/>
      <c r="R87" s="16" t="n"/>
      <c r="S87" s="16" t="n"/>
      <c r="T87" s="16" t="n"/>
      <c r="U87" s="16" t="n"/>
      <c r="V87" s="17" t="n"/>
      <c r="W87" s="16" t="n"/>
      <c r="X87" s="16" t="n"/>
      <c r="Y87" s="16" t="n"/>
      <c r="Z87" s="16" t="n"/>
      <c r="AA87" s="16" t="n"/>
      <c r="AB87" s="16" t="n"/>
      <c r="AC87" s="16" t="n"/>
      <c r="AD87" s="17" t="n"/>
      <c r="AE87" s="16" t="n"/>
      <c r="AF87" s="16" t="n"/>
      <c r="AG87" s="16" t="n"/>
      <c r="AH87" s="16" t="n"/>
      <c r="AI87" s="16" t="n"/>
      <c r="AJ87" s="16" t="n"/>
      <c r="AK87" s="16" t="n"/>
      <c r="AL87" s="16" t="n"/>
      <c r="AM87" s="13" t="inlineStr">
        <is>
          <t>Baixa</t>
        </is>
      </c>
      <c r="AN87" s="13" t="inlineStr"/>
      <c r="AO87" s="19" t="inlineStr">
        <is>
          <t>Não</t>
        </is>
      </c>
      <c r="AP87" s="13" t="inlineStr"/>
      <c r="AQ87" s="13" t="inlineStr"/>
      <c r="AR87" s="15" t="inlineStr"/>
      <c r="AS87" s="15" t="inlineStr">
        <is>
          <t>NOTAS FISCAIS DE COMPRA JANEIRO 2026.pdf - p. 86</t>
        </is>
      </c>
    </row>
    <row r="88">
      <c r="A88" s="13" t="inlineStr">
        <is>
          <t>JAN26-P087</t>
        </is>
      </c>
      <c r="B88" s="13" t="n">
        <v>87</v>
      </c>
      <c r="C88" s="13" t="inlineStr">
        <is>
          <t>CT-e</t>
        </is>
      </c>
      <c r="D88" s="13" t="inlineStr">
        <is>
          <t>57</t>
        </is>
      </c>
      <c r="E88" s="13" t="inlineStr">
        <is>
          <t>409</t>
        </is>
      </c>
      <c r="F88" s="13" t="inlineStr">
        <is>
          <t>1</t>
        </is>
      </c>
      <c r="G88" s="25" t="n">
        <v>46032</v>
      </c>
      <c r="H88" s="25" t="n"/>
      <c r="I88" s="13" t="inlineStr">
        <is>
          <t>23260142709787000377570010000004091000000006</t>
        </is>
      </c>
      <c r="J88" s="13" t="inlineStr">
        <is>
          <t>F G INTELIGENCIA EM LOGISTICA LTDA</t>
        </is>
      </c>
      <c r="K88" s="13" t="inlineStr">
        <is>
          <t>42.709.787/0003-77</t>
        </is>
      </c>
      <c r="L88" s="13" t="inlineStr">
        <is>
          <t>23.655.038/0002-89</t>
        </is>
      </c>
      <c r="M88" s="13" t="inlineStr">
        <is>
          <t>SKAL /0002</t>
        </is>
      </c>
      <c r="N88" s="13" t="inlineStr">
        <is>
          <t>Fretes</t>
        </is>
      </c>
      <c r="O88" s="13" t="inlineStr">
        <is>
          <t>Frete de insumo - cimento</t>
        </is>
      </c>
      <c r="P88" s="15" t="inlineStr">
        <is>
          <t>Frete rodoviário de aquisição de cimento - remetente Companhia Industrial de Cimento Apodi.</t>
        </is>
      </c>
      <c r="Q88" s="16" t="n">
        <v>11683.9</v>
      </c>
      <c r="R88" s="16" t="n"/>
      <c r="S88" s="16" t="n"/>
      <c r="T88" s="16" t="n">
        <v>11683.9</v>
      </c>
      <c r="U88" s="16" t="n">
        <v>11683.9</v>
      </c>
      <c r="V88" s="17" t="n">
        <v>0.12</v>
      </c>
      <c r="W88" s="16" t="n">
        <v>1402.07</v>
      </c>
      <c r="X88" s="16" t="n"/>
      <c r="Y88" s="16" t="n"/>
      <c r="Z88" s="16" t="n"/>
      <c r="AA88" s="16" t="n"/>
      <c r="AB88" s="16" t="n"/>
      <c r="AC88" s="16" t="n"/>
      <c r="AD88" s="17" t="n"/>
      <c r="AE88" s="16" t="n"/>
      <c r="AF88" s="16" t="n"/>
      <c r="AG88" s="16" t="n"/>
      <c r="AH88" s="16" t="n"/>
      <c r="AI88" s="16" t="n"/>
      <c r="AJ88" s="16" t="n"/>
      <c r="AK88" s="16" t="n"/>
      <c r="AL88" s="16" t="n">
        <v>18656.55</v>
      </c>
      <c r="AM88" s="13" t="inlineStr">
        <is>
          <t>Alta</t>
        </is>
      </c>
      <c r="AN88" s="13" t="inlineStr"/>
      <c r="AO88" s="18" t="inlineStr">
        <is>
          <t>Sim</t>
        </is>
      </c>
      <c r="AP88" s="13" t="inlineStr"/>
      <c r="AQ88" s="13" t="inlineStr"/>
      <c r="AR88" s="15" t="inlineStr"/>
      <c r="AS88" s="15" t="inlineStr">
        <is>
          <t>NOTAS FISCAIS DE COMPRA JANEIRO 2026.pdf - p. 87</t>
        </is>
      </c>
    </row>
    <row r="89">
      <c r="A89" s="13" t="inlineStr">
        <is>
          <t>JAN26-P088</t>
        </is>
      </c>
      <c r="B89" s="13" t="n">
        <v>88</v>
      </c>
      <c r="C89" s="13" t="inlineStr">
        <is>
          <t>CT-e</t>
        </is>
      </c>
      <c r="D89" s="13" t="inlineStr">
        <is>
          <t>57</t>
        </is>
      </c>
      <c r="E89" s="13" t="inlineStr">
        <is>
          <t>408</t>
        </is>
      </c>
      <c r="F89" s="13" t="inlineStr">
        <is>
          <t>1</t>
        </is>
      </c>
      <c r="G89" s="25" t="n">
        <v>46031</v>
      </c>
      <c r="H89" s="25" t="n"/>
      <c r="I89" s="13" t="inlineStr">
        <is>
          <t>23260142709787000377570010000004081000000009</t>
        </is>
      </c>
      <c r="J89" s="13" t="inlineStr">
        <is>
          <t>F G INTELIGENCIA EM LOGISTICA LTDA</t>
        </is>
      </c>
      <c r="K89" s="13" t="inlineStr">
        <is>
          <t>42.709.787/0003-77</t>
        </is>
      </c>
      <c r="L89" s="13" t="inlineStr">
        <is>
          <t>23.655.038/0002-89</t>
        </is>
      </c>
      <c r="M89" s="13" t="inlineStr">
        <is>
          <t>SKAL /0002</t>
        </is>
      </c>
      <c r="N89" s="13" t="inlineStr">
        <is>
          <t>Fretes</t>
        </is>
      </c>
      <c r="O89" s="13" t="inlineStr">
        <is>
          <t>Frete de insumo - cimento</t>
        </is>
      </c>
      <c r="P89" s="15" t="inlineStr">
        <is>
          <t>Frete rodoviário de aquisição de cimento - remetente Companhia Industrial de Cimento Apodi.</t>
        </is>
      </c>
      <c r="Q89" s="16" t="n">
        <v>11776.9</v>
      </c>
      <c r="R89" s="16" t="n"/>
      <c r="S89" s="16" t="n"/>
      <c r="T89" s="16" t="n">
        <v>11776.9</v>
      </c>
      <c r="U89" s="16" t="n">
        <v>11776.9</v>
      </c>
      <c r="V89" s="17" t="n">
        <v>0.12</v>
      </c>
      <c r="W89" s="16" t="n">
        <v>1413.23</v>
      </c>
      <c r="X89" s="16" t="n"/>
      <c r="Y89" s="16" t="n"/>
      <c r="Z89" s="16" t="n"/>
      <c r="AA89" s="16" t="n"/>
      <c r="AB89" s="16" t="n"/>
      <c r="AC89" s="16" t="n"/>
      <c r="AD89" s="17" t="n"/>
      <c r="AE89" s="16" t="n"/>
      <c r="AF89" s="16" t="n"/>
      <c r="AG89" s="16" t="n"/>
      <c r="AH89" s="16" t="n"/>
      <c r="AI89" s="16" t="n"/>
      <c r="AJ89" s="16" t="n"/>
      <c r="AK89" s="16" t="n"/>
      <c r="AL89" s="16" t="n">
        <v>18805.05</v>
      </c>
      <c r="AM89" s="13" t="inlineStr">
        <is>
          <t>Alta</t>
        </is>
      </c>
      <c r="AN89" s="13" t="inlineStr"/>
      <c r="AO89" s="18" t="inlineStr">
        <is>
          <t>Sim</t>
        </is>
      </c>
      <c r="AP89" s="13" t="inlineStr"/>
      <c r="AQ89" s="13" t="inlineStr"/>
      <c r="AR89" s="15" t="inlineStr"/>
      <c r="AS89" s="15" t="inlineStr">
        <is>
          <t>NOTAS FISCAIS DE COMPRA JANEIRO 2026.pdf - p. 88</t>
        </is>
      </c>
    </row>
    <row r="90">
      <c r="A90" s="13" t="inlineStr">
        <is>
          <t>JAN26-P089</t>
        </is>
      </c>
      <c r="B90" s="13" t="n">
        <v>89</v>
      </c>
      <c r="C90" s="13" t="inlineStr">
        <is>
          <t>CT-e</t>
        </is>
      </c>
      <c r="D90" s="13" t="inlineStr">
        <is>
          <t>57</t>
        </is>
      </c>
      <c r="E90" s="13" t="inlineStr">
        <is>
          <t>407</t>
        </is>
      </c>
      <c r="F90" s="13" t="inlineStr">
        <is>
          <t>1</t>
        </is>
      </c>
      <c r="G90" s="25" t="n">
        <v>46031</v>
      </c>
      <c r="H90" s="25" t="n"/>
      <c r="I90" s="13" t="inlineStr">
        <is>
          <t>23260142709787000377570010000004071000000001</t>
        </is>
      </c>
      <c r="J90" s="13" t="inlineStr">
        <is>
          <t>F G INTELIGENCIA EM LOGISTICA LTDA</t>
        </is>
      </c>
      <c r="K90" s="13" t="inlineStr">
        <is>
          <t>42.709.787/0003-77</t>
        </is>
      </c>
      <c r="L90" s="13" t="inlineStr">
        <is>
          <t>23.655.038/0002-89</t>
        </is>
      </c>
      <c r="M90" s="13" t="inlineStr">
        <is>
          <t>SKAL /0002</t>
        </is>
      </c>
      <c r="N90" s="13" t="inlineStr">
        <is>
          <t>Fretes</t>
        </is>
      </c>
      <c r="O90" s="13" t="inlineStr">
        <is>
          <t>Frete de insumo - cimento</t>
        </is>
      </c>
      <c r="P90" s="15" t="inlineStr">
        <is>
          <t>Frete rodoviário de aquisição de cimento - remetente Companhia Industrial de Cimento Apodi.</t>
        </is>
      </c>
      <c r="Q90" s="16" t="n">
        <v>2307.5</v>
      </c>
      <c r="R90" s="16" t="n"/>
      <c r="S90" s="16" t="n"/>
      <c r="T90" s="16" t="n">
        <v>2307.5</v>
      </c>
      <c r="U90" s="16" t="n">
        <v>2307.5</v>
      </c>
      <c r="V90" s="17" t="n">
        <v>0.12</v>
      </c>
      <c r="W90" s="16" t="n">
        <v>276.9</v>
      </c>
      <c r="X90" s="16" t="n"/>
      <c r="Y90" s="16" t="n"/>
      <c r="Z90" s="16" t="n"/>
      <c r="AA90" s="16" t="n"/>
      <c r="AB90" s="16" t="n"/>
      <c r="AC90" s="16" t="n"/>
      <c r="AD90" s="17" t="n"/>
      <c r="AE90" s="16" t="n"/>
      <c r="AF90" s="16" t="n"/>
      <c r="AG90" s="16" t="n"/>
      <c r="AH90" s="16" t="n"/>
      <c r="AI90" s="16" t="n"/>
      <c r="AJ90" s="16" t="n"/>
      <c r="AK90" s="16" t="n"/>
      <c r="AL90" s="16" t="n">
        <v>15797.5</v>
      </c>
      <c r="AM90" s="13" t="inlineStr">
        <is>
          <t>Alta</t>
        </is>
      </c>
      <c r="AN90" s="13" t="inlineStr"/>
      <c r="AO90" s="18" t="inlineStr">
        <is>
          <t>Sim</t>
        </is>
      </c>
      <c r="AP90" s="13" t="inlineStr"/>
      <c r="AQ90" s="13" t="inlineStr"/>
      <c r="AR90" s="15" t="inlineStr"/>
      <c r="AS90" s="15" t="inlineStr">
        <is>
          <t>NOTAS FISCAIS DE COMPRA JANEIRO 2026.pdf - p. 89</t>
        </is>
      </c>
    </row>
    <row r="91">
      <c r="A91" s="13" t="inlineStr">
        <is>
          <t>JAN26-P090</t>
        </is>
      </c>
      <c r="B91" s="13" t="n">
        <v>90</v>
      </c>
      <c r="C91" s="13" t="inlineStr">
        <is>
          <t>CT-e</t>
        </is>
      </c>
      <c r="D91" s="13" t="inlineStr"/>
      <c r="E91" s="13" t="inlineStr">
        <is>
          <t>405</t>
        </is>
      </c>
      <c r="F91" s="13" t="inlineStr"/>
      <c r="G91" s="25" t="n">
        <v>46029</v>
      </c>
      <c r="H91" s="25" t="n"/>
      <c r="I91" s="13" t="inlineStr"/>
      <c r="J91" s="13" t="inlineStr">
        <is>
          <t>F G INTELIGENCIA EM LOGISTICA LTDA</t>
        </is>
      </c>
      <c r="K91" s="13" t="inlineStr">
        <is>
          <t>42.709.787/0003-77</t>
        </is>
      </c>
      <c r="L91" s="13" t="inlineStr">
        <is>
          <t>23.655.038/0002-89</t>
        </is>
      </c>
      <c r="M91" s="13" t="inlineStr">
        <is>
          <t>SKAL /0002</t>
        </is>
      </c>
      <c r="N91" s="13" t="inlineStr">
        <is>
          <t>Fretes</t>
        </is>
      </c>
      <c r="O91" s="13" t="inlineStr">
        <is>
          <t>Frete de insumo - cimento</t>
        </is>
      </c>
      <c r="P91" s="15" t="inlineStr">
        <is>
          <t>Frete rodoviário de aquisição de cimento - remetente Companhia Industrial de Cimento Apodi.</t>
        </is>
      </c>
      <c r="Q91" s="16" t="n">
        <v>11711.8</v>
      </c>
      <c r="R91" s="16" t="n"/>
      <c r="S91" s="16" t="n"/>
      <c r="T91" s="16" t="n">
        <v>11711.8</v>
      </c>
      <c r="U91" s="16" t="n">
        <v>11711.8</v>
      </c>
      <c r="V91" s="17" t="n">
        <v>0.12</v>
      </c>
      <c r="W91" s="16" t="n">
        <v>1405.42</v>
      </c>
      <c r="X91" s="16" t="n"/>
      <c r="Y91" s="16" t="n"/>
      <c r="Z91" s="16" t="n"/>
      <c r="AA91" s="16" t="n"/>
      <c r="AB91" s="16" t="n"/>
      <c r="AC91" s="16" t="n"/>
      <c r="AD91" s="17" t="n"/>
      <c r="AE91" s="16" t="n"/>
      <c r="AF91" s="16" t="n"/>
      <c r="AG91" s="16" t="n"/>
      <c r="AH91" s="16" t="n"/>
      <c r="AI91" s="16" t="n"/>
      <c r="AJ91" s="16" t="n"/>
      <c r="AK91" s="16" t="n"/>
      <c r="AL91" s="16" t="n">
        <v>18701.1</v>
      </c>
      <c r="AM91" s="13" t="inlineStr">
        <is>
          <t>Baixa</t>
        </is>
      </c>
      <c r="AN91" s="13" t="inlineStr"/>
      <c r="AO91" s="18" t="inlineStr">
        <is>
          <t>Sim</t>
        </is>
      </c>
      <c r="AP91" s="13" t="inlineStr"/>
      <c r="AQ91" s="13" t="inlineStr"/>
      <c r="AR91" s="15" t="inlineStr"/>
      <c r="AS91" s="15" t="inlineStr">
        <is>
          <t>NOTAS FISCAIS DE COMPRA JANEIRO 2026.pdf - p. 90</t>
        </is>
      </c>
    </row>
    <row r="92">
      <c r="A92" s="13" t="inlineStr">
        <is>
          <t>JAN26-P091</t>
        </is>
      </c>
      <c r="B92" s="13" t="n">
        <v>91</v>
      </c>
      <c r="C92" s="13" t="inlineStr">
        <is>
          <t>CT-e</t>
        </is>
      </c>
      <c r="D92" s="13" t="inlineStr">
        <is>
          <t>57</t>
        </is>
      </c>
      <c r="E92" s="13" t="inlineStr">
        <is>
          <t>401</t>
        </is>
      </c>
      <c r="F92" s="13" t="inlineStr">
        <is>
          <t>1</t>
        </is>
      </c>
      <c r="G92" s="25" t="n">
        <v>46028</v>
      </c>
      <c r="H92" s="25" t="n"/>
      <c r="I92" s="13" t="inlineStr">
        <is>
          <t>23260142709787000377570010000004011000000008</t>
        </is>
      </c>
      <c r="J92" s="13" t="inlineStr">
        <is>
          <t>F G INTELIGENCIA EM LOGISTICA LTDA</t>
        </is>
      </c>
      <c r="K92" s="13" t="inlineStr">
        <is>
          <t>42.709.787/0003-77</t>
        </is>
      </c>
      <c r="L92" s="13" t="inlineStr">
        <is>
          <t>23.655.038/0002-89</t>
        </is>
      </c>
      <c r="M92" s="13" t="inlineStr">
        <is>
          <t>SKAL /0002</t>
        </is>
      </c>
      <c r="N92" s="13" t="inlineStr">
        <is>
          <t>Fretes</t>
        </is>
      </c>
      <c r="O92" s="13" t="inlineStr">
        <is>
          <t>Frete de insumo - cimento</t>
        </is>
      </c>
      <c r="P92" s="15" t="inlineStr">
        <is>
          <t>Frete rodoviário de aquisição de cimento - remetente Companhia Industrial de Cimento Apodi.</t>
        </is>
      </c>
      <c r="Q92" s="16" t="n">
        <v>11764.5</v>
      </c>
      <c r="R92" s="16" t="n"/>
      <c r="S92" s="16" t="n"/>
      <c r="T92" s="16" t="n">
        <v>11764.5</v>
      </c>
      <c r="U92" s="16" t="n">
        <v>11764.5</v>
      </c>
      <c r="V92" s="17" t="n">
        <v>0.12</v>
      </c>
      <c r="W92" s="16" t="n">
        <v>1411.74</v>
      </c>
      <c r="X92" s="16" t="n"/>
      <c r="Y92" s="16" t="n"/>
      <c r="Z92" s="16" t="n"/>
      <c r="AA92" s="16" t="n"/>
      <c r="AB92" s="16" t="n"/>
      <c r="AC92" s="16" t="n"/>
      <c r="AD92" s="17" t="n"/>
      <c r="AE92" s="16" t="n"/>
      <c r="AF92" s="16" t="n"/>
      <c r="AG92" s="16" t="n"/>
      <c r="AH92" s="16" t="n"/>
      <c r="AI92" s="16" t="n"/>
      <c r="AJ92" s="16" t="n"/>
      <c r="AK92" s="16" t="n"/>
      <c r="AL92" s="16" t="n">
        <v>18785.25</v>
      </c>
      <c r="AM92" s="13" t="inlineStr">
        <is>
          <t>Alta</t>
        </is>
      </c>
      <c r="AN92" s="13" t="inlineStr"/>
      <c r="AO92" s="18" t="inlineStr">
        <is>
          <t>Sim</t>
        </is>
      </c>
      <c r="AP92" s="13" t="inlineStr"/>
      <c r="AQ92" s="13" t="inlineStr"/>
      <c r="AR92" s="15" t="inlineStr"/>
      <c r="AS92" s="15" t="inlineStr">
        <is>
          <t>NOTAS FISCAIS DE COMPRA JANEIRO 2026.pdf - p. 91</t>
        </is>
      </c>
    </row>
    <row r="93">
      <c r="A93" s="13" t="inlineStr">
        <is>
          <t>JAN26-P092</t>
        </is>
      </c>
      <c r="B93" s="13" t="n">
        <v>92</v>
      </c>
      <c r="C93" s="13" t="inlineStr">
        <is>
          <t>NF-e</t>
        </is>
      </c>
      <c r="D93" s="13" t="inlineStr"/>
      <c r="E93" s="13" t="inlineStr">
        <is>
          <t>535504</t>
        </is>
      </c>
      <c r="F93" s="13" t="inlineStr"/>
      <c r="G93" s="25" t="n">
        <v>46036</v>
      </c>
      <c r="H93" s="25" t="n"/>
      <c r="I93" s="13" t="inlineStr"/>
      <c r="J93" s="13" t="inlineStr">
        <is>
          <t>COMPANHIA INDUSTRIAL DE CIMENTO APODI</t>
        </is>
      </c>
      <c r="K93" s="13" t="inlineStr">
        <is>
          <t>10.260.249/0003-51</t>
        </is>
      </c>
      <c r="L93" s="13" t="inlineStr">
        <is>
          <t>23.655.038/0002-89</t>
        </is>
      </c>
      <c r="M93" s="13" t="inlineStr">
        <is>
          <t>SKAL /0002</t>
        </is>
      </c>
      <c r="N93" s="13" t="inlineStr">
        <is>
          <t>Produtos</t>
        </is>
      </c>
      <c r="O93" s="13" t="inlineStr">
        <is>
          <t>Cimento</t>
        </is>
      </c>
      <c r="P93" s="15" t="inlineStr">
        <is>
          <t>Cimento Portland / produção do estabelecimento - dados fiscais conforme DANFE.</t>
        </is>
      </c>
      <c r="Q93" s="16" t="n">
        <v>18676.35</v>
      </c>
      <c r="R93" s="16" t="n">
        <v>18676.35</v>
      </c>
      <c r="S93" s="16" t="n"/>
      <c r="T93" s="16" t="n"/>
      <c r="U93" s="16" t="n">
        <v>18676.35</v>
      </c>
      <c r="V93" s="17" t="n">
        <v>0.12</v>
      </c>
      <c r="W93" s="16" t="n">
        <v>2241.16</v>
      </c>
      <c r="X93" s="16" t="n"/>
      <c r="Y93" s="16" t="n"/>
      <c r="Z93" s="16" t="n"/>
      <c r="AA93" s="16" t="n"/>
      <c r="AB93" s="16" t="n"/>
      <c r="AC93" s="16" t="n"/>
      <c r="AD93" s="17" t="n"/>
      <c r="AE93" s="16" t="n"/>
      <c r="AF93" s="16" t="n"/>
      <c r="AG93" s="16" t="n"/>
      <c r="AH93" s="16" t="n"/>
      <c r="AI93" s="16" t="n"/>
      <c r="AJ93" s="16" t="n"/>
      <c r="AK93" s="16" t="n"/>
      <c r="AL93" s="16" t="n"/>
      <c r="AM93" s="13" t="inlineStr">
        <is>
          <t>Baixa</t>
        </is>
      </c>
      <c r="AN93" s="13" t="inlineStr"/>
      <c r="AO93" s="18" t="inlineStr">
        <is>
          <t>Sim</t>
        </is>
      </c>
      <c r="AP93" s="13" t="inlineStr"/>
      <c r="AQ93" s="13" t="inlineStr"/>
      <c r="AR93" s="15" t="inlineStr"/>
      <c r="AS93" s="15" t="inlineStr">
        <is>
          <t>NOTAS FISCAIS DE COMPRA JANEIRO 2026.pdf - p. 92</t>
        </is>
      </c>
    </row>
    <row r="94">
      <c r="A94" s="13" t="inlineStr">
        <is>
          <t>JAN26-P093</t>
        </is>
      </c>
      <c r="B94" s="13" t="n">
        <v>93</v>
      </c>
      <c r="C94" s="13" t="inlineStr">
        <is>
          <t>NF-e</t>
        </is>
      </c>
      <c r="D94" s="13" t="inlineStr"/>
      <c r="E94" s="13" t="inlineStr">
        <is>
          <t>535252</t>
        </is>
      </c>
      <c r="F94" s="13" t="inlineStr"/>
      <c r="G94" s="25" t="n">
        <v>46034</v>
      </c>
      <c r="H94" s="25" t="n"/>
      <c r="I94" s="13" t="inlineStr"/>
      <c r="J94" s="13" t="inlineStr">
        <is>
          <t>COMPANHIA INDUSTRIAL DE CIMENTO APODI</t>
        </is>
      </c>
      <c r="K94" s="13" t="inlineStr">
        <is>
          <t>10.260.249/0003-51</t>
        </is>
      </c>
      <c r="L94" s="13" t="inlineStr">
        <is>
          <t>23.655.038/0002-89</t>
        </is>
      </c>
      <c r="M94" s="13" t="inlineStr">
        <is>
          <t>SKAL /0002</t>
        </is>
      </c>
      <c r="N94" s="13" t="inlineStr">
        <is>
          <t>Produtos</t>
        </is>
      </c>
      <c r="O94" s="13" t="inlineStr">
        <is>
          <t>Cimento</t>
        </is>
      </c>
      <c r="P94" s="15" t="inlineStr">
        <is>
          <t>Cimento Portland / produção do estabelecimento - dados fiscais conforme DANFE.</t>
        </is>
      </c>
      <c r="Q94" s="16" t="n">
        <v>18720.9</v>
      </c>
      <c r="R94" s="16" t="n">
        <v>18720.9</v>
      </c>
      <c r="S94" s="16" t="n"/>
      <c r="T94" s="16" t="n"/>
      <c r="U94" s="16" t="n">
        <v>18720.9</v>
      </c>
      <c r="V94" s="17" t="n">
        <v>0.12</v>
      </c>
      <c r="W94" s="16" t="n">
        <v>2246.51</v>
      </c>
      <c r="X94" s="16" t="n"/>
      <c r="Y94" s="16" t="n"/>
      <c r="Z94" s="16" t="n"/>
      <c r="AA94" s="16" t="n"/>
      <c r="AB94" s="16" t="n"/>
      <c r="AC94" s="16" t="n"/>
      <c r="AD94" s="17" t="n"/>
      <c r="AE94" s="16" t="n"/>
      <c r="AF94" s="16" t="n"/>
      <c r="AG94" s="16" t="n"/>
      <c r="AH94" s="16" t="n"/>
      <c r="AI94" s="16" t="n"/>
      <c r="AJ94" s="16" t="n"/>
      <c r="AK94" s="16" t="n"/>
      <c r="AL94" s="16" t="n"/>
      <c r="AM94" s="13" t="inlineStr">
        <is>
          <t>Baixa</t>
        </is>
      </c>
      <c r="AN94" s="13" t="inlineStr"/>
      <c r="AO94" s="18" t="inlineStr">
        <is>
          <t>Sim</t>
        </is>
      </c>
      <c r="AP94" s="13" t="inlineStr"/>
      <c r="AQ94" s="13" t="inlineStr"/>
      <c r="AR94" s="15" t="inlineStr"/>
      <c r="AS94" s="15" t="inlineStr">
        <is>
          <t>NOTAS FISCAIS DE COMPRA JANEIRO 2026.pdf - p. 93</t>
        </is>
      </c>
    </row>
    <row r="95">
      <c r="A95" s="13" t="inlineStr">
        <is>
          <t>JAN26-P094</t>
        </is>
      </c>
      <c r="B95" s="13" t="n">
        <v>94</v>
      </c>
      <c r="C95" s="13" t="inlineStr">
        <is>
          <t>NF-e</t>
        </is>
      </c>
      <c r="D95" s="13" t="inlineStr"/>
      <c r="E95" s="13" t="inlineStr">
        <is>
          <t>535128</t>
        </is>
      </c>
      <c r="F95" s="13" t="inlineStr"/>
      <c r="G95" s="25" t="n">
        <v>46032</v>
      </c>
      <c r="H95" s="25" t="n"/>
      <c r="I95" s="13" t="inlineStr"/>
      <c r="J95" s="13" t="inlineStr">
        <is>
          <t>COMPANHIA INDUSTRIAL DE CIMENTO APODI</t>
        </is>
      </c>
      <c r="K95" s="13" t="inlineStr">
        <is>
          <t>10.260.249/0003-51</t>
        </is>
      </c>
      <c r="L95" s="13" t="inlineStr">
        <is>
          <t>23.655.038/0002-89</t>
        </is>
      </c>
      <c r="M95" s="13" t="inlineStr">
        <is>
          <t>SKAL /0002</t>
        </is>
      </c>
      <c r="N95" s="13" t="inlineStr">
        <is>
          <t>Produtos</t>
        </is>
      </c>
      <c r="O95" s="13" t="inlineStr">
        <is>
          <t>Cimento</t>
        </is>
      </c>
      <c r="P95" s="15" t="inlineStr">
        <is>
          <t>Cimento Portland / produção do estabelecimento - dados fiscais conforme DANFE.</t>
        </is>
      </c>
      <c r="Q95" s="16" t="n">
        <v>18656.55</v>
      </c>
      <c r="R95" s="16" t="n">
        <v>18656.55</v>
      </c>
      <c r="S95" s="16" t="n"/>
      <c r="T95" s="16" t="n"/>
      <c r="U95" s="16" t="n">
        <v>18656.55</v>
      </c>
      <c r="V95" s="17" t="n">
        <v>0.12</v>
      </c>
      <c r="W95" s="16" t="n">
        <v>2238.79</v>
      </c>
      <c r="X95" s="16" t="n"/>
      <c r="Y95" s="16" t="n"/>
      <c r="Z95" s="16" t="n"/>
      <c r="AA95" s="16" t="n"/>
      <c r="AB95" s="16" t="n"/>
      <c r="AC95" s="16" t="n"/>
      <c r="AD95" s="17" t="n"/>
      <c r="AE95" s="16" t="n"/>
      <c r="AF95" s="16" t="n"/>
      <c r="AG95" s="16" t="n"/>
      <c r="AH95" s="16" t="n"/>
      <c r="AI95" s="16" t="n"/>
      <c r="AJ95" s="16" t="n"/>
      <c r="AK95" s="16" t="n"/>
      <c r="AL95" s="16" t="n"/>
      <c r="AM95" s="13" t="inlineStr">
        <is>
          <t>Baixa</t>
        </is>
      </c>
      <c r="AN95" s="13" t="inlineStr"/>
      <c r="AO95" s="18" t="inlineStr">
        <is>
          <t>Sim</t>
        </is>
      </c>
      <c r="AP95" s="13" t="inlineStr"/>
      <c r="AQ95" s="13" t="inlineStr"/>
      <c r="AR95" s="15" t="inlineStr"/>
      <c r="AS95" s="15" t="inlineStr">
        <is>
          <t>NOTAS FISCAIS DE COMPRA JANEIRO 2026.pdf - p. 94</t>
        </is>
      </c>
    </row>
    <row r="96">
      <c r="A96" s="13" t="inlineStr">
        <is>
          <t>JAN26-P095</t>
        </is>
      </c>
      <c r="B96" s="13" t="n">
        <v>95</v>
      </c>
      <c r="C96" s="13" t="inlineStr">
        <is>
          <t>Outros/Documento</t>
        </is>
      </c>
      <c r="D96" s="13" t="inlineStr"/>
      <c r="E96" s="13" t="inlineStr"/>
      <c r="F96" s="13" t="inlineStr"/>
      <c r="G96" s="25" t="n"/>
      <c r="H96" s="25" t="n"/>
      <c r="I96" s="13" t="inlineStr"/>
      <c r="J96" s="13" t="inlineStr">
        <is>
          <t>© transporadorimotorista, cima Wdenticado, assume intera 9 irtatita rasponsabildade pela salda do Estado do Ceard das mercedorias deserias</t>
        </is>
      </c>
      <c r="K96" s="13" t="inlineStr"/>
      <c r="L96" s="13" t="inlineStr"/>
      <c r="M96" s="13" t="inlineStr"/>
      <c r="N96" s="13" t="inlineStr">
        <is>
          <t>Apoio</t>
        </is>
      </c>
      <c r="O96" s="13" t="inlineStr">
        <is>
          <t>Documento de apoio</t>
        </is>
      </c>
      <c r="P96" s="15" t="inlineStr"/>
      <c r="Q96" s="16" t="n"/>
      <c r="R96" s="16" t="n"/>
      <c r="S96" s="16" t="n"/>
      <c r="T96" s="16" t="n"/>
      <c r="U96" s="16" t="n"/>
      <c r="V96" s="17" t="n"/>
      <c r="W96" s="16" t="n"/>
      <c r="X96" s="16" t="n"/>
      <c r="Y96" s="16" t="n"/>
      <c r="Z96" s="16" t="n"/>
      <c r="AA96" s="16" t="n"/>
      <c r="AB96" s="16" t="n"/>
      <c r="AC96" s="16" t="n"/>
      <c r="AD96" s="17" t="n"/>
      <c r="AE96" s="16" t="n"/>
      <c r="AF96" s="16" t="n"/>
      <c r="AG96" s="16" t="n"/>
      <c r="AH96" s="16" t="n"/>
      <c r="AI96" s="16" t="n"/>
      <c r="AJ96" s="16" t="n"/>
      <c r="AK96" s="16" t="n"/>
      <c r="AL96" s="16" t="n"/>
      <c r="AM96" s="13" t="inlineStr">
        <is>
          <t>Baixa</t>
        </is>
      </c>
      <c r="AN96" s="13" t="inlineStr"/>
      <c r="AO96" s="19" t="inlineStr">
        <is>
          <t>Não</t>
        </is>
      </c>
      <c r="AP96" s="13" t="inlineStr"/>
      <c r="AQ96" s="13" t="inlineStr"/>
      <c r="AR96" s="15" t="inlineStr"/>
      <c r="AS96" s="15" t="inlineStr">
        <is>
          <t>NOTAS FISCAIS DE COMPRA JANEIRO 2026.pdf - p. 95</t>
        </is>
      </c>
    </row>
    <row r="97">
      <c r="A97" s="13" t="inlineStr">
        <is>
          <t>JAN26-P096</t>
        </is>
      </c>
      <c r="B97" s="13" t="n">
        <v>96</v>
      </c>
      <c r="C97" s="13" t="inlineStr">
        <is>
          <t>NF-e</t>
        </is>
      </c>
      <c r="D97" s="13" t="inlineStr"/>
      <c r="E97" s="13" t="inlineStr">
        <is>
          <t>534870</t>
        </is>
      </c>
      <c r="F97" s="13" t="inlineStr"/>
      <c r="G97" s="25" t="n">
        <v>46029</v>
      </c>
      <c r="H97" s="25" t="n"/>
      <c r="I97" s="13" t="inlineStr"/>
      <c r="J97" s="13" t="inlineStr">
        <is>
          <t>COMPANHIA INDUSTRIAL DE CIMENTO APODI</t>
        </is>
      </c>
      <c r="K97" s="13" t="inlineStr">
        <is>
          <t>10.260.249/0003-51</t>
        </is>
      </c>
      <c r="L97" s="13" t="inlineStr">
        <is>
          <t>23.655.038/0002-89</t>
        </is>
      </c>
      <c r="M97" s="13" t="inlineStr">
        <is>
          <t>SKAL /0002</t>
        </is>
      </c>
      <c r="N97" s="13" t="inlineStr">
        <is>
          <t>Produtos</t>
        </is>
      </c>
      <c r="O97" s="13" t="inlineStr">
        <is>
          <t>Cimento</t>
        </is>
      </c>
      <c r="P97" s="15" t="inlineStr">
        <is>
          <t>Cimento Portland / produção do estabelecimento - dados fiscais conforme DANFE.</t>
        </is>
      </c>
      <c r="Q97" s="16" t="n">
        <v>18701.1</v>
      </c>
      <c r="R97" s="16" t="n">
        <v>18701.1</v>
      </c>
      <c r="S97" s="16" t="n"/>
      <c r="T97" s="16" t="n"/>
      <c r="U97" s="16" t="n">
        <v>18701.1</v>
      </c>
      <c r="V97" s="17" t="n">
        <v>0.12</v>
      </c>
      <c r="W97" s="16" t="n">
        <v>2244.13</v>
      </c>
      <c r="X97" s="16" t="n"/>
      <c r="Y97" s="16" t="n"/>
      <c r="Z97" s="16" t="n"/>
      <c r="AA97" s="16" t="n"/>
      <c r="AB97" s="16" t="n"/>
      <c r="AC97" s="16" t="n"/>
      <c r="AD97" s="17" t="n"/>
      <c r="AE97" s="16" t="n"/>
      <c r="AF97" s="16" t="n"/>
      <c r="AG97" s="16" t="n"/>
      <c r="AH97" s="16" t="n"/>
      <c r="AI97" s="16" t="n"/>
      <c r="AJ97" s="16" t="n"/>
      <c r="AK97" s="16" t="n"/>
      <c r="AL97" s="16" t="n"/>
      <c r="AM97" s="13" t="inlineStr">
        <is>
          <t>Baixa</t>
        </is>
      </c>
      <c r="AN97" s="13" t="inlineStr"/>
      <c r="AO97" s="18" t="inlineStr">
        <is>
          <t>Sim</t>
        </is>
      </c>
      <c r="AP97" s="13" t="inlineStr"/>
      <c r="AQ97" s="13" t="inlineStr"/>
      <c r="AR97" s="15" t="inlineStr"/>
      <c r="AS97" s="15" t="inlineStr">
        <is>
          <t>NOTAS FISCAIS DE COMPRA JANEIRO 2026.pdf - p. 96</t>
        </is>
      </c>
    </row>
    <row r="98">
      <c r="A98" s="13" t="inlineStr">
        <is>
          <t>JAN26-P097</t>
        </is>
      </c>
      <c r="B98" s="13" t="n">
        <v>97</v>
      </c>
      <c r="C98" s="13" t="inlineStr">
        <is>
          <t>NF-e</t>
        </is>
      </c>
      <c r="D98" s="13" t="inlineStr"/>
      <c r="E98" s="13" t="inlineStr">
        <is>
          <t>534761</t>
        </is>
      </c>
      <c r="F98" s="13" t="inlineStr"/>
      <c r="G98" s="25" t="n">
        <v>46028</v>
      </c>
      <c r="H98" s="25" t="n"/>
      <c r="I98" s="13" t="inlineStr"/>
      <c r="J98" s="13" t="inlineStr">
        <is>
          <t>COMPANHIA INDUSTRIAL DE CIMENTO APODI</t>
        </is>
      </c>
      <c r="K98" s="13" t="inlineStr">
        <is>
          <t>10.260.249/0003-51</t>
        </is>
      </c>
      <c r="L98" s="13" t="inlineStr">
        <is>
          <t>23.655.038/0002-89</t>
        </is>
      </c>
      <c r="M98" s="13" t="inlineStr">
        <is>
          <t>SKAL /0002</t>
        </is>
      </c>
      <c r="N98" s="13" t="inlineStr">
        <is>
          <t>Produtos</t>
        </is>
      </c>
      <c r="O98" s="13" t="inlineStr">
        <is>
          <t>Cimento</t>
        </is>
      </c>
      <c r="P98" s="15" t="inlineStr">
        <is>
          <t>Cimento Portland / produção do estabelecimento - dados fiscais conforme DANFE.</t>
        </is>
      </c>
      <c r="Q98" s="16" t="n">
        <v>18785.25</v>
      </c>
      <c r="R98" s="16" t="n">
        <v>18785.25</v>
      </c>
      <c r="S98" s="16" t="n"/>
      <c r="T98" s="16" t="n"/>
      <c r="U98" s="16" t="n">
        <v>18785.25</v>
      </c>
      <c r="V98" s="17" t="n">
        <v>0.12</v>
      </c>
      <c r="W98" s="16" t="n">
        <v>2254.23</v>
      </c>
      <c r="X98" s="16" t="n"/>
      <c r="Y98" s="16" t="n"/>
      <c r="Z98" s="16" t="n"/>
      <c r="AA98" s="16" t="n"/>
      <c r="AB98" s="16" t="n"/>
      <c r="AC98" s="16" t="n"/>
      <c r="AD98" s="17" t="n"/>
      <c r="AE98" s="16" t="n"/>
      <c r="AF98" s="16" t="n"/>
      <c r="AG98" s="16" t="n"/>
      <c r="AH98" s="16" t="n"/>
      <c r="AI98" s="16" t="n"/>
      <c r="AJ98" s="16" t="n"/>
      <c r="AK98" s="16" t="n"/>
      <c r="AL98" s="16" t="n"/>
      <c r="AM98" s="13" t="inlineStr">
        <is>
          <t>Baixa</t>
        </is>
      </c>
      <c r="AN98" s="13" t="inlineStr"/>
      <c r="AO98" s="18" t="inlineStr">
        <is>
          <t>Sim</t>
        </is>
      </c>
      <c r="AP98" s="13" t="inlineStr"/>
      <c r="AQ98" s="13" t="inlineStr"/>
      <c r="AR98" s="15" t="inlineStr"/>
      <c r="AS98" s="15" t="inlineStr">
        <is>
          <t>NOTAS FISCAIS DE COMPRA JANEIRO 2026.pdf - p. 97</t>
        </is>
      </c>
    </row>
    <row r="99">
      <c r="A99" s="13" t="inlineStr">
        <is>
          <t>JAN26-P098</t>
        </is>
      </c>
      <c r="B99" s="13" t="n">
        <v>98</v>
      </c>
      <c r="C99" s="13" t="inlineStr">
        <is>
          <t>CT-e</t>
        </is>
      </c>
      <c r="D99" s="13" t="inlineStr">
        <is>
          <t>57</t>
        </is>
      </c>
      <c r="E99" s="13" t="inlineStr">
        <is>
          <t>373</t>
        </is>
      </c>
      <c r="F99" s="13" t="inlineStr">
        <is>
          <t>1</t>
        </is>
      </c>
      <c r="G99" s="25" t="n">
        <v>46004</v>
      </c>
      <c r="H99" s="25" t="n"/>
      <c r="I99" s="13" t="inlineStr">
        <is>
          <t>23251242709787000377570010000003731000000006</t>
        </is>
      </c>
      <c r="J99" s="13" t="inlineStr">
        <is>
          <t>F G INTELIGENCIA EM LOGISTICA LTDA</t>
        </is>
      </c>
      <c r="K99" s="13" t="inlineStr">
        <is>
          <t>42.709.787/0003-77</t>
        </is>
      </c>
      <c r="L99" s="13" t="inlineStr">
        <is>
          <t>23.655.038/0002-89</t>
        </is>
      </c>
      <c r="M99" s="13" t="inlineStr">
        <is>
          <t>SKAL /0002</t>
        </is>
      </c>
      <c r="N99" s="13" t="inlineStr">
        <is>
          <t>Fretes</t>
        </is>
      </c>
      <c r="O99" s="13" t="inlineStr">
        <is>
          <t>Frete de insumo - cimento</t>
        </is>
      </c>
      <c r="P99" s="15" t="inlineStr">
        <is>
          <t>Frete rodoviário de aquisição de cimento - remetente Companhia Industrial de Cimento Apodi.</t>
        </is>
      </c>
      <c r="Q99" s="16" t="n">
        <v>11795.5</v>
      </c>
      <c r="R99" s="16" t="n"/>
      <c r="S99" s="16" t="n"/>
      <c r="T99" s="16" t="n">
        <v>11795.5</v>
      </c>
      <c r="U99" s="16" t="n">
        <v>11795.5</v>
      </c>
      <c r="V99" s="17" t="n">
        <v>0.12</v>
      </c>
      <c r="W99" s="16" t="n">
        <v>1415.46</v>
      </c>
      <c r="X99" s="16" t="n"/>
      <c r="Y99" s="16" t="n"/>
      <c r="Z99" s="16" t="n"/>
      <c r="AA99" s="16" t="n"/>
      <c r="AB99" s="16" t="n"/>
      <c r="AC99" s="16" t="n"/>
      <c r="AD99" s="17" t="n"/>
      <c r="AE99" s="16" t="n"/>
      <c r="AF99" s="16" t="n"/>
      <c r="AG99" s="16" t="n"/>
      <c r="AH99" s="16" t="n"/>
      <c r="AI99" s="16" t="n"/>
      <c r="AJ99" s="16" t="n"/>
      <c r="AK99" s="16" t="n"/>
      <c r="AL99" s="16" t="n">
        <v>18834.75</v>
      </c>
      <c r="AM99" s="13" t="inlineStr">
        <is>
          <t>Alta</t>
        </is>
      </c>
      <c r="AN99" s="13" t="inlineStr"/>
      <c r="AO99" s="18" t="inlineStr">
        <is>
          <t>Sim</t>
        </is>
      </c>
      <c r="AP99" s="13" t="inlineStr"/>
      <c r="AQ99" s="13" t="inlineStr"/>
      <c r="AR99" s="15" t="inlineStr"/>
      <c r="AS99" s="15" t="inlineStr">
        <is>
          <t>NOTAS FISCAIS DE COMPRA JANEIRO 2026.pdf - p. 98</t>
        </is>
      </c>
    </row>
    <row r="100">
      <c r="A100" s="13" t="inlineStr">
        <is>
          <t>JAN26-P099</t>
        </is>
      </c>
      <c r="B100" s="13" t="n">
        <v>99</v>
      </c>
      <c r="C100" s="13" t="inlineStr">
        <is>
          <t>MDF-e</t>
        </is>
      </c>
      <c r="D100" s="13" t="inlineStr">
        <is>
          <t>58</t>
        </is>
      </c>
      <c r="E100" s="13" t="inlineStr">
        <is>
          <t>356</t>
        </is>
      </c>
      <c r="F100" s="13" t="inlineStr">
        <is>
          <t>1</t>
        </is>
      </c>
      <c r="G100" s="25" t="n"/>
      <c r="H100" s="25" t="n"/>
      <c r="I100" s="13" t="inlineStr">
        <is>
          <t>23251242709787000377580010000003561000000009</t>
        </is>
      </c>
      <c r="J100" s="13" t="inlineStr">
        <is>
          <t>comm Mes Tro Wwe SEOURADORAS A Ce: 3164 seo sagoourza</t>
        </is>
      </c>
      <c r="K100" s="13" t="inlineStr">
        <is>
          <t>42.709.787/0003-77</t>
        </is>
      </c>
      <c r="L100" s="13" t="inlineStr"/>
      <c r="M100" s="13" t="inlineStr"/>
      <c r="N100" s="13" t="inlineStr">
        <is>
          <t>Apoio</t>
        </is>
      </c>
      <c r="O100" s="13" t="inlineStr">
        <is>
          <t>Documento de apoio</t>
        </is>
      </c>
      <c r="P100" s="15" t="inlineStr"/>
      <c r="Q100" s="16" t="n"/>
      <c r="R100" s="16" t="n"/>
      <c r="S100" s="16" t="n"/>
      <c r="T100" s="16" t="n"/>
      <c r="U100" s="16" t="n"/>
      <c r="V100" s="17" t="n"/>
      <c r="W100" s="16" t="n"/>
      <c r="X100" s="16" t="n"/>
      <c r="Y100" s="16" t="n"/>
      <c r="Z100" s="16" t="n"/>
      <c r="AA100" s="16" t="n"/>
      <c r="AB100" s="16" t="n"/>
      <c r="AC100" s="16" t="n"/>
      <c r="AD100" s="17" t="n"/>
      <c r="AE100" s="16" t="n"/>
      <c r="AF100" s="16" t="n"/>
      <c r="AG100" s="16" t="n"/>
      <c r="AH100" s="16" t="n"/>
      <c r="AI100" s="16" t="n"/>
      <c r="AJ100" s="16" t="n"/>
      <c r="AK100" s="16" t="n"/>
      <c r="AL100" s="16" t="n"/>
      <c r="AM100" s="13" t="inlineStr">
        <is>
          <t>Alta</t>
        </is>
      </c>
      <c r="AN100" s="13" t="inlineStr"/>
      <c r="AO100" s="19" t="inlineStr">
        <is>
          <t>Não</t>
        </is>
      </c>
      <c r="AP100" s="13" t="inlineStr"/>
      <c r="AQ100" s="13" t="inlineStr"/>
      <c r="AR100" s="15" t="inlineStr"/>
      <c r="AS100" s="15" t="inlineStr">
        <is>
          <t>NOTAS FISCAIS DE COMPRA JANEIRO 2026.pdf - p. 99</t>
        </is>
      </c>
    </row>
    <row r="101">
      <c r="A101" s="13" t="inlineStr">
        <is>
          <t>JAN26-P100</t>
        </is>
      </c>
      <c r="B101" s="13" t="n">
        <v>100</v>
      </c>
      <c r="C101" s="13" t="inlineStr">
        <is>
          <t>CT-e</t>
        </is>
      </c>
      <c r="D101" s="13" t="inlineStr"/>
      <c r="E101" s="13" t="inlineStr">
        <is>
          <t>376</t>
        </is>
      </c>
      <c r="F101" s="13" t="inlineStr"/>
      <c r="G101" s="25" t="n">
        <v>46006</v>
      </c>
      <c r="H101" s="25" t="n"/>
      <c r="I101" s="13" t="inlineStr"/>
      <c r="J101" s="13" t="inlineStr">
        <is>
          <t>F G INTELIGENCIA EM LOGISTICA LTDA</t>
        </is>
      </c>
      <c r="K101" s="13" t="inlineStr">
        <is>
          <t>42.709.787/0003-77</t>
        </is>
      </c>
      <c r="L101" s="13" t="inlineStr">
        <is>
          <t>23.655.038/0002-89</t>
        </is>
      </c>
      <c r="M101" s="13" t="inlineStr">
        <is>
          <t>SKAL /0002</t>
        </is>
      </c>
      <c r="N101" s="13" t="inlineStr">
        <is>
          <t>Fretes</t>
        </is>
      </c>
      <c r="O101" s="13" t="inlineStr">
        <is>
          <t>Frete de insumo - cimento</t>
        </is>
      </c>
      <c r="P101" s="15" t="inlineStr">
        <is>
          <t>Frete rodoviário de aquisição de cimento - remetente Companhia Industrial de Cimento Apodi.</t>
        </is>
      </c>
      <c r="Q101" s="16" t="n">
        <v>11687</v>
      </c>
      <c r="R101" s="16" t="n"/>
      <c r="S101" s="16" t="n"/>
      <c r="T101" s="16" t="n">
        <v>11687</v>
      </c>
      <c r="U101" s="16" t="n">
        <v>11687</v>
      </c>
      <c r="V101" s="17" t="n">
        <v>0.12</v>
      </c>
      <c r="W101" s="16" t="n">
        <v>1402.44</v>
      </c>
      <c r="X101" s="16" t="n"/>
      <c r="Y101" s="16" t="n"/>
      <c r="Z101" s="16" t="n"/>
      <c r="AA101" s="16" t="n"/>
      <c r="AB101" s="16" t="n"/>
      <c r="AC101" s="16" t="n"/>
      <c r="AD101" s="17" t="n"/>
      <c r="AE101" s="16" t="n"/>
      <c r="AF101" s="16" t="n"/>
      <c r="AG101" s="16" t="n"/>
      <c r="AH101" s="16" t="n"/>
      <c r="AI101" s="16" t="n"/>
      <c r="AJ101" s="16" t="n"/>
      <c r="AK101" s="16" t="n"/>
      <c r="AL101" s="16" t="n">
        <v>18661.5</v>
      </c>
      <c r="AM101" s="13" t="inlineStr">
        <is>
          <t>Baixa</t>
        </is>
      </c>
      <c r="AN101" s="13" t="inlineStr"/>
      <c r="AO101" s="18" t="inlineStr">
        <is>
          <t>Sim</t>
        </is>
      </c>
      <c r="AP101" s="13" t="inlineStr"/>
      <c r="AQ101" s="13" t="inlineStr"/>
      <c r="AR101" s="15" t="inlineStr"/>
      <c r="AS101" s="15" t="inlineStr">
        <is>
          <t>NOTAS FISCAIS DE COMPRA JANEIRO 2026.pdf - p. 100</t>
        </is>
      </c>
    </row>
    <row r="102">
      <c r="A102" s="13" t="inlineStr">
        <is>
          <t>JAN26-P101</t>
        </is>
      </c>
      <c r="B102" s="13" t="n">
        <v>101</v>
      </c>
      <c r="C102" s="13" t="inlineStr">
        <is>
          <t>MDF-e</t>
        </is>
      </c>
      <c r="D102" s="13" t="inlineStr">
        <is>
          <t>58</t>
        </is>
      </c>
      <c r="E102" s="13" t="inlineStr">
        <is>
          <t>359</t>
        </is>
      </c>
      <c r="F102" s="13" t="inlineStr">
        <is>
          <t>1</t>
        </is>
      </c>
      <c r="G102" s="25" t="n"/>
      <c r="H102" s="25" t="n"/>
      <c r="I102" s="13" t="inlineStr">
        <is>
          <t>23251242709787000377580010000003591000000000</t>
        </is>
      </c>
      <c r="J102" s="13" t="inlineStr">
        <is>
          <t>It B7700.0 Ke IRS 18.66),50 [paszaeoesedsoet sae Di nto</t>
        </is>
      </c>
      <c r="K102" s="13" t="inlineStr">
        <is>
          <t>42.709.787/0003-77</t>
        </is>
      </c>
      <c r="L102" s="13" t="inlineStr"/>
      <c r="M102" s="13" t="inlineStr"/>
      <c r="N102" s="13" t="inlineStr">
        <is>
          <t>Apoio</t>
        </is>
      </c>
      <c r="O102" s="13" t="inlineStr">
        <is>
          <t>Documento de apoio</t>
        </is>
      </c>
      <c r="P102" s="15" t="inlineStr"/>
      <c r="Q102" s="16" t="n"/>
      <c r="R102" s="16" t="n"/>
      <c r="S102" s="16" t="n"/>
      <c r="T102" s="16" t="n"/>
      <c r="U102" s="16" t="n"/>
      <c r="V102" s="17" t="n"/>
      <c r="W102" s="16" t="n"/>
      <c r="X102" s="16" t="n"/>
      <c r="Y102" s="16" t="n"/>
      <c r="Z102" s="16" t="n"/>
      <c r="AA102" s="16" t="n"/>
      <c r="AB102" s="16" t="n"/>
      <c r="AC102" s="16" t="n"/>
      <c r="AD102" s="17" t="n"/>
      <c r="AE102" s="16" t="n"/>
      <c r="AF102" s="16" t="n"/>
      <c r="AG102" s="16" t="n"/>
      <c r="AH102" s="16" t="n"/>
      <c r="AI102" s="16" t="n"/>
      <c r="AJ102" s="16" t="n"/>
      <c r="AK102" s="16" t="n"/>
      <c r="AL102" s="16" t="n"/>
      <c r="AM102" s="13" t="inlineStr">
        <is>
          <t>Alta</t>
        </is>
      </c>
      <c r="AN102" s="13" t="inlineStr"/>
      <c r="AO102" s="19" t="inlineStr">
        <is>
          <t>Não</t>
        </is>
      </c>
      <c r="AP102" s="13" t="inlineStr"/>
      <c r="AQ102" s="13" t="inlineStr"/>
      <c r="AR102" s="15" t="inlineStr"/>
      <c r="AS102" s="15" t="inlineStr">
        <is>
          <t>NOTAS FISCAIS DE COMPRA JANEIRO 2026.pdf - p. 101</t>
        </is>
      </c>
    </row>
    <row r="103">
      <c r="A103" s="13" t="inlineStr">
        <is>
          <t>JAN26-P102</t>
        </is>
      </c>
      <c r="B103" s="13" t="n">
        <v>102</v>
      </c>
      <c r="C103" s="13" t="inlineStr">
        <is>
          <t>CT-e</t>
        </is>
      </c>
      <c r="D103" s="13" t="inlineStr"/>
      <c r="E103" s="13" t="inlineStr">
        <is>
          <t>381</t>
        </is>
      </c>
      <c r="F103" s="13" t="inlineStr"/>
      <c r="G103" s="25" t="n">
        <v>46008</v>
      </c>
      <c r="H103" s="25" t="n"/>
      <c r="I103" s="13" t="inlineStr"/>
      <c r="J103" s="13" t="inlineStr">
        <is>
          <t>F G INTELIGENCIA EM LOGISTICA LTDA</t>
        </is>
      </c>
      <c r="K103" s="13" t="inlineStr">
        <is>
          <t>42.709.787/0003-77</t>
        </is>
      </c>
      <c r="L103" s="13" t="inlineStr">
        <is>
          <t>23.655.038/0002-89</t>
        </is>
      </c>
      <c r="M103" s="13" t="inlineStr">
        <is>
          <t>SKAL /0002</t>
        </is>
      </c>
      <c r="N103" s="13" t="inlineStr">
        <is>
          <t>Fretes</t>
        </is>
      </c>
      <c r="O103" s="13" t="inlineStr">
        <is>
          <t>Frete de insumo - cimento</t>
        </is>
      </c>
      <c r="P103" s="15" t="inlineStr">
        <is>
          <t>Frete rodoviário de aquisição de cimento - remetente Companhia Industrial de Cimento Apodi.</t>
        </is>
      </c>
      <c r="Q103" s="16" t="n">
        <v>11780</v>
      </c>
      <c r="R103" s="16" t="n"/>
      <c r="S103" s="16" t="n"/>
      <c r="T103" s="16" t="n">
        <v>11780</v>
      </c>
      <c r="U103" s="16" t="n">
        <v>11780</v>
      </c>
      <c r="V103" s="17" t="n">
        <v>0.12</v>
      </c>
      <c r="W103" s="16" t="n">
        <v>1413.6</v>
      </c>
      <c r="X103" s="16" t="n"/>
      <c r="Y103" s="16" t="n"/>
      <c r="Z103" s="16" t="n"/>
      <c r="AA103" s="16" t="n"/>
      <c r="AB103" s="16" t="n"/>
      <c r="AC103" s="16" t="n"/>
      <c r="AD103" s="17" t="n"/>
      <c r="AE103" s="16" t="n"/>
      <c r="AF103" s="16" t="n"/>
      <c r="AG103" s="16" t="n"/>
      <c r="AH103" s="16" t="n"/>
      <c r="AI103" s="16" t="n"/>
      <c r="AJ103" s="16" t="n"/>
      <c r="AK103" s="16" t="n"/>
      <c r="AL103" s="16" t="n">
        <v>18810</v>
      </c>
      <c r="AM103" s="13" t="inlineStr">
        <is>
          <t>Baixa</t>
        </is>
      </c>
      <c r="AN103" s="13" t="inlineStr"/>
      <c r="AO103" s="18" t="inlineStr">
        <is>
          <t>Sim</t>
        </is>
      </c>
      <c r="AP103" s="13" t="inlineStr"/>
      <c r="AQ103" s="13" t="inlineStr"/>
      <c r="AR103" s="15" t="inlineStr"/>
      <c r="AS103" s="15" t="inlineStr">
        <is>
          <t>NOTAS FISCAIS DE COMPRA JANEIRO 2026.pdf - p. 102</t>
        </is>
      </c>
    </row>
    <row r="104">
      <c r="A104" s="13" t="inlineStr">
        <is>
          <t>JAN26-P103</t>
        </is>
      </c>
      <c r="B104" s="13" t="n">
        <v>103</v>
      </c>
      <c r="C104" s="13" t="inlineStr">
        <is>
          <t>MDF-e</t>
        </is>
      </c>
      <c r="D104" s="13" t="inlineStr">
        <is>
          <t>58</t>
        </is>
      </c>
      <c r="E104" s="13" t="inlineStr">
        <is>
          <t>364</t>
        </is>
      </c>
      <c r="F104" s="13" t="inlineStr">
        <is>
          <t>1</t>
        </is>
      </c>
      <c r="G104" s="25" t="n"/>
      <c r="H104" s="25" t="n"/>
      <c r="I104" s="13" t="inlineStr">
        <is>
          <t>23251242709787000377580010000003641000000000</t>
        </is>
      </c>
      <c r="J104" s="13" t="inlineStr">
        <is>
          <t>A PG INTELIGENCIA ELALOGISTICA LTDA ”</t>
        </is>
      </c>
      <c r="K104" s="13" t="inlineStr">
        <is>
          <t>42.709.787/0003-77</t>
        </is>
      </c>
      <c r="L104" s="13" t="inlineStr"/>
      <c r="M104" s="13" t="inlineStr"/>
      <c r="N104" s="13" t="inlineStr">
        <is>
          <t>Apoio</t>
        </is>
      </c>
      <c r="O104" s="13" t="inlineStr">
        <is>
          <t>Documento de apoio</t>
        </is>
      </c>
      <c r="P104" s="15" t="inlineStr"/>
      <c r="Q104" s="16" t="n"/>
      <c r="R104" s="16" t="n"/>
      <c r="S104" s="16" t="n"/>
      <c r="T104" s="16" t="n"/>
      <c r="U104" s="16" t="n"/>
      <c r="V104" s="17" t="n"/>
      <c r="W104" s="16" t="n"/>
      <c r="X104" s="16" t="n"/>
      <c r="Y104" s="16" t="n"/>
      <c r="Z104" s="16" t="n"/>
      <c r="AA104" s="16" t="n"/>
      <c r="AB104" s="16" t="n"/>
      <c r="AC104" s="16" t="n"/>
      <c r="AD104" s="17" t="n"/>
      <c r="AE104" s="16" t="n"/>
      <c r="AF104" s="16" t="n"/>
      <c r="AG104" s="16" t="n"/>
      <c r="AH104" s="16" t="n"/>
      <c r="AI104" s="16" t="n"/>
      <c r="AJ104" s="16" t="n"/>
      <c r="AK104" s="16" t="n"/>
      <c r="AL104" s="16" t="n"/>
      <c r="AM104" s="13" t="inlineStr">
        <is>
          <t>Alta</t>
        </is>
      </c>
      <c r="AN104" s="13" t="inlineStr"/>
      <c r="AO104" s="19" t="inlineStr">
        <is>
          <t>Não</t>
        </is>
      </c>
      <c r="AP104" s="13" t="inlineStr"/>
      <c r="AQ104" s="13" t="inlineStr"/>
      <c r="AR104" s="15" t="inlineStr"/>
      <c r="AS104" s="15" t="inlineStr">
        <is>
          <t>NOTAS FISCAIS DE COMPRA JANEIRO 2026.pdf - p. 103</t>
        </is>
      </c>
    </row>
    <row r="105">
      <c r="A105" s="13" t="inlineStr">
        <is>
          <t>JAN26-P104</t>
        </is>
      </c>
      <c r="B105" s="13" t="n">
        <v>104</v>
      </c>
      <c r="C105" s="13" t="inlineStr">
        <is>
          <t>CT-e</t>
        </is>
      </c>
      <c r="D105" s="13" t="inlineStr">
        <is>
          <t>57</t>
        </is>
      </c>
      <c r="E105" s="13" t="inlineStr">
        <is>
          <t>383</t>
        </is>
      </c>
      <c r="F105" s="13" t="inlineStr">
        <is>
          <t>1</t>
        </is>
      </c>
      <c r="G105" s="25" t="n">
        <v>46008</v>
      </c>
      <c r="H105" s="25" t="n"/>
      <c r="I105" s="13" t="inlineStr">
        <is>
          <t>23251242709787000377570010000003831000000002</t>
        </is>
      </c>
      <c r="J105" s="13" t="inlineStr">
        <is>
          <t>F G INTELIGENCIA EM LOGISTICA LTDA</t>
        </is>
      </c>
      <c r="K105" s="13" t="inlineStr">
        <is>
          <t>42.709.787/0003-77</t>
        </is>
      </c>
      <c r="L105" s="13" t="inlineStr">
        <is>
          <t>23.655.038/0002-89</t>
        </is>
      </c>
      <c r="M105" s="13" t="inlineStr">
        <is>
          <t>SKAL /0002</t>
        </is>
      </c>
      <c r="N105" s="13" t="inlineStr">
        <is>
          <t>Fretes</t>
        </is>
      </c>
      <c r="O105" s="13" t="inlineStr">
        <is>
          <t>Frete de insumo - cimento</t>
        </is>
      </c>
      <c r="P105" s="15" t="inlineStr">
        <is>
          <t>Frete rodoviário de aquisição de cimento - remetente Companhia Industrial de Cimento Apodi.</t>
        </is>
      </c>
      <c r="Q105" s="16" t="n">
        <v>11383.2</v>
      </c>
      <c r="R105" s="16" t="n"/>
      <c r="S105" s="16" t="n"/>
      <c r="T105" s="16" t="n">
        <v>11383.2</v>
      </c>
      <c r="U105" s="16" t="n">
        <v>11383.2</v>
      </c>
      <c r="V105" s="17" t="n">
        <v>0.12</v>
      </c>
      <c r="W105" s="16" t="n">
        <v>1365.98</v>
      </c>
      <c r="X105" s="16" t="n"/>
      <c r="Y105" s="16" t="n"/>
      <c r="Z105" s="16" t="n"/>
      <c r="AA105" s="16" t="n"/>
      <c r="AB105" s="16" t="n"/>
      <c r="AC105" s="16" t="n"/>
      <c r="AD105" s="17" t="n"/>
      <c r="AE105" s="16" t="n"/>
      <c r="AF105" s="16" t="n"/>
      <c r="AG105" s="16" t="n"/>
      <c r="AH105" s="16" t="n"/>
      <c r="AI105" s="16" t="n"/>
      <c r="AJ105" s="16" t="n"/>
      <c r="AK105" s="16" t="n"/>
      <c r="AL105" s="16" t="n">
        <v>18176.4</v>
      </c>
      <c r="AM105" s="13" t="inlineStr">
        <is>
          <t>Alta</t>
        </is>
      </c>
      <c r="AN105" s="13" t="inlineStr"/>
      <c r="AO105" s="18" t="inlineStr">
        <is>
          <t>Sim</t>
        </is>
      </c>
      <c r="AP105" s="13" t="inlineStr"/>
      <c r="AQ105" s="13" t="inlineStr"/>
      <c r="AR105" s="15" t="inlineStr"/>
      <c r="AS105" s="15" t="inlineStr">
        <is>
          <t>NOTAS FISCAIS DE COMPRA JANEIRO 2026.pdf - p. 104</t>
        </is>
      </c>
    </row>
    <row r="106">
      <c r="A106" s="13" t="inlineStr">
        <is>
          <t>JAN26-P105</t>
        </is>
      </c>
      <c r="B106" s="13" t="n">
        <v>105</v>
      </c>
      <c r="C106" s="13" t="inlineStr">
        <is>
          <t>MDF-e</t>
        </is>
      </c>
      <c r="D106" s="13" t="inlineStr">
        <is>
          <t>58</t>
        </is>
      </c>
      <c r="E106" s="13" t="inlineStr">
        <is>
          <t>366</t>
        </is>
      </c>
      <c r="F106" s="13" t="inlineStr">
        <is>
          <t>1</t>
        </is>
      </c>
      <c r="G106" s="25" t="n"/>
      <c r="H106" s="25" t="n"/>
      <c r="I106" s="13" t="inlineStr">
        <is>
          <t>23251242709787000377580010000003661000000005</t>
        </is>
      </c>
      <c r="J106" s="13" t="inlineStr">
        <is>
          <t>"Che de scenue para connate de eutectic 70 uh me-ponantax gor br Cu 09 SNE</t>
        </is>
      </c>
      <c r="K106" s="13" t="inlineStr">
        <is>
          <t>42.709.787/0003-77</t>
        </is>
      </c>
      <c r="L106" s="13" t="inlineStr"/>
      <c r="M106" s="13" t="inlineStr"/>
      <c r="N106" s="13" t="inlineStr">
        <is>
          <t>Apoio</t>
        </is>
      </c>
      <c r="O106" s="13" t="inlineStr">
        <is>
          <t>Documento de apoio</t>
        </is>
      </c>
      <c r="P106" s="15" t="inlineStr"/>
      <c r="Q106" s="16" t="n"/>
      <c r="R106" s="16" t="n"/>
      <c r="S106" s="16" t="n"/>
      <c r="T106" s="16" t="n"/>
      <c r="U106" s="16" t="n"/>
      <c r="V106" s="17" t="n"/>
      <c r="W106" s="16" t="n"/>
      <c r="X106" s="16" t="n"/>
      <c r="Y106" s="16" t="n"/>
      <c r="Z106" s="16" t="n"/>
      <c r="AA106" s="16" t="n"/>
      <c r="AB106" s="16" t="n"/>
      <c r="AC106" s="16" t="n"/>
      <c r="AD106" s="17" t="n"/>
      <c r="AE106" s="16" t="n"/>
      <c r="AF106" s="16" t="n"/>
      <c r="AG106" s="16" t="n"/>
      <c r="AH106" s="16" t="n"/>
      <c r="AI106" s="16" t="n"/>
      <c r="AJ106" s="16" t="n"/>
      <c r="AK106" s="16" t="n"/>
      <c r="AL106" s="16" t="n"/>
      <c r="AM106" s="13" t="inlineStr">
        <is>
          <t>Alta</t>
        </is>
      </c>
      <c r="AN106" s="13" t="inlineStr"/>
      <c r="AO106" s="19" t="inlineStr">
        <is>
          <t>Não</t>
        </is>
      </c>
      <c r="AP106" s="13" t="inlineStr"/>
      <c r="AQ106" s="13" t="inlineStr"/>
      <c r="AR106" s="15" t="inlineStr"/>
      <c r="AS106" s="15" t="inlineStr">
        <is>
          <t>NOTAS FISCAIS DE COMPRA JANEIRO 2026.pdf - p. 105</t>
        </is>
      </c>
    </row>
    <row r="107">
      <c r="A107" s="13" t="inlineStr">
        <is>
          <t>JAN26-P106</t>
        </is>
      </c>
      <c r="B107" s="13" t="n">
        <v>106</v>
      </c>
      <c r="C107" s="13" t="inlineStr">
        <is>
          <t>CT-e</t>
        </is>
      </c>
      <c r="D107" s="13" t="inlineStr"/>
      <c r="E107" s="13" t="inlineStr">
        <is>
          <t>385</t>
        </is>
      </c>
      <c r="F107" s="13" t="inlineStr"/>
      <c r="G107" s="25" t="n">
        <v>46009</v>
      </c>
      <c r="H107" s="25" t="n"/>
      <c r="I107" s="13" t="inlineStr"/>
      <c r="J107" s="13" t="inlineStr">
        <is>
          <t>F G INTELIGENCIA EM LOGISTICA LTDA</t>
        </is>
      </c>
      <c r="K107" s="13" t="inlineStr">
        <is>
          <t>42.709.787/0003-77</t>
        </is>
      </c>
      <c r="L107" s="13" t="inlineStr">
        <is>
          <t>23.655.038/0002-89</t>
        </is>
      </c>
      <c r="M107" s="13" t="inlineStr">
        <is>
          <t>SKAL /0002</t>
        </is>
      </c>
      <c r="N107" s="13" t="inlineStr">
        <is>
          <t>Fretes</t>
        </is>
      </c>
      <c r="O107" s="13" t="inlineStr">
        <is>
          <t>Frete de insumo - cimento</t>
        </is>
      </c>
      <c r="P107" s="15" t="inlineStr">
        <is>
          <t>Frete rodoviário de aquisição de cimento - remetente Companhia Industrial de Cimento Apodi.</t>
        </is>
      </c>
      <c r="Q107" s="16" t="n">
        <v>11727.3</v>
      </c>
      <c r="R107" s="16" t="n"/>
      <c r="S107" s="16" t="n"/>
      <c r="T107" s="16" t="n">
        <v>11727.3</v>
      </c>
      <c r="U107" s="16" t="n">
        <v>11727.3</v>
      </c>
      <c r="V107" s="17" t="n">
        <v>0.12</v>
      </c>
      <c r="W107" s="16" t="n">
        <v>1407.28</v>
      </c>
      <c r="X107" s="16" t="n"/>
      <c r="Y107" s="16" t="n"/>
      <c r="Z107" s="16" t="n"/>
      <c r="AA107" s="16" t="n"/>
      <c r="AB107" s="16" t="n"/>
      <c r="AC107" s="16" t="n"/>
      <c r="AD107" s="17" t="n"/>
      <c r="AE107" s="16" t="n"/>
      <c r="AF107" s="16" t="n"/>
      <c r="AG107" s="16" t="n"/>
      <c r="AH107" s="16" t="n"/>
      <c r="AI107" s="16" t="n"/>
      <c r="AJ107" s="16" t="n"/>
      <c r="AK107" s="16" t="n"/>
      <c r="AL107" s="16" t="n">
        <v>18725.85</v>
      </c>
      <c r="AM107" s="13" t="inlineStr">
        <is>
          <t>Baixa</t>
        </is>
      </c>
      <c r="AN107" s="13" t="inlineStr"/>
      <c r="AO107" s="18" t="inlineStr">
        <is>
          <t>Sim</t>
        </is>
      </c>
      <c r="AP107" s="13" t="inlineStr"/>
      <c r="AQ107" s="13" t="inlineStr"/>
      <c r="AR107" s="15" t="inlineStr"/>
      <c r="AS107" s="15" t="inlineStr">
        <is>
          <t>NOTAS FISCAIS DE COMPRA JANEIRO 2026.pdf - p. 106</t>
        </is>
      </c>
    </row>
    <row r="108">
      <c r="A108" s="13" t="inlineStr">
        <is>
          <t>JAN26-P107</t>
        </is>
      </c>
      <c r="B108" s="13" t="n">
        <v>107</v>
      </c>
      <c r="C108" s="13" t="inlineStr">
        <is>
          <t>MDF-e</t>
        </is>
      </c>
      <c r="D108" s="13" t="inlineStr">
        <is>
          <t>58</t>
        </is>
      </c>
      <c r="E108" s="13" t="inlineStr">
        <is>
          <t>368</t>
        </is>
      </c>
      <c r="F108" s="13" t="inlineStr">
        <is>
          <t>1</t>
        </is>
      </c>
      <c r="G108" s="25" t="n"/>
      <c r="H108" s="25" t="n"/>
      <c r="I108" s="13" t="inlineStr">
        <is>
          <t>23251242709787000377580010000003681000000000</t>
        </is>
      </c>
      <c r="J108" s="13" t="inlineStr">
        <is>
          <t>"Shave te Snes nate aarti mea ata ac 4 gGn i a Slek</t>
        </is>
      </c>
      <c r="K108" s="13" t="inlineStr">
        <is>
          <t>42.709.787/0003-77</t>
        </is>
      </c>
      <c r="L108" s="13" t="inlineStr"/>
      <c r="M108" s="13" t="inlineStr"/>
      <c r="N108" s="13" t="inlineStr">
        <is>
          <t>Apoio</t>
        </is>
      </c>
      <c r="O108" s="13" t="inlineStr">
        <is>
          <t>Documento de apoio</t>
        </is>
      </c>
      <c r="P108" s="15" t="inlineStr"/>
      <c r="Q108" s="16" t="n"/>
      <c r="R108" s="16" t="n"/>
      <c r="S108" s="16" t="n"/>
      <c r="T108" s="16" t="n"/>
      <c r="U108" s="16" t="n"/>
      <c r="V108" s="17" t="n"/>
      <c r="W108" s="16" t="n"/>
      <c r="X108" s="16" t="n"/>
      <c r="Y108" s="16" t="n"/>
      <c r="Z108" s="16" t="n"/>
      <c r="AA108" s="16" t="n"/>
      <c r="AB108" s="16" t="n"/>
      <c r="AC108" s="16" t="n"/>
      <c r="AD108" s="17" t="n"/>
      <c r="AE108" s="16" t="n"/>
      <c r="AF108" s="16" t="n"/>
      <c r="AG108" s="16" t="n"/>
      <c r="AH108" s="16" t="n"/>
      <c r="AI108" s="16" t="n"/>
      <c r="AJ108" s="16" t="n"/>
      <c r="AK108" s="16" t="n"/>
      <c r="AL108" s="16" t="n"/>
      <c r="AM108" s="13" t="inlineStr">
        <is>
          <t>Alta</t>
        </is>
      </c>
      <c r="AN108" s="13" t="inlineStr"/>
      <c r="AO108" s="19" t="inlineStr">
        <is>
          <t>Não</t>
        </is>
      </c>
      <c r="AP108" s="13" t="inlineStr"/>
      <c r="AQ108" s="13" t="inlineStr"/>
      <c r="AR108" s="15" t="inlineStr"/>
      <c r="AS108" s="15" t="inlineStr">
        <is>
          <t>NOTAS FISCAIS DE COMPRA JANEIRO 2026.pdf - p. 107</t>
        </is>
      </c>
    </row>
    <row r="109">
      <c r="A109" s="13" t="inlineStr">
        <is>
          <t>JAN26-P108</t>
        </is>
      </c>
      <c r="B109" s="13" t="n">
        <v>108</v>
      </c>
      <c r="C109" s="13" t="inlineStr">
        <is>
          <t>CT-e</t>
        </is>
      </c>
      <c r="D109" s="13" t="inlineStr">
        <is>
          <t>57</t>
        </is>
      </c>
      <c r="E109" s="13" t="inlineStr">
        <is>
          <t>389</t>
        </is>
      </c>
      <c r="F109" s="13" t="inlineStr">
        <is>
          <t>1</t>
        </is>
      </c>
      <c r="G109" s="25" t="n">
        <v>46011</v>
      </c>
      <c r="H109" s="25" t="n"/>
      <c r="I109" s="13" t="inlineStr">
        <is>
          <t>23251242709787000377570010000003891000000006</t>
        </is>
      </c>
      <c r="J109" s="13" t="inlineStr">
        <is>
          <t>F G INTELIGENCIA EM LOGISTICA LTDA</t>
        </is>
      </c>
      <c r="K109" s="13" t="inlineStr">
        <is>
          <t>42.709.787/0003-77</t>
        </is>
      </c>
      <c r="L109" s="13" t="inlineStr">
        <is>
          <t>23.655.038/0002-89</t>
        </is>
      </c>
      <c r="M109" s="13" t="inlineStr">
        <is>
          <t>SKAL /0002</t>
        </is>
      </c>
      <c r="N109" s="13" t="inlineStr">
        <is>
          <t>Fretes</t>
        </is>
      </c>
      <c r="O109" s="13" t="inlineStr">
        <is>
          <t>Frete de insumo - cimento</t>
        </is>
      </c>
      <c r="P109" s="15" t="inlineStr">
        <is>
          <t>Frete rodoviário de aquisição de cimento - remetente Companhia Industrial de Cimento Apodi.</t>
        </is>
      </c>
      <c r="Q109" s="16" t="n">
        <v>11612.6</v>
      </c>
      <c r="R109" s="16" t="n"/>
      <c r="S109" s="16" t="n"/>
      <c r="T109" s="16" t="n">
        <v>11612.6</v>
      </c>
      <c r="U109" s="16" t="n">
        <v>11612.6</v>
      </c>
      <c r="V109" s="17" t="n">
        <v>0.12</v>
      </c>
      <c r="W109" s="16" t="n">
        <v>1393.51</v>
      </c>
      <c r="X109" s="16" t="n"/>
      <c r="Y109" s="16" t="n"/>
      <c r="Z109" s="16" t="n"/>
      <c r="AA109" s="16" t="n"/>
      <c r="AB109" s="16" t="n"/>
      <c r="AC109" s="16" t="n"/>
      <c r="AD109" s="17" t="n"/>
      <c r="AE109" s="16" t="n"/>
      <c r="AF109" s="16" t="n"/>
      <c r="AG109" s="16" t="n"/>
      <c r="AH109" s="16" t="n"/>
      <c r="AI109" s="16" t="n"/>
      <c r="AJ109" s="16" t="n"/>
      <c r="AK109" s="16" t="n"/>
      <c r="AL109" s="16" t="n">
        <v>18542.7</v>
      </c>
      <c r="AM109" s="13" t="inlineStr">
        <is>
          <t>Alta</t>
        </is>
      </c>
      <c r="AN109" s="13" t="inlineStr"/>
      <c r="AO109" s="18" t="inlineStr">
        <is>
          <t>Sim</t>
        </is>
      </c>
      <c r="AP109" s="13" t="inlineStr"/>
      <c r="AQ109" s="13" t="inlineStr"/>
      <c r="AR109" s="15" t="inlineStr"/>
      <c r="AS109" s="15" t="inlineStr">
        <is>
          <t>NOTAS FISCAIS DE COMPRA JANEIRO 2026.pdf - p. 108</t>
        </is>
      </c>
    </row>
    <row r="110">
      <c r="A110" s="13" t="inlineStr">
        <is>
          <t>JAN26-P109</t>
        </is>
      </c>
      <c r="B110" s="13" t="n">
        <v>109</v>
      </c>
      <c r="C110" s="13" t="inlineStr">
        <is>
          <t>MDF-e</t>
        </is>
      </c>
      <c r="D110" s="13" t="inlineStr">
        <is>
          <t>58</t>
        </is>
      </c>
      <c r="E110" s="13" t="inlineStr">
        <is>
          <t>371</t>
        </is>
      </c>
      <c r="F110" s="13" t="inlineStr">
        <is>
          <t>1</t>
        </is>
      </c>
      <c r="G110" s="25" t="n"/>
      <c r="H110" s="25" t="n"/>
      <c r="I110" s="13" t="inlineStr">
        <is>
          <t>23251242709787000377580010000003711000000005</t>
        </is>
      </c>
      <c r="J110" s="13" t="inlineStr">
        <is>
          <t>‘Phat anewe me comm ew nev en pot are nrr oE</t>
        </is>
      </c>
      <c r="K110" s="13" t="inlineStr">
        <is>
          <t>42.709.787/0003-77</t>
        </is>
      </c>
      <c r="L110" s="13" t="inlineStr"/>
      <c r="M110" s="13" t="inlineStr"/>
      <c r="N110" s="13" t="inlineStr">
        <is>
          <t>Apoio</t>
        </is>
      </c>
      <c r="O110" s="13" t="inlineStr">
        <is>
          <t>Documento de apoio</t>
        </is>
      </c>
      <c r="P110" s="15" t="inlineStr"/>
      <c r="Q110" s="16" t="n"/>
      <c r="R110" s="16" t="n"/>
      <c r="S110" s="16" t="n"/>
      <c r="T110" s="16" t="n"/>
      <c r="U110" s="16" t="n"/>
      <c r="V110" s="17" t="n"/>
      <c r="W110" s="16" t="n"/>
      <c r="X110" s="16" t="n"/>
      <c r="Y110" s="16" t="n"/>
      <c r="Z110" s="16" t="n"/>
      <c r="AA110" s="16" t="n"/>
      <c r="AB110" s="16" t="n"/>
      <c r="AC110" s="16" t="n"/>
      <c r="AD110" s="17" t="n"/>
      <c r="AE110" s="16" t="n"/>
      <c r="AF110" s="16" t="n"/>
      <c r="AG110" s="16" t="n"/>
      <c r="AH110" s="16" t="n"/>
      <c r="AI110" s="16" t="n"/>
      <c r="AJ110" s="16" t="n"/>
      <c r="AK110" s="16" t="n"/>
      <c r="AL110" s="16" t="n"/>
      <c r="AM110" s="13" t="inlineStr">
        <is>
          <t>Alta</t>
        </is>
      </c>
      <c r="AN110" s="13" t="inlineStr"/>
      <c r="AO110" s="19" t="inlineStr">
        <is>
          <t>Não</t>
        </is>
      </c>
      <c r="AP110" s="13" t="inlineStr"/>
      <c r="AQ110" s="13" t="inlineStr"/>
      <c r="AR110" s="15" t="inlineStr"/>
      <c r="AS110" s="15" t="inlineStr">
        <is>
          <t>NOTAS FISCAIS DE COMPRA JANEIRO 2026.pdf - p. 109</t>
        </is>
      </c>
    </row>
    <row r="111">
      <c r="A111" s="13" t="inlineStr">
        <is>
          <t>JAN26-P110</t>
        </is>
      </c>
      <c r="B111" s="13" t="n">
        <v>110</v>
      </c>
      <c r="C111" s="13" t="inlineStr">
        <is>
          <t>Outros/Documento</t>
        </is>
      </c>
      <c r="D111" s="13" t="inlineStr"/>
      <c r="E111" s="13" t="inlineStr"/>
      <c r="F111" s="13" t="inlineStr"/>
      <c r="G111" s="25" t="n">
        <v>46012</v>
      </c>
      <c r="H111" s="25" t="n"/>
      <c r="I111" s="13" t="inlineStr"/>
      <c r="J111" s="13" t="inlineStr">
        <is>
          <t>© traneportsdorimotorsta,acima identcado, assume inter resis responsabidade pela selva do Estado do Card das mercadorias descrias</t>
        </is>
      </c>
      <c r="K111" s="13" t="inlineStr"/>
      <c r="L111" s="13" t="inlineStr"/>
      <c r="M111" s="13" t="inlineStr"/>
      <c r="N111" s="13" t="inlineStr">
        <is>
          <t>Apoio</t>
        </is>
      </c>
      <c r="O111" s="13" t="inlineStr">
        <is>
          <t>Documento de apoio</t>
        </is>
      </c>
      <c r="P111" s="15" t="inlineStr"/>
      <c r="Q111" s="16" t="n"/>
      <c r="R111" s="16" t="n"/>
      <c r="S111" s="16" t="n"/>
      <c r="T111" s="16" t="n"/>
      <c r="U111" s="16" t="n"/>
      <c r="V111" s="17" t="n"/>
      <c r="W111" s="16" t="n"/>
      <c r="X111" s="16" t="n"/>
      <c r="Y111" s="16" t="n"/>
      <c r="Z111" s="16" t="n"/>
      <c r="AA111" s="16" t="n"/>
      <c r="AB111" s="16" t="n"/>
      <c r="AC111" s="16" t="n"/>
      <c r="AD111" s="17" t="n"/>
      <c r="AE111" s="16" t="n"/>
      <c r="AF111" s="16" t="n"/>
      <c r="AG111" s="16" t="n"/>
      <c r="AH111" s="16" t="n"/>
      <c r="AI111" s="16" t="n"/>
      <c r="AJ111" s="16" t="n"/>
      <c r="AK111" s="16" t="n"/>
      <c r="AL111" s="16" t="n"/>
      <c r="AM111" s="13" t="inlineStr">
        <is>
          <t>Baixa</t>
        </is>
      </c>
      <c r="AN111" s="13" t="inlineStr"/>
      <c r="AO111" s="19" t="inlineStr">
        <is>
          <t>Não</t>
        </is>
      </c>
      <c r="AP111" s="13" t="inlineStr"/>
      <c r="AQ111" s="13" t="inlineStr"/>
      <c r="AR111" s="15" t="inlineStr"/>
      <c r="AS111" s="15" t="inlineStr">
        <is>
          <t>NOTAS FISCAIS DE COMPRA JANEIRO 2026.pdf - p. 110</t>
        </is>
      </c>
    </row>
    <row r="112">
      <c r="A112" s="13" t="inlineStr">
        <is>
          <t>JAN26-P111</t>
        </is>
      </c>
      <c r="B112" s="13" t="n">
        <v>111</v>
      </c>
      <c r="C112" s="13" t="inlineStr">
        <is>
          <t>NFS-e</t>
        </is>
      </c>
      <c r="D112" s="13" t="inlineStr"/>
      <c r="E112" s="13" t="inlineStr">
        <is>
          <t>536943</t>
        </is>
      </c>
      <c r="F112" s="13" t="inlineStr"/>
      <c r="G112" s="25" t="n">
        <v>46022</v>
      </c>
      <c r="H112" s="25" t="n"/>
      <c r="I112" s="13" t="inlineStr"/>
      <c r="J112" s="13" t="inlineStr">
        <is>
          <t>CONNECT INFORMACOES E TECNOLOGIA SA</t>
        </is>
      </c>
      <c r="K112" s="13" t="inlineStr">
        <is>
          <t>00.850.820/0001-72</t>
        </is>
      </c>
      <c r="L112" s="13" t="inlineStr">
        <is>
          <t>23.655.038/0001-06</t>
        </is>
      </c>
      <c r="M112" s="13" t="inlineStr">
        <is>
          <t>SKAL /0001</t>
        </is>
      </c>
      <c r="N112" s="13" t="inlineStr">
        <is>
          <t>Servicos</t>
        </is>
      </c>
      <c r="O112" s="13" t="inlineStr">
        <is>
          <t>TI/suporte</t>
        </is>
      </c>
      <c r="P112" s="15" t="inlineStr">
        <is>
          <t>PROCESSAMENTO E GERENCIAMENTO DE COMUNICACAO DE DADOS PLATAFORMA CONNECTSA</t>
        </is>
      </c>
      <c r="Q112" s="16" t="n">
        <v>460</v>
      </c>
      <c r="R112" s="16" t="n"/>
      <c r="S112" s="16" t="n">
        <v>460</v>
      </c>
      <c r="T112" s="16" t="n"/>
      <c r="U112" s="16" t="n"/>
      <c r="V112" s="17" t="n"/>
      <c r="W112" s="16" t="n"/>
      <c r="X112" s="16" t="n"/>
      <c r="Y112" s="16" t="n"/>
      <c r="Z112" s="16" t="n"/>
      <c r="AA112" s="16" t="n"/>
      <c r="AB112" s="16" t="n"/>
      <c r="AC112" s="16" t="n">
        <v>460</v>
      </c>
      <c r="AD112" s="17" t="n">
        <v>0.02</v>
      </c>
      <c r="AE112" s="16" t="n">
        <v>9.199999999999999</v>
      </c>
      <c r="AF112" s="16" t="n"/>
      <c r="AG112" s="16" t="n"/>
      <c r="AH112" s="16" t="n"/>
      <c r="AI112" s="16" t="n"/>
      <c r="AJ112" s="16" t="n"/>
      <c r="AK112" s="16" t="n"/>
      <c r="AL112" s="16" t="n"/>
      <c r="AM112" s="13" t="inlineStr">
        <is>
          <t>Alta</t>
        </is>
      </c>
      <c r="AN112" s="13" t="inlineStr"/>
      <c r="AO112" s="18" t="inlineStr">
        <is>
          <t>Sim</t>
        </is>
      </c>
      <c r="AP112" s="13" t="inlineStr"/>
      <c r="AQ112" s="13" t="inlineStr"/>
      <c r="AR112" s="15" t="inlineStr"/>
      <c r="AS112" s="15" t="inlineStr">
        <is>
          <t>NOTAS FISCAIS DE COMPRA JANEIRO 2026.pdf - p. 111</t>
        </is>
      </c>
    </row>
    <row r="113">
      <c r="A113" s="13" t="inlineStr">
        <is>
          <t>JAN26-P112</t>
        </is>
      </c>
      <c r="B113" s="13" t="n">
        <v>112</v>
      </c>
      <c r="C113" s="13" t="inlineStr">
        <is>
          <t>NF-e</t>
        </is>
      </c>
      <c r="D113" s="13" t="inlineStr"/>
      <c r="E113" s="13" t="inlineStr">
        <is>
          <t>402080</t>
        </is>
      </c>
      <c r="F113" s="13" t="inlineStr">
        <is>
          <t>1</t>
        </is>
      </c>
      <c r="G113" s="25" t="n">
        <v>46014</v>
      </c>
      <c r="H113" s="25" t="n"/>
      <c r="I113" s="13" t="inlineStr"/>
      <c r="J113" s="13" t="inlineStr">
        <is>
          <t>APODI DISTRIBUICAO E LOGISTICA LTDA</t>
        </is>
      </c>
      <c r="K113" s="13" t="inlineStr">
        <is>
          <t>29.190.494/0003-68</t>
        </is>
      </c>
      <c r="L113" s="13" t="inlineStr">
        <is>
          <t>23.655.038/0002-89</t>
        </is>
      </c>
      <c r="M113" s="13" t="inlineStr">
        <is>
          <t>SKAL /0002</t>
        </is>
      </c>
      <c r="N113" s="13" t="inlineStr">
        <is>
          <t>Produtos</t>
        </is>
      </c>
      <c r="O113" s="13" t="inlineStr">
        <is>
          <t>Materia-prima - cimento</t>
        </is>
      </c>
      <c r="P113" s="15" t="inlineStr">
        <is>
          <t>CIMENTO PORTLAND COMP CP II F 32 50KG PBR S STRETCH, 40 sacos x R$45,50</t>
        </is>
      </c>
      <c r="Q113" s="16" t="n">
        <v>1820</v>
      </c>
      <c r="R113" s="16" t="n">
        <v>1820</v>
      </c>
      <c r="S113" s="16" t="n"/>
      <c r="T113" s="16" t="n"/>
      <c r="U113" s="16" t="n"/>
      <c r="V113" s="17" t="n"/>
      <c r="W113" s="16" t="n"/>
      <c r="X113" s="16" t="n"/>
      <c r="Y113" s="16" t="n"/>
      <c r="Z113" s="16" t="n"/>
      <c r="AA113" s="16" t="n"/>
      <c r="AB113" s="16" t="n"/>
      <c r="AC113" s="16" t="n"/>
      <c r="AD113" s="17" t="n"/>
      <c r="AE113" s="16" t="n"/>
      <c r="AF113" s="16" t="n"/>
      <c r="AG113" s="16" t="n"/>
      <c r="AH113" s="16" t="n"/>
      <c r="AI113" s="16" t="n"/>
      <c r="AJ113" s="16" t="n"/>
      <c r="AK113" s="16" t="n"/>
      <c r="AL113" s="16" t="n"/>
      <c r="AM113" s="13" t="inlineStr">
        <is>
          <t>Alta</t>
        </is>
      </c>
      <c r="AN113" s="13" t="inlineStr"/>
      <c r="AO113" s="18" t="inlineStr">
        <is>
          <t>Sim</t>
        </is>
      </c>
      <c r="AP113" s="13" t="inlineStr"/>
      <c r="AQ113" s="13" t="inlineStr"/>
      <c r="AR113" s="15" t="inlineStr"/>
      <c r="AS113" s="15" t="inlineStr">
        <is>
          <t>NOTAS FISCAIS DE COMPRA JANEIRO 2026.pdf - p. 112</t>
        </is>
      </c>
    </row>
    <row r="114">
      <c r="A114" s="13" t="inlineStr">
        <is>
          <t>JAN26-P113</t>
        </is>
      </c>
      <c r="B114" s="13" t="n">
        <v>113</v>
      </c>
      <c r="C114" s="13" t="inlineStr">
        <is>
          <t>NFS-e</t>
        </is>
      </c>
      <c r="D114" s="13" t="inlineStr"/>
      <c r="E114" s="13" t="inlineStr">
        <is>
          <t>22</t>
        </is>
      </c>
      <c r="F114" s="13" t="inlineStr">
        <is>
          <t>900</t>
        </is>
      </c>
      <c r="G114" s="25" t="n">
        <v>46029</v>
      </c>
      <c r="H114" s="25" t="n"/>
      <c r="I114" s="13" t="inlineStr"/>
      <c r="J114" s="13" t="inlineStr">
        <is>
          <t>JORGE GUILHERME COSTA FERREIRA</t>
        </is>
      </c>
      <c r="K114" s="13" t="inlineStr">
        <is>
          <t>24.870.571/0001-45</t>
        </is>
      </c>
      <c r="L114" s="13" t="inlineStr">
        <is>
          <t>23.655.038/0002-89</t>
        </is>
      </c>
      <c r="M114" s="13" t="inlineStr">
        <is>
          <t>SKAL /0002</t>
        </is>
      </c>
      <c r="N114" s="13" t="inlineStr">
        <is>
          <t>Servicos</t>
        </is>
      </c>
      <c r="O114" s="13" t="inlineStr">
        <is>
          <t>Consultoria/assessoria</t>
        </is>
      </c>
      <c r="P114" s="15" t="inlineStr">
        <is>
          <t>IMPLANTACAO DE PROJETO GOVERNANCA CORPORATIVA</t>
        </is>
      </c>
      <c r="Q114" s="16" t="n">
        <v>500</v>
      </c>
      <c r="R114" s="16" t="n"/>
      <c r="S114" s="16" t="n">
        <v>500</v>
      </c>
      <c r="T114" s="16" t="n"/>
      <c r="U114" s="16" t="n"/>
      <c r="V114" s="17" t="n"/>
      <c r="W114" s="16" t="n"/>
      <c r="X114" s="16" t="n"/>
      <c r="Y114" s="16" t="n"/>
      <c r="Z114" s="16" t="n"/>
      <c r="AA114" s="16" t="n">
        <v>10</v>
      </c>
      <c r="AB114" s="16" t="n">
        <v>10</v>
      </c>
      <c r="AC114" s="16" t="n"/>
      <c r="AD114" s="17" t="n"/>
      <c r="AE114" s="16" t="n"/>
      <c r="AF114" s="16" t="n"/>
      <c r="AG114" s="16" t="n"/>
      <c r="AH114" s="16" t="n"/>
      <c r="AI114" s="16" t="n"/>
      <c r="AJ114" s="16" t="n"/>
      <c r="AK114" s="16" t="n"/>
      <c r="AL114" s="16" t="n"/>
      <c r="AM114" s="13" t="inlineStr">
        <is>
          <t>Alta</t>
        </is>
      </c>
      <c r="AN114" s="13" t="inlineStr"/>
      <c r="AO114" s="18" t="inlineStr">
        <is>
          <t>Sim</t>
        </is>
      </c>
      <c r="AP114" s="13" t="inlineStr"/>
      <c r="AQ114" s="13" t="inlineStr"/>
      <c r="AR114" s="15" t="inlineStr"/>
      <c r="AS114" s="15" t="inlineStr">
        <is>
          <t>NOTAS FISCAIS DE COMPRA JANEIRO 2026.pdf - p. 113</t>
        </is>
      </c>
    </row>
    <row r="115">
      <c r="A115" s="13" t="inlineStr">
        <is>
          <t>JAN26-P114</t>
        </is>
      </c>
      <c r="B115" s="13" t="n">
        <v>114</v>
      </c>
      <c r="C115" s="13" t="inlineStr">
        <is>
          <t>NF-e</t>
        </is>
      </c>
      <c r="D115" s="13" t="inlineStr"/>
      <c r="E115" s="13" t="inlineStr">
        <is>
          <t>20113</t>
        </is>
      </c>
      <c r="F115" s="13" t="inlineStr">
        <is>
          <t>1</t>
        </is>
      </c>
      <c r="G115" s="25" t="n">
        <v>46008</v>
      </c>
      <c r="H115" s="25" t="n"/>
      <c r="I115" s="13" t="inlineStr"/>
      <c r="J115" s="13" t="inlineStr">
        <is>
          <t>DISTRIBUIDORA DE BEBIDAS ATACADAO DA GELA</t>
        </is>
      </c>
      <c r="K115" s="13" t="inlineStr">
        <is>
          <t>37.658.920/0001-01</t>
        </is>
      </c>
      <c r="L115" s="13" t="inlineStr">
        <is>
          <t>23.655.038/0002-89</t>
        </is>
      </c>
      <c r="M115" s="13" t="inlineStr">
        <is>
          <t>SKAL /0002</t>
        </is>
      </c>
      <c r="N115" s="13" t="inlineStr">
        <is>
          <t>Produtos</t>
        </is>
      </c>
      <c r="O115" s="13" t="inlineStr">
        <is>
          <t>Confraternizacao/bebidas</t>
        </is>
      </c>
      <c r="P115" s="15" t="inlineStr">
        <is>
          <t>IMPERIO LAGER 600ML, 480 un x R$7,50</t>
        </is>
      </c>
      <c r="Q115" s="16" t="n">
        <v>3600</v>
      </c>
      <c r="R115" s="16" t="n">
        <v>3600</v>
      </c>
      <c r="S115" s="16" t="n"/>
      <c r="T115" s="16" t="n"/>
      <c r="U115" s="16" t="n"/>
      <c r="V115" s="17" t="n"/>
      <c r="W115" s="16" t="n"/>
      <c r="X115" s="16" t="n"/>
      <c r="Y115" s="16" t="n"/>
      <c r="Z115" s="16" t="n"/>
      <c r="AA115" s="16" t="n"/>
      <c r="AB115" s="16" t="n"/>
      <c r="AC115" s="16" t="n"/>
      <c r="AD115" s="17" t="n"/>
      <c r="AE115" s="16" t="n"/>
      <c r="AF115" s="16" t="n"/>
      <c r="AG115" s="16" t="n"/>
      <c r="AH115" s="16" t="n"/>
      <c r="AI115" s="16" t="n"/>
      <c r="AJ115" s="16" t="n"/>
      <c r="AK115" s="16" t="n"/>
      <c r="AL115" s="16" t="n"/>
      <c r="AM115" s="13" t="inlineStr">
        <is>
          <t>Alta</t>
        </is>
      </c>
      <c r="AN115" s="13" t="inlineStr"/>
      <c r="AO115" s="18" t="inlineStr">
        <is>
          <t>Sim</t>
        </is>
      </c>
      <c r="AP115" s="13" t="inlineStr"/>
      <c r="AQ115" s="13" t="inlineStr"/>
      <c r="AR115" s="15" t="inlineStr"/>
      <c r="AS115" s="15" t="inlineStr">
        <is>
          <t>NOTAS FISCAIS DE COMPRA JANEIRO 2026.pdf - p. 114</t>
        </is>
      </c>
    </row>
    <row r="116">
      <c r="A116" s="13" t="inlineStr">
        <is>
          <t>JAN26-P115</t>
        </is>
      </c>
      <c r="B116" s="13" t="n">
        <v>115</v>
      </c>
      <c r="C116" s="13" t="inlineStr">
        <is>
          <t>Separador/Anotacao</t>
        </is>
      </c>
      <c r="D116" s="13" t="inlineStr"/>
      <c r="E116" s="13" t="inlineStr"/>
      <c r="F116" s="13" t="inlineStr"/>
      <c r="G116" s="25" t="n"/>
      <c r="H116" s="25" t="n"/>
      <c r="I116" s="13" t="inlineStr"/>
      <c r="J116" s="13" t="inlineStr"/>
      <c r="K116" s="13" t="inlineStr"/>
      <c r="L116" s="13" t="inlineStr"/>
      <c r="M116" s="13" t="inlineStr"/>
      <c r="N116" s="13" t="inlineStr">
        <is>
          <t>Apoio</t>
        </is>
      </c>
      <c r="O116" s="13" t="inlineStr">
        <is>
          <t>Documento de apoio</t>
        </is>
      </c>
      <c r="P116" s="15" t="inlineStr"/>
      <c r="Q116" s="16" t="n"/>
      <c r="R116" s="16" t="n"/>
      <c r="S116" s="16" t="n"/>
      <c r="T116" s="16" t="n"/>
      <c r="U116" s="16" t="n"/>
      <c r="V116" s="17" t="n"/>
      <c r="W116" s="16" t="n"/>
      <c r="X116" s="16" t="n"/>
      <c r="Y116" s="16" t="n"/>
      <c r="Z116" s="16" t="n"/>
      <c r="AA116" s="16" t="n"/>
      <c r="AB116" s="16" t="n"/>
      <c r="AC116" s="16" t="n"/>
      <c r="AD116" s="17" t="n"/>
      <c r="AE116" s="16" t="n"/>
      <c r="AF116" s="16" t="n"/>
      <c r="AG116" s="16" t="n"/>
      <c r="AH116" s="16" t="n"/>
      <c r="AI116" s="16" t="n"/>
      <c r="AJ116" s="16" t="n"/>
      <c r="AK116" s="16" t="n"/>
      <c r="AL116" s="16" t="n"/>
      <c r="AM116" s="13" t="inlineStr">
        <is>
          <t>Baixa</t>
        </is>
      </c>
      <c r="AN116" s="13" t="inlineStr"/>
      <c r="AO116" s="19" t="inlineStr">
        <is>
          <t>Não</t>
        </is>
      </c>
      <c r="AP116" s="13" t="inlineStr"/>
      <c r="AQ116" s="13" t="inlineStr"/>
      <c r="AR116" s="15" t="inlineStr"/>
      <c r="AS116" s="15" t="inlineStr">
        <is>
          <t>NOTAS FISCAIS DE COMPRA JANEIRO 2026.pdf - p. 115</t>
        </is>
      </c>
    </row>
    <row r="117">
      <c r="A117" s="13" t="inlineStr">
        <is>
          <t>JAN26-P116</t>
        </is>
      </c>
      <c r="B117" s="13" t="n">
        <v>116</v>
      </c>
      <c r="C117" s="13" t="inlineStr">
        <is>
          <t>NF-e</t>
        </is>
      </c>
      <c r="D117" s="13" t="inlineStr"/>
      <c r="E117" s="13" t="inlineStr">
        <is>
          <t>172</t>
        </is>
      </c>
      <c r="F117" s="13" t="inlineStr">
        <is>
          <t>001</t>
        </is>
      </c>
      <c r="G117" s="25" t="n">
        <v>46031</v>
      </c>
      <c r="H117" s="25" t="n"/>
      <c r="I117" s="13" t="inlineStr"/>
      <c r="J117" s="13" t="inlineStr">
        <is>
          <t>EVERARDO SILVA DO NASCIMENTO</t>
        </is>
      </c>
      <c r="K117" s="13" t="inlineStr">
        <is>
          <t>43.140.694/0001-75</t>
        </is>
      </c>
      <c r="L117" s="13" t="inlineStr">
        <is>
          <t>23.655.038/0002-89</t>
        </is>
      </c>
      <c r="M117" s="13" t="inlineStr">
        <is>
          <t>SKAL /0002</t>
        </is>
      </c>
      <c r="N117" s="13" t="inlineStr">
        <is>
          <t>Produtos</t>
        </is>
      </c>
      <c r="O117" s="13" t="inlineStr">
        <is>
          <t>Esquadrias/obra</t>
        </is>
      </c>
      <c r="P117" s="15" t="inlineStr">
        <is>
          <t>rom Tam [= ria Tis | [Ss [seenemenrvennes [seo fon ome [at Jatone| Se [eta] a |S er] | I 2 ll RR | lee Ironacomenzracxasnoccioriia—_, —_|raas| im [aa &gt;= | ann] aati anal —istomal ae) aol aa ato] | SF [rane FuRD Cowl OF MODLLO | DRTRENGID COM] RETARD Er a | ae i i DD i | fareeane | i 7, | " 2/9 (SD | i Oo i | DDIRVEMENO 9G ( ‘a a H | Rut, 4.009,00 \ i | . HN . | | A fh | sf | ANY | DAPOS ADICIONALS: * | (somata rai 1 | = iy COMPRAS, , i | Pjeaeewm, BE Veena ba Lancans emeel 02% H | pF RO i | YF | ix 2f Presuo - 8698130230 = | Erarge ou UIDRACE j | DATA EHORADA WERESEAC DIANE . {cae -{UG3RLARA IRATE RELI IO</t>
        </is>
      </c>
      <c r="Q117" s="16" t="n">
        <v>8238</v>
      </c>
      <c r="R117" s="16" t="n">
        <v>8238</v>
      </c>
      <c r="S117" s="16" t="n"/>
      <c r="T117" s="16" t="n"/>
      <c r="U117" s="16" t="n"/>
      <c r="V117" s="17" t="n"/>
      <c r="W117" s="16" t="n"/>
      <c r="X117" s="16" t="n"/>
      <c r="Y117" s="16" t="n"/>
      <c r="Z117" s="16" t="n"/>
      <c r="AA117" s="16" t="n"/>
      <c r="AB117" s="16" t="n"/>
      <c r="AC117" s="16" t="n"/>
      <c r="AD117" s="17" t="n"/>
      <c r="AE117" s="16" t="n"/>
      <c r="AF117" s="16" t="n"/>
      <c r="AG117" s="16" t="n"/>
      <c r="AH117" s="16" t="n"/>
      <c r="AI117" s="16" t="n"/>
      <c r="AJ117" s="16" t="n"/>
      <c r="AK117" s="16" t="n"/>
      <c r="AL117" s="16" t="n"/>
      <c r="AM117" s="13" t="inlineStr">
        <is>
          <t>Alta</t>
        </is>
      </c>
      <c r="AN117" s="13" t="inlineStr"/>
      <c r="AO117" s="18" t="inlineStr">
        <is>
          <t>Sim</t>
        </is>
      </c>
      <c r="AP117" s="13" t="inlineStr"/>
      <c r="AQ117" s="13" t="inlineStr"/>
      <c r="AR117" s="15" t="inlineStr"/>
      <c r="AS117" s="15" t="inlineStr">
        <is>
          <t>NOTAS FISCAIS DE COMPRA JANEIRO 2026.pdf - p. 116</t>
        </is>
      </c>
    </row>
    <row r="118">
      <c r="A118" s="13" t="inlineStr">
        <is>
          <t>JAN26-P117</t>
        </is>
      </c>
      <c r="B118" s="13" t="n">
        <v>117</v>
      </c>
      <c r="C118" s="13" t="inlineStr">
        <is>
          <t>CT-e</t>
        </is>
      </c>
      <c r="D118" s="13" t="inlineStr">
        <is>
          <t>57</t>
        </is>
      </c>
      <c r="E118" s="13" t="inlineStr">
        <is>
          <t>417</t>
        </is>
      </c>
      <c r="F118" s="13" t="inlineStr">
        <is>
          <t>1</t>
        </is>
      </c>
      <c r="G118" s="25" t="n">
        <v>46036</v>
      </c>
      <c r="H118" s="25" t="n"/>
      <c r="I118" s="13" t="inlineStr">
        <is>
          <t>23260142709787000377570010000004171000000008</t>
        </is>
      </c>
      <c r="J118" s="13" t="inlineStr">
        <is>
          <t>F G INTELIGENCIA EM LOGISTICA LTDA</t>
        </is>
      </c>
      <c r="K118" s="13" t="inlineStr">
        <is>
          <t>42.709.787/0003-77</t>
        </is>
      </c>
      <c r="L118" s="13" t="inlineStr">
        <is>
          <t>23.655.038/0002-89</t>
        </is>
      </c>
      <c r="M118" s="13" t="inlineStr">
        <is>
          <t>SKAL /0002</t>
        </is>
      </c>
      <c r="N118" s="13" t="inlineStr">
        <is>
          <t>Fretes</t>
        </is>
      </c>
      <c r="O118" s="13" t="inlineStr">
        <is>
          <t>Frete de insumo - cimento</t>
        </is>
      </c>
      <c r="P118" s="15" t="inlineStr">
        <is>
          <t>Frete rodoviário de aquisição de cimento - remetente Companhia Industrial de Cimento Apodi.</t>
        </is>
      </c>
      <c r="Q118" s="16" t="n">
        <v>11696.3</v>
      </c>
      <c r="R118" s="16" t="n"/>
      <c r="S118" s="16" t="n"/>
      <c r="T118" s="16" t="n">
        <v>11696.3</v>
      </c>
      <c r="U118" s="16" t="n">
        <v>11696.3</v>
      </c>
      <c r="V118" s="17" t="n">
        <v>0.12</v>
      </c>
      <c r="W118" s="16" t="n">
        <v>1403.56</v>
      </c>
      <c r="X118" s="16" t="n"/>
      <c r="Y118" s="16" t="n"/>
      <c r="Z118" s="16" t="n"/>
      <c r="AA118" s="16" t="n"/>
      <c r="AB118" s="16" t="n"/>
      <c r="AC118" s="16" t="n"/>
      <c r="AD118" s="17" t="n"/>
      <c r="AE118" s="16" t="n"/>
      <c r="AF118" s="16" t="n"/>
      <c r="AG118" s="16" t="n"/>
      <c r="AH118" s="16" t="n"/>
      <c r="AI118" s="16" t="n"/>
      <c r="AJ118" s="16" t="n"/>
      <c r="AK118" s="16" t="n"/>
      <c r="AL118" s="16" t="n">
        <v>18676.35</v>
      </c>
      <c r="AM118" s="13" t="inlineStr">
        <is>
          <t>Alta</t>
        </is>
      </c>
      <c r="AN118" s="13" t="inlineStr"/>
      <c r="AO118" s="18" t="inlineStr">
        <is>
          <t>Sim</t>
        </is>
      </c>
      <c r="AP118" s="13" t="inlineStr"/>
      <c r="AQ118" s="13" t="inlineStr"/>
      <c r="AR118" s="15" t="inlineStr"/>
      <c r="AS118" s="15" t="inlineStr">
        <is>
          <t>NOTAS FISCAIS DE COMPRA JANEIRO 2026.pdf - p. 117</t>
        </is>
      </c>
    </row>
    <row r="119">
      <c r="A119" s="13" t="inlineStr">
        <is>
          <t>JAN26-P118</t>
        </is>
      </c>
      <c r="B119" s="13" t="n">
        <v>118</v>
      </c>
      <c r="C119" s="13" t="inlineStr">
        <is>
          <t>CT-e</t>
        </is>
      </c>
      <c r="D119" s="13" t="inlineStr">
        <is>
          <t>57</t>
        </is>
      </c>
      <c r="E119" s="13" t="inlineStr">
        <is>
          <t>411</t>
        </is>
      </c>
      <c r="F119" s="13" t="inlineStr">
        <is>
          <t>1</t>
        </is>
      </c>
      <c r="G119" s="25" t="n">
        <v>46034</v>
      </c>
      <c r="H119" s="25" t="n"/>
      <c r="I119" s="13" t="inlineStr">
        <is>
          <t>23260142709787000377570010000004111000000004</t>
        </is>
      </c>
      <c r="J119" s="13" t="inlineStr">
        <is>
          <t>F G INTELIGENCIA EM LOGISTICA LTDA</t>
        </is>
      </c>
      <c r="K119" s="13" t="inlineStr">
        <is>
          <t>42.709.787/0003-77</t>
        </is>
      </c>
      <c r="L119" s="13" t="inlineStr">
        <is>
          <t>23.655.038/0002-89</t>
        </is>
      </c>
      <c r="M119" s="13" t="inlineStr">
        <is>
          <t>SKAL /0002</t>
        </is>
      </c>
      <c r="N119" s="13" t="inlineStr">
        <is>
          <t>Fretes</t>
        </is>
      </c>
      <c r="O119" s="13" t="inlineStr">
        <is>
          <t>Frete de insumo - cimento</t>
        </is>
      </c>
      <c r="P119" s="15" t="inlineStr">
        <is>
          <t>Frete rodoviário de aquisição de cimento - remetente Companhia Industrial de Cimento Apodi.</t>
        </is>
      </c>
      <c r="Q119" s="16" t="n">
        <v>11724.2</v>
      </c>
      <c r="R119" s="16" t="n"/>
      <c r="S119" s="16" t="n"/>
      <c r="T119" s="16" t="n">
        <v>11724.2</v>
      </c>
      <c r="U119" s="16" t="n">
        <v>11724.2</v>
      </c>
      <c r="V119" s="17" t="n">
        <v>0.12</v>
      </c>
      <c r="W119" s="16" t="n">
        <v>1406.9</v>
      </c>
      <c r="X119" s="16" t="n"/>
      <c r="Y119" s="16" t="n"/>
      <c r="Z119" s="16" t="n"/>
      <c r="AA119" s="16" t="n"/>
      <c r="AB119" s="16" t="n"/>
      <c r="AC119" s="16" t="n"/>
      <c r="AD119" s="17" t="n"/>
      <c r="AE119" s="16" t="n"/>
      <c r="AF119" s="16" t="n"/>
      <c r="AG119" s="16" t="n"/>
      <c r="AH119" s="16" t="n"/>
      <c r="AI119" s="16" t="n"/>
      <c r="AJ119" s="16" t="n"/>
      <c r="AK119" s="16" t="n"/>
      <c r="AL119" s="16" t="n">
        <v>18720.9</v>
      </c>
      <c r="AM119" s="13" t="inlineStr">
        <is>
          <t>Alta</t>
        </is>
      </c>
      <c r="AN119" s="13" t="inlineStr"/>
      <c r="AO119" s="18" t="inlineStr">
        <is>
          <t>Sim</t>
        </is>
      </c>
      <c r="AP119" s="13" t="inlineStr"/>
      <c r="AQ119" s="13" t="inlineStr"/>
      <c r="AR119" s="15" t="inlineStr"/>
      <c r="AS119" s="15" t="inlineStr">
        <is>
          <t>NOTAS FISCAIS DE COMPRA JANEIRO 2026.pdf - p. 118</t>
        </is>
      </c>
    </row>
    <row r="120">
      <c r="A120" s="13" t="inlineStr">
        <is>
          <t>JAN26-P119</t>
        </is>
      </c>
      <c r="B120" s="13" t="n">
        <v>119</v>
      </c>
      <c r="C120" s="13" t="inlineStr">
        <is>
          <t>NF-e</t>
        </is>
      </c>
      <c r="D120" s="13" t="inlineStr"/>
      <c r="E120" s="13" t="inlineStr">
        <is>
          <t>77338</t>
        </is>
      </c>
      <c r="F120" s="13" t="inlineStr">
        <is>
          <t>1</t>
        </is>
      </c>
      <c r="G120" s="25" t="n">
        <v>45994</v>
      </c>
      <c r="H120" s="25" t="n"/>
      <c r="I120" s="13" t="inlineStr"/>
      <c r="J120" s="13" t="inlineStr">
        <is>
          <t>POLI-GYN EMBALAGENS LTDA</t>
        </is>
      </c>
      <c r="K120" s="13" t="inlineStr">
        <is>
          <t>00.072.331/0001-37</t>
        </is>
      </c>
      <c r="L120" s="13" t="inlineStr">
        <is>
          <t>23.655.038/0002-89</t>
        </is>
      </c>
      <c r="M120" s="13" t="inlineStr">
        <is>
          <t>SKAL /0002</t>
        </is>
      </c>
      <c r="N120" s="13" t="inlineStr">
        <is>
          <t>Produtos</t>
        </is>
      </c>
      <c r="O120" s="13" t="inlineStr">
        <is>
          <t>Embalagens</t>
        </is>
      </c>
      <c r="P120" s="15" t="inlineStr"/>
      <c r="Q120" s="16" t="n">
        <v>32443.09</v>
      </c>
      <c r="R120" s="16" t="n">
        <v>29560.9</v>
      </c>
      <c r="S120" s="16" t="n"/>
      <c r="T120" s="16" t="n"/>
      <c r="U120" s="16" t="n">
        <v>29560.9</v>
      </c>
      <c r="V120" s="17" t="n"/>
      <c r="W120" s="16" t="n">
        <v>1182.44</v>
      </c>
      <c r="X120" s="16" t="n"/>
      <c r="Y120" s="16" t="n"/>
      <c r="Z120" s="16" t="n">
        <v>2882.19</v>
      </c>
      <c r="AA120" s="16" t="n">
        <v>468.24</v>
      </c>
      <c r="AB120" s="16" t="n">
        <v>2156.76</v>
      </c>
      <c r="AC120" s="16" t="n"/>
      <c r="AD120" s="17" t="n"/>
      <c r="AE120" s="16" t="n"/>
      <c r="AF120" s="16" t="n"/>
      <c r="AG120" s="16" t="n"/>
      <c r="AH120" s="16" t="n"/>
      <c r="AI120" s="16" t="n"/>
      <c r="AJ120" s="16" t="n"/>
      <c r="AK120" s="16" t="n"/>
      <c r="AL120" s="16" t="n"/>
      <c r="AM120" s="13" t="inlineStr">
        <is>
          <t>Alta</t>
        </is>
      </c>
      <c r="AN120" s="13" t="inlineStr"/>
      <c r="AO120" s="18" t="inlineStr">
        <is>
          <t>Sim</t>
        </is>
      </c>
      <c r="AP120" s="13" t="inlineStr"/>
      <c r="AQ120" s="13" t="inlineStr"/>
      <c r="AR120" s="15" t="inlineStr"/>
      <c r="AS120" s="15" t="inlineStr">
        <is>
          <t>NOTAS FISCAIS DE COMPRA JANEIRO 2026.pdf - p. 119</t>
        </is>
      </c>
    </row>
    <row r="121">
      <c r="A121" s="13" t="inlineStr">
        <is>
          <t>JAN26-P120</t>
        </is>
      </c>
      <c r="B121" s="13" t="n">
        <v>120</v>
      </c>
      <c r="C121" s="13" t="inlineStr">
        <is>
          <t>NF-e</t>
        </is>
      </c>
      <c r="D121" s="13" t="inlineStr"/>
      <c r="E121" s="13" t="inlineStr">
        <is>
          <t>535055</t>
        </is>
      </c>
      <c r="F121" s="13" t="inlineStr">
        <is>
          <t>1</t>
        </is>
      </c>
      <c r="G121" s="25" t="n">
        <v>46031</v>
      </c>
      <c r="H121" s="25" t="n"/>
      <c r="I121" s="13" t="inlineStr"/>
      <c r="J121" s="13" t="inlineStr">
        <is>
          <t>COMPANHIA INDUSTRIAL DE CIMENTO APODI</t>
        </is>
      </c>
      <c r="K121" s="13" t="inlineStr">
        <is>
          <t>10.260.249/0003-51</t>
        </is>
      </c>
      <c r="L121" s="13" t="inlineStr">
        <is>
          <t>23.655.038/0002-89</t>
        </is>
      </c>
      <c r="M121" s="13" t="inlineStr">
        <is>
          <t>SKAL /0002</t>
        </is>
      </c>
      <c r="N121" s="13" t="inlineStr">
        <is>
          <t>Produtos</t>
        </is>
      </c>
      <c r="O121" s="13" t="inlineStr">
        <is>
          <t>Cimento</t>
        </is>
      </c>
      <c r="P121" s="15" t="inlineStr">
        <is>
          <t>Cimento Portland / produção do estabelecimento - dados fiscais conforme DANFE.</t>
        </is>
      </c>
      <c r="Q121" s="16" t="n">
        <v>18805.05</v>
      </c>
      <c r="R121" s="16" t="n">
        <v>18805.05</v>
      </c>
      <c r="S121" s="16" t="n"/>
      <c r="T121" s="16" t="n"/>
      <c r="U121" s="16" t="n">
        <v>18805.05</v>
      </c>
      <c r="V121" s="17" t="n">
        <v>0.12</v>
      </c>
      <c r="W121" s="16" t="n">
        <v>2256.61</v>
      </c>
      <c r="X121" s="16" t="n"/>
      <c r="Y121" s="16" t="n"/>
      <c r="Z121" s="16" t="n"/>
      <c r="AA121" s="16" t="n"/>
      <c r="AB121" s="16" t="n"/>
      <c r="AC121" s="16" t="n"/>
      <c r="AD121" s="17" t="n"/>
      <c r="AE121" s="16" t="n"/>
      <c r="AF121" s="16" t="n"/>
      <c r="AG121" s="16" t="n"/>
      <c r="AH121" s="16" t="n"/>
      <c r="AI121" s="16" t="n"/>
      <c r="AJ121" s="16" t="n"/>
      <c r="AK121" s="16" t="n"/>
      <c r="AL121" s="16" t="n"/>
      <c r="AM121" s="13" t="inlineStr">
        <is>
          <t>Alta</t>
        </is>
      </c>
      <c r="AN121" s="13" t="inlineStr"/>
      <c r="AO121" s="18" t="inlineStr">
        <is>
          <t>Sim</t>
        </is>
      </c>
      <c r="AP121" s="13" t="inlineStr"/>
      <c r="AQ121" s="13" t="inlineStr"/>
      <c r="AR121" s="15" t="inlineStr"/>
      <c r="AS121" s="15" t="inlineStr">
        <is>
          <t>NOTAS FISCAIS DE COMPRA JANEIRO 2026.pdf - p. 120</t>
        </is>
      </c>
    </row>
    <row r="122">
      <c r="A122" s="13" t="inlineStr">
        <is>
          <t>JAN26-P121</t>
        </is>
      </c>
      <c r="B122" s="13" t="n">
        <v>121</v>
      </c>
      <c r="C122" s="13" t="inlineStr">
        <is>
          <t>CT-e</t>
        </is>
      </c>
      <c r="D122" s="13" t="inlineStr">
        <is>
          <t>57</t>
        </is>
      </c>
      <c r="E122" s="13" t="inlineStr">
        <is>
          <t>392</t>
        </is>
      </c>
      <c r="F122" s="13" t="inlineStr">
        <is>
          <t>1</t>
        </is>
      </c>
      <c r="G122" s="25" t="n">
        <v>46013</v>
      </c>
      <c r="H122" s="25" t="n"/>
      <c r="I122" s="13" t="inlineStr">
        <is>
          <t>23251242709787000377570010000003921000000001</t>
        </is>
      </c>
      <c r="J122" s="13" t="inlineStr">
        <is>
          <t>F G INTELIGENCIA EM LOGISTICA LTDA</t>
        </is>
      </c>
      <c r="K122" s="13" t="inlineStr">
        <is>
          <t>42.709.787/0003-77</t>
        </is>
      </c>
      <c r="L122" s="13" t="inlineStr">
        <is>
          <t>23.655.038/0002-89</t>
        </is>
      </c>
      <c r="M122" s="13" t="inlineStr">
        <is>
          <t>SKAL /0002</t>
        </is>
      </c>
      <c r="N122" s="13" t="inlineStr">
        <is>
          <t>Fretes</t>
        </is>
      </c>
      <c r="O122" s="13" t="inlineStr">
        <is>
          <t>Frete de insumo - cimento</t>
        </is>
      </c>
      <c r="P122" s="15" t="inlineStr">
        <is>
          <t>Frete rodoviário de aquisição de cimento - remetente Companhia Industrial de Cimento Apodi.</t>
        </is>
      </c>
      <c r="Q122" s="16" t="n">
        <v>11625</v>
      </c>
      <c r="R122" s="16" t="n"/>
      <c r="S122" s="16" t="n"/>
      <c r="T122" s="16" t="n">
        <v>11625</v>
      </c>
      <c r="U122" s="16" t="n">
        <v>11625</v>
      </c>
      <c r="V122" s="17" t="n">
        <v>0.12</v>
      </c>
      <c r="W122" s="16" t="n">
        <v>1395</v>
      </c>
      <c r="X122" s="16" t="n"/>
      <c r="Y122" s="16" t="n"/>
      <c r="Z122" s="16" t="n"/>
      <c r="AA122" s="16" t="n"/>
      <c r="AB122" s="16" t="n"/>
      <c r="AC122" s="16" t="n"/>
      <c r="AD122" s="17" t="n"/>
      <c r="AE122" s="16" t="n"/>
      <c r="AF122" s="16" t="n"/>
      <c r="AG122" s="16" t="n"/>
      <c r="AH122" s="16" t="n"/>
      <c r="AI122" s="16" t="n"/>
      <c r="AJ122" s="16" t="n"/>
      <c r="AK122" s="16" t="n"/>
      <c r="AL122" s="16" t="n">
        <v>18562.5</v>
      </c>
      <c r="AM122" s="13" t="inlineStr">
        <is>
          <t>Alta</t>
        </is>
      </c>
      <c r="AN122" s="13" t="inlineStr"/>
      <c r="AO122" s="18" t="inlineStr">
        <is>
          <t>Sim</t>
        </is>
      </c>
      <c r="AP122" s="13" t="inlineStr"/>
      <c r="AQ122" s="13" t="inlineStr"/>
      <c r="AR122" s="15" t="inlineStr"/>
      <c r="AS122" s="15" t="inlineStr">
        <is>
          <t>NOTAS FISCAIS DE COMPRA JANEIRO 2026.pdf - p. 121</t>
        </is>
      </c>
    </row>
    <row r="123">
      <c r="A123" s="13" t="inlineStr">
        <is>
          <t>JAN26-P122</t>
        </is>
      </c>
      <c r="B123" s="13" t="n">
        <v>122</v>
      </c>
      <c r="C123" s="13" t="inlineStr">
        <is>
          <t>MDF-e</t>
        </is>
      </c>
      <c r="D123" s="13" t="inlineStr">
        <is>
          <t>58</t>
        </is>
      </c>
      <c r="E123" s="13" t="inlineStr">
        <is>
          <t>374</t>
        </is>
      </c>
      <c r="F123" s="13" t="inlineStr">
        <is>
          <t>1</t>
        </is>
      </c>
      <c r="G123" s="25" t="n"/>
      <c r="H123" s="25" t="n"/>
      <c r="I123" s="13" t="inlineStr">
        <is>
          <t>23251242709787000377580010000003741000000007</t>
        </is>
      </c>
      <c r="J123" s="13" t="inlineStr">
        <is>
          <t>+ 4 FG (STELIFENCIA EM LOGISTICA LTDA, ”</t>
        </is>
      </c>
      <c r="K123" s="13" t="inlineStr">
        <is>
          <t>42.709.787/0003-77</t>
        </is>
      </c>
      <c r="L123" s="13" t="inlineStr"/>
      <c r="M123" s="13" t="inlineStr"/>
      <c r="N123" s="13" t="inlineStr">
        <is>
          <t>Apoio</t>
        </is>
      </c>
      <c r="O123" s="13" t="inlineStr">
        <is>
          <t>Documento de apoio</t>
        </is>
      </c>
      <c r="P123" s="15" t="inlineStr"/>
      <c r="Q123" s="16" t="n"/>
      <c r="R123" s="16" t="n"/>
      <c r="S123" s="16" t="n"/>
      <c r="T123" s="16" t="n"/>
      <c r="U123" s="16" t="n"/>
      <c r="V123" s="17" t="n"/>
      <c r="W123" s="16" t="n"/>
      <c r="X123" s="16" t="n"/>
      <c r="Y123" s="16" t="n"/>
      <c r="Z123" s="16" t="n"/>
      <c r="AA123" s="16" t="n"/>
      <c r="AB123" s="16" t="n"/>
      <c r="AC123" s="16" t="n"/>
      <c r="AD123" s="17" t="n"/>
      <c r="AE123" s="16" t="n"/>
      <c r="AF123" s="16" t="n"/>
      <c r="AG123" s="16" t="n"/>
      <c r="AH123" s="16" t="n"/>
      <c r="AI123" s="16" t="n"/>
      <c r="AJ123" s="16" t="n"/>
      <c r="AK123" s="16" t="n"/>
      <c r="AL123" s="16" t="n"/>
      <c r="AM123" s="13" t="inlineStr">
        <is>
          <t>Alta</t>
        </is>
      </c>
      <c r="AN123" s="13" t="inlineStr"/>
      <c r="AO123" s="19" t="inlineStr">
        <is>
          <t>Não</t>
        </is>
      </c>
      <c r="AP123" s="13" t="inlineStr"/>
      <c r="AQ123" s="13" t="inlineStr"/>
      <c r="AR123" s="15" t="inlineStr"/>
      <c r="AS123" s="15" t="inlineStr">
        <is>
          <t>NOTAS FISCAIS DE COMPRA JANEIRO 2026.pdf - p. 122</t>
        </is>
      </c>
    </row>
    <row r="124">
      <c r="A124" s="13" t="inlineStr">
        <is>
          <t>JAN26-P123</t>
        </is>
      </c>
      <c r="B124" s="13" t="n">
        <v>123</v>
      </c>
      <c r="C124" s="13" t="inlineStr">
        <is>
          <t>CT-e</t>
        </is>
      </c>
      <c r="D124" s="13" t="inlineStr">
        <is>
          <t>57</t>
        </is>
      </c>
      <c r="E124" s="13" t="inlineStr">
        <is>
          <t>393</t>
        </is>
      </c>
      <c r="F124" s="13" t="inlineStr">
        <is>
          <t>1</t>
        </is>
      </c>
      <c r="G124" s="25" t="n">
        <v>46014</v>
      </c>
      <c r="H124" s="25" t="n"/>
      <c r="I124" s="13" t="inlineStr">
        <is>
          <t>23251242709787000377570010000003931000000009</t>
        </is>
      </c>
      <c r="J124" s="13" t="inlineStr">
        <is>
          <t>F G INTELIGENCIA EM LOGISTICA LTDA</t>
        </is>
      </c>
      <c r="K124" s="13" t="inlineStr">
        <is>
          <t>42.709.787/0003-77</t>
        </is>
      </c>
      <c r="L124" s="13" t="inlineStr">
        <is>
          <t>23.655.038/0002-89</t>
        </is>
      </c>
      <c r="M124" s="13" t="inlineStr">
        <is>
          <t>SKAL /0002</t>
        </is>
      </c>
      <c r="N124" s="13" t="inlineStr">
        <is>
          <t>Fretes</t>
        </is>
      </c>
      <c r="O124" s="13" t="inlineStr">
        <is>
          <t>Frete de insumo - cimento</t>
        </is>
      </c>
      <c r="P124" s="15" t="inlineStr">
        <is>
          <t>Frete rodoviário de aquisição de cimento - remetente Companhia Industrial de Cimento Apodi.</t>
        </is>
      </c>
      <c r="Q124" s="16" t="n">
        <v>11770.7</v>
      </c>
      <c r="R124" s="16" t="n"/>
      <c r="S124" s="16" t="n"/>
      <c r="T124" s="16" t="n">
        <v>11770.7</v>
      </c>
      <c r="U124" s="16" t="n">
        <v>11770.7</v>
      </c>
      <c r="V124" s="17" t="n">
        <v>0.12</v>
      </c>
      <c r="W124" s="16" t="n">
        <v>1412.48</v>
      </c>
      <c r="X124" s="16" t="n"/>
      <c r="Y124" s="16" t="n"/>
      <c r="Z124" s="16" t="n"/>
      <c r="AA124" s="16" t="n"/>
      <c r="AB124" s="16" t="n"/>
      <c r="AC124" s="16" t="n"/>
      <c r="AD124" s="17" t="n"/>
      <c r="AE124" s="16" t="n"/>
      <c r="AF124" s="16" t="n"/>
      <c r="AG124" s="16" t="n"/>
      <c r="AH124" s="16" t="n"/>
      <c r="AI124" s="16" t="n"/>
      <c r="AJ124" s="16" t="n"/>
      <c r="AK124" s="16" t="n"/>
      <c r="AL124" s="16" t="n">
        <v>18795.15</v>
      </c>
      <c r="AM124" s="13" t="inlineStr">
        <is>
          <t>Alta</t>
        </is>
      </c>
      <c r="AN124" s="13" t="inlineStr"/>
      <c r="AO124" s="18" t="inlineStr">
        <is>
          <t>Sim</t>
        </is>
      </c>
      <c r="AP124" s="13" t="inlineStr"/>
      <c r="AQ124" s="13" t="inlineStr"/>
      <c r="AR124" s="15" t="inlineStr"/>
      <c r="AS124" s="15" t="inlineStr">
        <is>
          <t>NOTAS FISCAIS DE COMPRA JANEIRO 2026.pdf - p. 123</t>
        </is>
      </c>
    </row>
    <row r="125">
      <c r="A125" s="13" t="inlineStr">
        <is>
          <t>JAN26-P124</t>
        </is>
      </c>
      <c r="B125" s="13" t="n">
        <v>124</v>
      </c>
      <c r="C125" s="13" t="inlineStr">
        <is>
          <t>MDF-e</t>
        </is>
      </c>
      <c r="D125" s="13" t="inlineStr">
        <is>
          <t>58</t>
        </is>
      </c>
      <c r="E125" s="13" t="inlineStr">
        <is>
          <t>375</t>
        </is>
      </c>
      <c r="F125" s="13" t="inlineStr">
        <is>
          <t>1</t>
        </is>
      </c>
      <c r="G125" s="25" t="n"/>
      <c r="H125" s="25" t="n"/>
      <c r="I125" s="13" t="inlineStr">
        <is>
          <t>23251242709787000377580010000003751000000004</t>
        </is>
      </c>
      <c r="J125" s="13" t="inlineStr">
        <is>
          <t>FOINTELAGENCIA EM LOOISTICA LTDA 7"</t>
        </is>
      </c>
      <c r="K125" s="13" t="inlineStr">
        <is>
          <t>42.709.787/0003-77</t>
        </is>
      </c>
      <c r="L125" s="13" t="inlineStr"/>
      <c r="M125" s="13" t="inlineStr"/>
      <c r="N125" s="13" t="inlineStr">
        <is>
          <t>Apoio</t>
        </is>
      </c>
      <c r="O125" s="13" t="inlineStr">
        <is>
          <t>Documento de apoio</t>
        </is>
      </c>
      <c r="P125" s="15" t="inlineStr"/>
      <c r="Q125" s="16" t="n"/>
      <c r="R125" s="16" t="n"/>
      <c r="S125" s="16" t="n"/>
      <c r="T125" s="16" t="n"/>
      <c r="U125" s="16" t="n"/>
      <c r="V125" s="17" t="n"/>
      <c r="W125" s="16" t="n"/>
      <c r="X125" s="16" t="n"/>
      <c r="Y125" s="16" t="n"/>
      <c r="Z125" s="16" t="n"/>
      <c r="AA125" s="16" t="n"/>
      <c r="AB125" s="16" t="n"/>
      <c r="AC125" s="16" t="n"/>
      <c r="AD125" s="17" t="n"/>
      <c r="AE125" s="16" t="n"/>
      <c r="AF125" s="16" t="n"/>
      <c r="AG125" s="16" t="n"/>
      <c r="AH125" s="16" t="n"/>
      <c r="AI125" s="16" t="n"/>
      <c r="AJ125" s="16" t="n"/>
      <c r="AK125" s="16" t="n"/>
      <c r="AL125" s="16" t="n"/>
      <c r="AM125" s="13" t="inlineStr">
        <is>
          <t>Alta</t>
        </is>
      </c>
      <c r="AN125" s="13" t="inlineStr"/>
      <c r="AO125" s="19" t="inlineStr">
        <is>
          <t>Não</t>
        </is>
      </c>
      <c r="AP125" s="13" t="inlineStr"/>
      <c r="AQ125" s="13" t="inlineStr"/>
      <c r="AR125" s="15" t="inlineStr"/>
      <c r="AS125" s="15" t="inlineStr">
        <is>
          <t>NOTAS FISCAIS DE COMPRA JANEIRO 2026.pdf - p. 124</t>
        </is>
      </c>
    </row>
    <row r="126">
      <c r="A126" s="13" t="inlineStr">
        <is>
          <t>JAN26-P125</t>
        </is>
      </c>
      <c r="B126" s="13" t="n">
        <v>125</v>
      </c>
      <c r="C126" s="13" t="inlineStr">
        <is>
          <t>Outros/Documento</t>
        </is>
      </c>
      <c r="D126" s="13" t="inlineStr"/>
      <c r="E126" s="13" t="inlineStr"/>
      <c r="F126" s="13" t="inlineStr"/>
      <c r="G126" s="25" t="n">
        <v>46019</v>
      </c>
      <c r="H126" s="25" t="n"/>
      <c r="I126" s="13" t="inlineStr"/>
      <c r="J126" s="13" t="inlineStr">
        <is>
          <t>Dados do Transportador</t>
        </is>
      </c>
      <c r="K126" s="13" t="inlineStr"/>
      <c r="L126" s="13" t="inlineStr"/>
      <c r="M126" s="13" t="inlineStr"/>
      <c r="N126" s="13" t="inlineStr">
        <is>
          <t>Apoio</t>
        </is>
      </c>
      <c r="O126" s="13" t="inlineStr">
        <is>
          <t>Documento de apoio</t>
        </is>
      </c>
      <c r="P126" s="15" t="inlineStr"/>
      <c r="Q126" s="16" t="n"/>
      <c r="R126" s="16" t="n"/>
      <c r="S126" s="16" t="n"/>
      <c r="T126" s="16" t="n"/>
      <c r="U126" s="16" t="n"/>
      <c r="V126" s="17" t="n"/>
      <c r="W126" s="16" t="n"/>
      <c r="X126" s="16" t="n"/>
      <c r="Y126" s="16" t="n"/>
      <c r="Z126" s="16" t="n"/>
      <c r="AA126" s="16" t="n"/>
      <c r="AB126" s="16" t="n"/>
      <c r="AC126" s="16" t="n"/>
      <c r="AD126" s="17" t="n"/>
      <c r="AE126" s="16" t="n"/>
      <c r="AF126" s="16" t="n"/>
      <c r="AG126" s="16" t="n"/>
      <c r="AH126" s="16" t="n"/>
      <c r="AI126" s="16" t="n"/>
      <c r="AJ126" s="16" t="n"/>
      <c r="AK126" s="16" t="n"/>
      <c r="AL126" s="16" t="n"/>
      <c r="AM126" s="13" t="inlineStr">
        <is>
          <t>Baixa</t>
        </is>
      </c>
      <c r="AN126" s="13" t="inlineStr"/>
      <c r="AO126" s="19" t="inlineStr">
        <is>
          <t>Não</t>
        </is>
      </c>
      <c r="AP126" s="13" t="inlineStr"/>
      <c r="AQ126" s="13" t="inlineStr"/>
      <c r="AR126" s="15" t="inlineStr"/>
      <c r="AS126" s="15" t="inlineStr">
        <is>
          <t>NOTAS FISCAIS DE COMPRA JANEIRO 2026.pdf - p. 125</t>
        </is>
      </c>
    </row>
    <row r="127">
      <c r="A127" s="13" t="inlineStr">
        <is>
          <t>JAN26-P126</t>
        </is>
      </c>
      <c r="B127" s="13" t="n">
        <v>126</v>
      </c>
      <c r="C127" s="13" t="inlineStr">
        <is>
          <t>CT-e</t>
        </is>
      </c>
      <c r="D127" s="13" t="inlineStr">
        <is>
          <t>57</t>
        </is>
      </c>
      <c r="E127" s="13" t="inlineStr">
        <is>
          <t>394</t>
        </is>
      </c>
      <c r="F127" s="13" t="inlineStr">
        <is>
          <t>1</t>
        </is>
      </c>
      <c r="G127" s="25" t="n">
        <v>46018</v>
      </c>
      <c r="H127" s="25" t="n"/>
      <c r="I127" s="13" t="inlineStr">
        <is>
          <t>23251242709787000377570010000003941000000006</t>
        </is>
      </c>
      <c r="J127" s="13" t="inlineStr">
        <is>
          <t>F G INTELIGENCIA EM LOGISTICA LTDA</t>
        </is>
      </c>
      <c r="K127" s="13" t="inlineStr">
        <is>
          <t>42.709.787/0003-77</t>
        </is>
      </c>
      <c r="L127" s="13" t="inlineStr">
        <is>
          <t>23.655.038/0002-89</t>
        </is>
      </c>
      <c r="M127" s="13" t="inlineStr">
        <is>
          <t>SKAL /0002</t>
        </is>
      </c>
      <c r="N127" s="13" t="inlineStr">
        <is>
          <t>Fretes</t>
        </is>
      </c>
      <c r="O127" s="13" t="inlineStr">
        <is>
          <t>Frete de insumo - cimento</t>
        </is>
      </c>
      <c r="P127" s="15" t="inlineStr">
        <is>
          <t>Frete rodoviário de aquisição de cimento - remetente Companhia Industrial de Cimento Apodi.</t>
        </is>
      </c>
      <c r="Q127" s="16" t="n">
        <v>11745.9</v>
      </c>
      <c r="R127" s="16" t="n"/>
      <c r="S127" s="16" t="n"/>
      <c r="T127" s="16" t="n">
        <v>11745.9</v>
      </c>
      <c r="U127" s="16" t="n">
        <v>11745.9</v>
      </c>
      <c r="V127" s="17" t="n">
        <v>0.12</v>
      </c>
      <c r="W127" s="16" t="n">
        <v>1409.51</v>
      </c>
      <c r="X127" s="16" t="n"/>
      <c r="Y127" s="16" t="n"/>
      <c r="Z127" s="16" t="n"/>
      <c r="AA127" s="16" t="n"/>
      <c r="AB127" s="16" t="n"/>
      <c r="AC127" s="16" t="n"/>
      <c r="AD127" s="17" t="n"/>
      <c r="AE127" s="16" t="n"/>
      <c r="AF127" s="16" t="n"/>
      <c r="AG127" s="16" t="n"/>
      <c r="AH127" s="16" t="n"/>
      <c r="AI127" s="16" t="n"/>
      <c r="AJ127" s="16" t="n"/>
      <c r="AK127" s="16" t="n"/>
      <c r="AL127" s="16" t="n">
        <v>18755.55</v>
      </c>
      <c r="AM127" s="13" t="inlineStr">
        <is>
          <t>Alta</t>
        </is>
      </c>
      <c r="AN127" s="13" t="inlineStr"/>
      <c r="AO127" s="18" t="inlineStr">
        <is>
          <t>Sim</t>
        </is>
      </c>
      <c r="AP127" s="13" t="inlineStr"/>
      <c r="AQ127" s="13" t="inlineStr"/>
      <c r="AR127" s="15" t="inlineStr"/>
      <c r="AS127" s="15" t="inlineStr">
        <is>
          <t>NOTAS FISCAIS DE COMPRA JANEIRO 2026.pdf - p. 126</t>
        </is>
      </c>
    </row>
    <row r="128">
      <c r="A128" s="13" t="inlineStr">
        <is>
          <t>JAN26-P127</t>
        </is>
      </c>
      <c r="B128" s="13" t="n">
        <v>127</v>
      </c>
      <c r="C128" s="13" t="inlineStr">
        <is>
          <t>MDF-e</t>
        </is>
      </c>
      <c r="D128" s="13" t="inlineStr">
        <is>
          <t>58</t>
        </is>
      </c>
      <c r="E128" s="13" t="inlineStr">
        <is>
          <t>376</t>
        </is>
      </c>
      <c r="F128" s="13" t="inlineStr">
        <is>
          <t>1</t>
        </is>
      </c>
      <c r="G128" s="25" t="n"/>
      <c r="H128" s="25" t="n"/>
      <c r="I128" s="13" t="inlineStr">
        <is>
          <t>23251242709787000377580010000003761000000001</t>
        </is>
      </c>
      <c r="J128" s="13" t="inlineStr">
        <is>
          <t>Kran [rrapion dos Tara Fagus Uren ao Hardee [Muni [forage ds Des, Fre nodes no Mansons |</t>
        </is>
      </c>
      <c r="K128" s="13" t="inlineStr">
        <is>
          <t>42.709.787/0003-77</t>
        </is>
      </c>
      <c r="L128" s="13" t="inlineStr"/>
      <c r="M128" s="13" t="inlineStr"/>
      <c r="N128" s="13" t="inlineStr">
        <is>
          <t>Apoio</t>
        </is>
      </c>
      <c r="O128" s="13" t="inlineStr">
        <is>
          <t>Documento de apoio</t>
        </is>
      </c>
      <c r="P128" s="15" t="inlineStr"/>
      <c r="Q128" s="16" t="n"/>
      <c r="R128" s="16" t="n"/>
      <c r="S128" s="16" t="n"/>
      <c r="T128" s="16" t="n"/>
      <c r="U128" s="16" t="n"/>
      <c r="V128" s="17" t="n"/>
      <c r="W128" s="16" t="n"/>
      <c r="X128" s="16" t="n"/>
      <c r="Y128" s="16" t="n"/>
      <c r="Z128" s="16" t="n"/>
      <c r="AA128" s="16" t="n"/>
      <c r="AB128" s="16" t="n"/>
      <c r="AC128" s="16" t="n"/>
      <c r="AD128" s="17" t="n"/>
      <c r="AE128" s="16" t="n"/>
      <c r="AF128" s="16" t="n"/>
      <c r="AG128" s="16" t="n"/>
      <c r="AH128" s="16" t="n"/>
      <c r="AI128" s="16" t="n"/>
      <c r="AJ128" s="16" t="n"/>
      <c r="AK128" s="16" t="n"/>
      <c r="AL128" s="16" t="n"/>
      <c r="AM128" s="13" t="inlineStr">
        <is>
          <t>Alta</t>
        </is>
      </c>
      <c r="AN128" s="13" t="inlineStr"/>
      <c r="AO128" s="19" t="inlineStr">
        <is>
          <t>Não</t>
        </is>
      </c>
      <c r="AP128" s="13" t="inlineStr"/>
      <c r="AQ128" s="13" t="inlineStr"/>
      <c r="AR128" s="15" t="inlineStr"/>
      <c r="AS128" s="15" t="inlineStr">
        <is>
          <t>NOTAS FISCAIS DE COMPRA JANEIRO 2026.pdf - p. 127</t>
        </is>
      </c>
    </row>
    <row r="129">
      <c r="A129" s="13" t="inlineStr">
        <is>
          <t>JAN26-P128</t>
        </is>
      </c>
      <c r="B129" s="13" t="n">
        <v>128</v>
      </c>
      <c r="C129" s="13" t="inlineStr">
        <is>
          <t>CT-e</t>
        </is>
      </c>
      <c r="D129" s="13" t="inlineStr"/>
      <c r="E129" s="13" t="inlineStr">
        <is>
          <t>396</t>
        </is>
      </c>
      <c r="F129" s="13" t="inlineStr"/>
      <c r="G129" s="25" t="n">
        <v>46020</v>
      </c>
      <c r="H129" s="25" t="n"/>
      <c r="I129" s="13" t="inlineStr"/>
      <c r="J129" s="13" t="inlineStr">
        <is>
          <t>F G INTELIGENCIA EM LOGISTICA LTDA</t>
        </is>
      </c>
      <c r="K129" s="13" t="inlineStr">
        <is>
          <t>42.709.787/0003-77</t>
        </is>
      </c>
      <c r="L129" s="13" t="inlineStr">
        <is>
          <t>23.655.038/0002-89</t>
        </is>
      </c>
      <c r="M129" s="13" t="inlineStr">
        <is>
          <t>SKAL /0002</t>
        </is>
      </c>
      <c r="N129" s="13" t="inlineStr">
        <is>
          <t>Fretes</t>
        </is>
      </c>
      <c r="O129" s="13" t="inlineStr">
        <is>
          <t>Frete de insumo - cimento</t>
        </is>
      </c>
      <c r="P129" s="15" t="inlineStr">
        <is>
          <t>Frete rodoviário de aquisição de cimento - remetente Companhia Industrial de Cimento Apodi.</t>
        </is>
      </c>
      <c r="Q129" s="16" t="n">
        <v>11804.8</v>
      </c>
      <c r="R129" s="16" t="n"/>
      <c r="S129" s="16" t="n"/>
      <c r="T129" s="16" t="n">
        <v>11804.8</v>
      </c>
      <c r="U129" s="16" t="n">
        <v>11804.8</v>
      </c>
      <c r="V129" s="17" t="n">
        <v>0.12</v>
      </c>
      <c r="W129" s="16" t="n">
        <v>1416.58</v>
      </c>
      <c r="X129" s="16" t="n"/>
      <c r="Y129" s="16" t="n"/>
      <c r="Z129" s="16" t="n"/>
      <c r="AA129" s="16" t="n"/>
      <c r="AB129" s="16" t="n"/>
      <c r="AC129" s="16" t="n"/>
      <c r="AD129" s="17" t="n"/>
      <c r="AE129" s="16" t="n"/>
      <c r="AF129" s="16" t="n"/>
      <c r="AG129" s="16" t="n"/>
      <c r="AH129" s="16" t="n"/>
      <c r="AI129" s="16" t="n"/>
      <c r="AJ129" s="16" t="n"/>
      <c r="AK129" s="16" t="n"/>
      <c r="AL129" s="16" t="n">
        <v>18849.6</v>
      </c>
      <c r="AM129" s="13" t="inlineStr">
        <is>
          <t>Baixa</t>
        </is>
      </c>
      <c r="AN129" s="13" t="inlineStr"/>
      <c r="AO129" s="18" t="inlineStr">
        <is>
          <t>Sim</t>
        </is>
      </c>
      <c r="AP129" s="13" t="inlineStr"/>
      <c r="AQ129" s="13" t="inlineStr"/>
      <c r="AR129" s="15" t="inlineStr"/>
      <c r="AS129" s="15" t="inlineStr">
        <is>
          <t>NOTAS FISCAIS DE COMPRA JANEIRO 2026.pdf - p. 128</t>
        </is>
      </c>
    </row>
    <row r="130">
      <c r="A130" s="13" t="inlineStr">
        <is>
          <t>JAN26-P129</t>
        </is>
      </c>
      <c r="B130" s="13" t="n">
        <v>129</v>
      </c>
      <c r="C130" s="13" t="inlineStr">
        <is>
          <t>CT-e</t>
        </is>
      </c>
      <c r="D130" s="13" t="inlineStr">
        <is>
          <t>57</t>
        </is>
      </c>
      <c r="E130" s="13" t="inlineStr">
        <is>
          <t>397</t>
        </is>
      </c>
      <c r="F130" s="13" t="inlineStr">
        <is>
          <t>1</t>
        </is>
      </c>
      <c r="G130" s="25" t="n">
        <v>46021</v>
      </c>
      <c r="H130" s="25" t="n"/>
      <c r="I130" s="13" t="inlineStr">
        <is>
          <t>23251242709787000377570010000003971000000008</t>
        </is>
      </c>
      <c r="J130" s="13" t="inlineStr">
        <is>
          <t>F G INTELIGENCIA EM LOGISTICA LTDA</t>
        </is>
      </c>
      <c r="K130" s="13" t="inlineStr">
        <is>
          <t>42.709.787/0003-77</t>
        </is>
      </c>
      <c r="L130" s="13" t="inlineStr">
        <is>
          <t>23.655.038/0002-89</t>
        </is>
      </c>
      <c r="M130" s="13" t="inlineStr">
        <is>
          <t>SKAL /0002</t>
        </is>
      </c>
      <c r="N130" s="13" t="inlineStr">
        <is>
          <t>Fretes</t>
        </is>
      </c>
      <c r="O130" s="13" t="inlineStr">
        <is>
          <t>Frete de insumo - cimento</t>
        </is>
      </c>
      <c r="P130" s="15" t="inlineStr">
        <is>
          <t>Frete rodoviário de aquisição de cimento - remetente Companhia Industrial de Cimento Apodi.</t>
        </is>
      </c>
      <c r="Q130" s="16" t="n">
        <v>11699.4</v>
      </c>
      <c r="R130" s="16" t="n"/>
      <c r="S130" s="16" t="n"/>
      <c r="T130" s="16" t="n">
        <v>11699.4</v>
      </c>
      <c r="U130" s="16" t="n">
        <v>11699.4</v>
      </c>
      <c r="V130" s="17" t="n">
        <v>0.12</v>
      </c>
      <c r="W130" s="16" t="n">
        <v>1403.93</v>
      </c>
      <c r="X130" s="16" t="n"/>
      <c r="Y130" s="16" t="n"/>
      <c r="Z130" s="16" t="n"/>
      <c r="AA130" s="16" t="n"/>
      <c r="AB130" s="16" t="n"/>
      <c r="AC130" s="16" t="n"/>
      <c r="AD130" s="17" t="n"/>
      <c r="AE130" s="16" t="n"/>
      <c r="AF130" s="16" t="n"/>
      <c r="AG130" s="16" t="n"/>
      <c r="AH130" s="16" t="n"/>
      <c r="AI130" s="16" t="n"/>
      <c r="AJ130" s="16" t="n"/>
      <c r="AK130" s="16" t="n"/>
      <c r="AL130" s="16" t="n">
        <v>18681.3</v>
      </c>
      <c r="AM130" s="13" t="inlineStr">
        <is>
          <t>Alta</t>
        </is>
      </c>
      <c r="AN130" s="13" t="inlineStr"/>
      <c r="AO130" s="18" t="inlineStr">
        <is>
          <t>Sim</t>
        </is>
      </c>
      <c r="AP130" s="13" t="inlineStr"/>
      <c r="AQ130" s="13" t="inlineStr"/>
      <c r="AR130" s="15" t="inlineStr"/>
      <c r="AS130" s="15" t="inlineStr">
        <is>
          <t>NOTAS FISCAIS DE COMPRA JANEIRO 2026.pdf - p. 129</t>
        </is>
      </c>
    </row>
    <row r="131">
      <c r="A131" s="13" t="inlineStr">
        <is>
          <t>JAN26-P130</t>
        </is>
      </c>
      <c r="B131" s="13" t="n">
        <v>130</v>
      </c>
      <c r="C131" s="13" t="inlineStr">
        <is>
          <t>Fatura/Locacao</t>
        </is>
      </c>
      <c r="D131" s="13" t="inlineStr"/>
      <c r="E131" s="13" t="inlineStr">
        <is>
          <t>003260</t>
        </is>
      </c>
      <c r="F131" s="13" t="inlineStr"/>
      <c r="G131" s="25" t="n">
        <v>46028</v>
      </c>
      <c r="H131" s="25" t="n">
        <v>46035</v>
      </c>
      <c r="I131" s="13" t="inlineStr"/>
      <c r="J131" s="13" t="inlineStr">
        <is>
          <t>PAZ &amp; SAMPAIO LTDA - MM LOCACOES</t>
        </is>
      </c>
      <c r="K131" s="13" t="inlineStr">
        <is>
          <t>13.??</t>
        </is>
      </c>
      <c r="L131" s="13" t="inlineStr">
        <is>
          <t>23.655.038/0002-89</t>
        </is>
      </c>
      <c r="M131" s="13" t="inlineStr">
        <is>
          <t>SKAL /0002</t>
        </is>
      </c>
      <c r="N131" s="13" t="inlineStr">
        <is>
          <t>Servicos</t>
        </is>
      </c>
      <c r="O131" s="13" t="inlineStr">
        <is>
          <t>Locacao de equipamentos</t>
        </is>
      </c>
      <c r="P131" s="15" t="inlineStr">
        <is>
          <t>LOCACAO DE ANDAIME TUBULAR E PISO METALICO GALVANIZADO</t>
        </is>
      </c>
      <c r="Q131" s="16" t="n">
        <v>265</v>
      </c>
      <c r="R131" s="16" t="n"/>
      <c r="S131" s="16" t="n"/>
      <c r="T131" s="16" t="n"/>
      <c r="U131" s="16" t="n"/>
      <c r="V131" s="17" t="n"/>
      <c r="W131" s="16" t="n"/>
      <c r="X131" s="16" t="n"/>
      <c r="Y131" s="16" t="n"/>
      <c r="Z131" s="16" t="n"/>
      <c r="AA131" s="16" t="n"/>
      <c r="AB131" s="16" t="n"/>
      <c r="AC131" s="16" t="n"/>
      <c r="AD131" s="17" t="n"/>
      <c r="AE131" s="16" t="n"/>
      <c r="AF131" s="16" t="n"/>
      <c r="AG131" s="16" t="n"/>
      <c r="AH131" s="16" t="n"/>
      <c r="AI131" s="16" t="n"/>
      <c r="AJ131" s="16" t="n"/>
      <c r="AK131" s="16" t="n"/>
      <c r="AL131" s="16" t="n"/>
      <c r="AM131" s="13" t="inlineStr">
        <is>
          <t>Alta</t>
        </is>
      </c>
      <c r="AN131" s="13" t="inlineStr"/>
      <c r="AO131" s="18" t="inlineStr">
        <is>
          <t>Sim</t>
        </is>
      </c>
      <c r="AP131" s="13" t="inlineStr"/>
      <c r="AQ131" s="13" t="inlineStr"/>
      <c r="AR131" s="15" t="inlineStr"/>
      <c r="AS131" s="15" t="inlineStr">
        <is>
          <t>NOTAS FISCAIS DE COMPRA JANEIRO 2026.pdf - p. 130</t>
        </is>
      </c>
    </row>
    <row r="132">
      <c r="A132" s="13" t="inlineStr">
        <is>
          <t>JAN26-P131</t>
        </is>
      </c>
      <c r="B132" s="13" t="n">
        <v>131</v>
      </c>
      <c r="C132" s="13" t="inlineStr">
        <is>
          <t>NFS-e</t>
        </is>
      </c>
      <c r="D132" s="13" t="inlineStr"/>
      <c r="E132" s="13" t="inlineStr">
        <is>
          <t>167</t>
        </is>
      </c>
      <c r="F132" s="13" t="inlineStr">
        <is>
          <t>U</t>
        </is>
      </c>
      <c r="G132" s="25" t="n">
        <v>46028</v>
      </c>
      <c r="H132" s="25" t="n"/>
      <c r="I132" s="13" t="inlineStr"/>
      <c r="J132" s="13" t="inlineStr">
        <is>
          <t>FENIX PRESTADORA DE SERVICOS LTDA</t>
        </is>
      </c>
      <c r="K132" s="13" t="inlineStr">
        <is>
          <t>51.998.593/0001-68</t>
        </is>
      </c>
      <c r="L132" s="13" t="inlineStr">
        <is>
          <t>23.655.038/0002-89</t>
        </is>
      </c>
      <c r="M132" s="13" t="inlineStr">
        <is>
          <t>SKAL /0002</t>
        </is>
      </c>
      <c r="N132" s="13" t="inlineStr">
        <is>
          <t>Servicos</t>
        </is>
      </c>
      <c r="O132" s="13" t="inlineStr">
        <is>
          <t>Seguranca/portaria</t>
        </is>
      </c>
      <c r="P132" s="15" t="inlineStr">
        <is>
          <t>PRESTACAO DE SERVICO LOCADO NA KALFIX EM TERESINA - PI. SERVICO DE AGENTE DE PORTARIA REFERENTE AO MES DE DEZEMBRO DE 2025.</t>
        </is>
      </c>
      <c r="Q132" s="16" t="n">
        <v>8175</v>
      </c>
      <c r="R132" s="16" t="n"/>
      <c r="S132" s="16" t="n">
        <v>8175</v>
      </c>
      <c r="T132" s="16" t="n"/>
      <c r="U132" s="16" t="n"/>
      <c r="V132" s="17" t="n"/>
      <c r="W132" s="16" t="n"/>
      <c r="X132" s="16" t="n"/>
      <c r="Y132" s="16" t="n"/>
      <c r="Z132" s="16" t="n"/>
      <c r="AA132" s="16" t="n"/>
      <c r="AB132" s="16" t="n"/>
      <c r="AC132" s="16" t="n"/>
      <c r="AD132" s="17" t="n"/>
      <c r="AE132" s="16" t="n"/>
      <c r="AF132" s="16" t="n"/>
      <c r="AG132" s="16" t="n"/>
      <c r="AH132" s="16" t="n"/>
      <c r="AI132" s="16" t="n"/>
      <c r="AJ132" s="16" t="n"/>
      <c r="AK132" s="16" t="n"/>
      <c r="AL132" s="16" t="n"/>
      <c r="AM132" s="13" t="inlineStr">
        <is>
          <t>Alta</t>
        </is>
      </c>
      <c r="AN132" s="13" t="inlineStr"/>
      <c r="AO132" s="18" t="inlineStr">
        <is>
          <t>Sim</t>
        </is>
      </c>
      <c r="AP132" s="13" t="inlineStr"/>
      <c r="AQ132" s="13" t="inlineStr"/>
      <c r="AR132" s="15" t="inlineStr"/>
      <c r="AS132" s="15" t="inlineStr">
        <is>
          <t>NOTAS FISCAIS DE COMPRA JANEIRO 2026.pdf - p. 131</t>
        </is>
      </c>
    </row>
    <row r="133">
      <c r="A133" s="13" t="inlineStr">
        <is>
          <t>JAN26-P132</t>
        </is>
      </c>
      <c r="B133" s="13" t="n">
        <v>132</v>
      </c>
      <c r="C133" s="13" t="inlineStr">
        <is>
          <t>NFS-e</t>
        </is>
      </c>
      <c r="D133" s="13" t="inlineStr"/>
      <c r="E133" s="13" t="inlineStr">
        <is>
          <t>166</t>
        </is>
      </c>
      <c r="F133" s="13" t="inlineStr">
        <is>
          <t>U</t>
        </is>
      </c>
      <c r="G133" s="25" t="n">
        <v>46028</v>
      </c>
      <c r="H133" s="25" t="n"/>
      <c r="I133" s="13" t="inlineStr"/>
      <c r="J133" s="13" t="inlineStr">
        <is>
          <t>FENIX PRESTADORA DE SERVICOS LTDA</t>
        </is>
      </c>
      <c r="K133" s="13" t="inlineStr">
        <is>
          <t>51.998.593/0001-68</t>
        </is>
      </c>
      <c r="L133" s="13" t="inlineStr">
        <is>
          <t>23.655.038/0002-89</t>
        </is>
      </c>
      <c r="M133" s="13" t="inlineStr">
        <is>
          <t>SKAL /0002</t>
        </is>
      </c>
      <c r="N133" s="13" t="inlineStr">
        <is>
          <t>Servicos</t>
        </is>
      </c>
      <c r="O133" s="13" t="inlineStr">
        <is>
          <t>Seguranca/portaria</t>
        </is>
      </c>
      <c r="P133" s="15" t="inlineStr">
        <is>
          <t>PRESTACAO DE SERVICO LOCADO NA CIMEX EM TERESINA - PI. SERVICO DE AGENTE DE PORTARIA REFERENTE AO MES DE DEZEMBRO DE 2025.</t>
        </is>
      </c>
      <c r="Q133" s="16" t="n">
        <v>8175</v>
      </c>
      <c r="R133" s="16" t="n"/>
      <c r="S133" s="16" t="n">
        <v>8175</v>
      </c>
      <c r="T133" s="16" t="n"/>
      <c r="U133" s="16" t="n"/>
      <c r="V133" s="17" t="n"/>
      <c r="W133" s="16" t="n"/>
      <c r="X133" s="16" t="n"/>
      <c r="Y133" s="16" t="n"/>
      <c r="Z133" s="16" t="n"/>
      <c r="AA133" s="16" t="n"/>
      <c r="AB133" s="16" t="n"/>
      <c r="AC133" s="16" t="n"/>
      <c r="AD133" s="17" t="n"/>
      <c r="AE133" s="16" t="n"/>
      <c r="AF133" s="16" t="n"/>
      <c r="AG133" s="16" t="n"/>
      <c r="AH133" s="16" t="n"/>
      <c r="AI133" s="16" t="n"/>
      <c r="AJ133" s="16" t="n"/>
      <c r="AK133" s="16" t="n"/>
      <c r="AL133" s="16" t="n"/>
      <c r="AM133" s="13" t="inlineStr">
        <is>
          <t>Alta</t>
        </is>
      </c>
      <c r="AN133" s="13" t="inlineStr"/>
      <c r="AO133" s="18" t="inlineStr">
        <is>
          <t>Sim</t>
        </is>
      </c>
      <c r="AP133" s="13" t="inlineStr"/>
      <c r="AQ133" s="13" t="inlineStr"/>
      <c r="AR133" s="15" t="inlineStr"/>
      <c r="AS133" s="15" t="inlineStr">
        <is>
          <t>NOTAS FISCAIS DE COMPRA JANEIRO 2026.pdf - p. 132</t>
        </is>
      </c>
    </row>
    <row r="134">
      <c r="A134" s="13" t="inlineStr">
        <is>
          <t>JAN26-P133</t>
        </is>
      </c>
      <c r="B134" s="13" t="n">
        <v>133</v>
      </c>
      <c r="C134" s="13" t="inlineStr">
        <is>
          <t>NFS-e</t>
        </is>
      </c>
      <c r="D134" s="13" t="inlineStr"/>
      <c r="E134" s="13" t="inlineStr">
        <is>
          <t>22</t>
        </is>
      </c>
      <c r="F134" s="13" t="inlineStr">
        <is>
          <t>900</t>
        </is>
      </c>
      <c r="G134" s="25" t="n">
        <v>46034</v>
      </c>
      <c r="H134" s="25" t="n"/>
      <c r="I134" s="13" t="inlineStr"/>
      <c r="J134" s="13" t="inlineStr">
        <is>
          <t>EMERSON CANDIDO DE AQUINO 56476779320</t>
        </is>
      </c>
      <c r="K134" s="13" t="inlineStr">
        <is>
          <t>45.264.826/0001-04</t>
        </is>
      </c>
      <c r="L134" s="13" t="inlineStr">
        <is>
          <t>23.655.038/0002-89</t>
        </is>
      </c>
      <c r="M134" s="13" t="inlineStr">
        <is>
          <t>SKAL /0002</t>
        </is>
      </c>
      <c r="N134" s="13" t="inlineStr">
        <is>
          <t>Servicos</t>
        </is>
      </c>
      <c r="O134" s="13" t="inlineStr">
        <is>
          <t>Entrega</t>
        </is>
      </c>
      <c r="P134" s="15" t="inlineStr">
        <is>
          <t>SERVICO PRESTADO DE ENTREGA DE MERCADORIA</t>
        </is>
      </c>
      <c r="Q134" s="16" t="n">
        <v>2000</v>
      </c>
      <c r="R134" s="16" t="n"/>
      <c r="S134" s="16" t="n">
        <v>2000</v>
      </c>
      <c r="T134" s="16" t="n"/>
      <c r="U134" s="16" t="n"/>
      <c r="V134" s="17" t="n"/>
      <c r="W134" s="16" t="n"/>
      <c r="X134" s="16" t="n"/>
      <c r="Y134" s="16" t="n"/>
      <c r="Z134" s="16" t="n"/>
      <c r="AA134" s="16" t="n"/>
      <c r="AB134" s="16" t="n">
        <v>2000</v>
      </c>
      <c r="AC134" s="16" t="n"/>
      <c r="AD134" s="17" t="n"/>
      <c r="AE134" s="16" t="n"/>
      <c r="AF134" s="16" t="n"/>
      <c r="AG134" s="16" t="n"/>
      <c r="AH134" s="16" t="n"/>
      <c r="AI134" s="16" t="n"/>
      <c r="AJ134" s="16" t="n"/>
      <c r="AK134" s="16" t="n"/>
      <c r="AL134" s="16" t="n"/>
      <c r="AM134" s="13" t="inlineStr">
        <is>
          <t>Alta</t>
        </is>
      </c>
      <c r="AN134" s="13" t="inlineStr"/>
      <c r="AO134" s="18" t="inlineStr">
        <is>
          <t>Sim</t>
        </is>
      </c>
      <c r="AP134" s="13" t="inlineStr"/>
      <c r="AQ134" s="13" t="inlineStr"/>
      <c r="AR134" s="15" t="inlineStr"/>
      <c r="AS134" s="15" t="inlineStr">
        <is>
          <t>NOTAS FISCAIS DE COMPRA JANEIRO 2026.pdf - p. 133</t>
        </is>
      </c>
    </row>
    <row r="135">
      <c r="A135" s="13" t="inlineStr">
        <is>
          <t>JAN26-P134</t>
        </is>
      </c>
      <c r="B135" s="13" t="n">
        <v>134</v>
      </c>
      <c r="C135" s="13" t="inlineStr">
        <is>
          <t>NFS-e</t>
        </is>
      </c>
      <c r="D135" s="13" t="inlineStr"/>
      <c r="E135" s="13" t="inlineStr">
        <is>
          <t>767</t>
        </is>
      </c>
      <c r="F135" s="13" t="inlineStr">
        <is>
          <t>U</t>
        </is>
      </c>
      <c r="G135" s="25" t="n">
        <v>46036</v>
      </c>
      <c r="H135" s="25" t="n"/>
      <c r="I135" s="13" t="inlineStr"/>
      <c r="J135" s="13" t="inlineStr">
        <is>
          <t>EDWARD MOURA SOCIEDADE INDIVIDUAL DE ADVOCACIA</t>
        </is>
      </c>
      <c r="K135" s="13" t="inlineStr">
        <is>
          <t>09.244.087/0001-17</t>
        </is>
      </c>
      <c r="L135" s="13" t="inlineStr">
        <is>
          <t>23.655.038/0002-89</t>
        </is>
      </c>
      <c r="M135" s="13" t="inlineStr">
        <is>
          <t>SKAL /0002</t>
        </is>
      </c>
      <c r="N135" s="13" t="inlineStr">
        <is>
          <t>Servicos</t>
        </is>
      </c>
      <c r="O135" s="13" t="inlineStr">
        <is>
          <t>Juridico</t>
        </is>
      </c>
      <c r="P135" s="15" t="inlineStr">
        <is>
          <t>HONORARIOS ADVOCATICIOS</t>
        </is>
      </c>
      <c r="Q135" s="16" t="n">
        <v>4075</v>
      </c>
      <c r="R135" s="16" t="n"/>
      <c r="S135" s="16" t="n">
        <v>4075</v>
      </c>
      <c r="T135" s="16" t="n"/>
      <c r="U135" s="16" t="n"/>
      <c r="V135" s="17" t="n"/>
      <c r="W135" s="16" t="n"/>
      <c r="X135" s="16" t="n"/>
      <c r="Y135" s="16" t="n"/>
      <c r="Z135" s="16" t="n"/>
      <c r="AA135" s="16" t="n">
        <v>0</v>
      </c>
      <c r="AB135" s="16" t="n">
        <v>0</v>
      </c>
      <c r="AC135" s="16" t="n"/>
      <c r="AD135" s="17" t="n"/>
      <c r="AE135" s="16" t="n">
        <v>4.07</v>
      </c>
      <c r="AF135" s="16" t="n"/>
      <c r="AG135" s="16" t="n"/>
      <c r="AH135" s="16" t="n"/>
      <c r="AI135" s="16" t="n"/>
      <c r="AJ135" s="16" t="n"/>
      <c r="AK135" s="16" t="n"/>
      <c r="AL135" s="16" t="n"/>
      <c r="AM135" s="13" t="inlineStr">
        <is>
          <t>Alta</t>
        </is>
      </c>
      <c r="AN135" s="13" t="inlineStr"/>
      <c r="AO135" s="19" t="inlineStr">
        <is>
          <t>Não</t>
        </is>
      </c>
      <c r="AP135" s="13" t="inlineStr">
        <is>
          <t>P82</t>
        </is>
      </c>
      <c r="AQ135" s="22" t="inlineStr">
        <is>
          <t>Duplicado exato</t>
        </is>
      </c>
      <c r="AR135" s="15" t="inlineStr">
        <is>
          <t>Página repetida do mesmo documento fiscal; excluída da soma para evitar dupla contabilização.</t>
        </is>
      </c>
      <c r="AS135" s="15" t="inlineStr">
        <is>
          <t>NOTAS FISCAIS DE COMPRA JANEIRO 2026.pdf - p. 134</t>
        </is>
      </c>
    </row>
    <row r="136">
      <c r="A136" s="13" t="inlineStr">
        <is>
          <t>JAN26-P135</t>
        </is>
      </c>
      <c r="B136" s="13" t="n">
        <v>135</v>
      </c>
      <c r="C136" s="13" t="inlineStr">
        <is>
          <t>NFS-e</t>
        </is>
      </c>
      <c r="D136" s="13" t="inlineStr"/>
      <c r="E136" s="13" t="inlineStr">
        <is>
          <t>16004</t>
        </is>
      </c>
      <c r="F136" s="13" t="inlineStr"/>
      <c r="G136" s="25" t="n">
        <v>46010</v>
      </c>
      <c r="H136" s="25" t="n"/>
      <c r="I136" s="13" t="inlineStr"/>
      <c r="J136" s="13" t="inlineStr">
        <is>
          <t>LENCO CENTRO DE CONTROLE TECNOLOGICO LTDA</t>
        </is>
      </c>
      <c r="K136" s="13" t="inlineStr">
        <is>
          <t>11.257.580/0001-13</t>
        </is>
      </c>
      <c r="L136" s="13" t="inlineStr">
        <is>
          <t>23.655.038/0002-89</t>
        </is>
      </c>
      <c r="M136" s="13" t="inlineStr">
        <is>
          <t>SKAL /0002</t>
        </is>
      </c>
      <c r="N136" s="13" t="inlineStr">
        <is>
          <t>Servicos</t>
        </is>
      </c>
      <c r="O136" s="13" t="inlineStr">
        <is>
          <t>Ensaios/laboratorio</t>
        </is>
      </c>
      <c r="P136" s="15" t="inlineStr">
        <is>
          <t>SERVICO PRESTADO DE ENSAIO - ARGAMASSA DE REJUNTAMENTO ACRILICO BRANCO TIPO II LOTE KAL0925</t>
        </is>
      </c>
      <c r="Q136" s="16" t="n">
        <v>750</v>
      </c>
      <c r="R136" s="16" t="n"/>
      <c r="S136" s="16" t="n">
        <v>750</v>
      </c>
      <c r="T136" s="16" t="n"/>
      <c r="U136" s="16" t="n"/>
      <c r="V136" s="17" t="n"/>
      <c r="W136" s="16" t="n"/>
      <c r="X136" s="16" t="n"/>
      <c r="Y136" s="16" t="n"/>
      <c r="Z136" s="16" t="n"/>
      <c r="AA136" s="16" t="n"/>
      <c r="AB136" s="16" t="n"/>
      <c r="AC136" s="16" t="n">
        <v>750</v>
      </c>
      <c r="AD136" s="17" t="n">
        <v>0.05</v>
      </c>
      <c r="AE136" s="16" t="n">
        <v>37.5</v>
      </c>
      <c r="AF136" s="16" t="n">
        <v>11.25</v>
      </c>
      <c r="AG136" s="16" t="n">
        <v>7.5</v>
      </c>
      <c r="AH136" s="16" t="n">
        <v>4.88</v>
      </c>
      <c r="AI136" s="16" t="n">
        <v>22.5</v>
      </c>
      <c r="AJ136" s="16" t="n"/>
      <c r="AK136" s="16" t="n"/>
      <c r="AL136" s="16" t="n"/>
      <c r="AM136" s="13" t="inlineStr">
        <is>
          <t>Alta</t>
        </is>
      </c>
      <c r="AN136" s="13" t="inlineStr"/>
      <c r="AO136" s="18" t="inlineStr">
        <is>
          <t>Sim</t>
        </is>
      </c>
      <c r="AP136" s="13" t="inlineStr"/>
      <c r="AQ136" s="13" t="inlineStr"/>
      <c r="AR136" s="15" t="inlineStr"/>
      <c r="AS136" s="15" t="inlineStr">
        <is>
          <t>NOTAS FISCAIS DE COMPRA JANEIRO 2026.pdf - p. 135</t>
        </is>
      </c>
    </row>
    <row r="137">
      <c r="A137" s="13" t="inlineStr">
        <is>
          <t>JAN26-P136</t>
        </is>
      </c>
      <c r="B137" s="13" t="n">
        <v>136</v>
      </c>
      <c r="C137" s="13" t="inlineStr">
        <is>
          <t>NFS-e</t>
        </is>
      </c>
      <c r="D137" s="13" t="inlineStr"/>
      <c r="E137" s="13" t="inlineStr">
        <is>
          <t>3320</t>
        </is>
      </c>
      <c r="F137" s="13" t="inlineStr">
        <is>
          <t>U</t>
        </is>
      </c>
      <c r="G137" s="25" t="n">
        <v>46029</v>
      </c>
      <c r="H137" s="25" t="n"/>
      <c r="I137" s="13" t="inlineStr"/>
      <c r="J137" s="13" t="inlineStr">
        <is>
          <t>LCM CONSULTING AND INFORMATION SERVICES LTDA</t>
        </is>
      </c>
      <c r="K137" s="13" t="inlineStr">
        <is>
          <t>04.704.452/0001-05</t>
        </is>
      </c>
      <c r="L137" s="13" t="inlineStr">
        <is>
          <t>23.655.038/0002-89</t>
        </is>
      </c>
      <c r="M137" s="13" t="inlineStr">
        <is>
          <t>SKAL /0002</t>
        </is>
      </c>
      <c r="N137" s="13" t="inlineStr">
        <is>
          <t>Servicos</t>
        </is>
      </c>
      <c r="O137" s="13" t="inlineStr">
        <is>
          <t>TI/suporte</t>
        </is>
      </c>
      <c r="P137" s="15" t="inlineStr">
        <is>
          <t>REFERENTE AOS SERVICOS PRESTADOS NO MES DE DEZEMBRO/2025</t>
        </is>
      </c>
      <c r="Q137" s="16" t="n">
        <v>1788.75</v>
      </c>
      <c r="R137" s="16" t="n"/>
      <c r="S137" s="16" t="n">
        <v>1788.75</v>
      </c>
      <c r="T137" s="16" t="n"/>
      <c r="U137" s="16" t="n"/>
      <c r="V137" s="17" t="n"/>
      <c r="W137" s="16" t="n"/>
      <c r="X137" s="16" t="n"/>
      <c r="Y137" s="16" t="n"/>
      <c r="Z137" s="16" t="n"/>
      <c r="AA137" s="16" t="n"/>
      <c r="AB137" s="16" t="n"/>
      <c r="AC137" s="16" t="n"/>
      <c r="AD137" s="17" t="n"/>
      <c r="AE137" s="16" t="n"/>
      <c r="AF137" s="16" t="n"/>
      <c r="AG137" s="16" t="n"/>
      <c r="AH137" s="16" t="n"/>
      <c r="AI137" s="16" t="n"/>
      <c r="AJ137" s="16" t="n"/>
      <c r="AK137" s="16" t="n"/>
      <c r="AL137" s="16" t="n"/>
      <c r="AM137" s="13" t="inlineStr">
        <is>
          <t>Alta</t>
        </is>
      </c>
      <c r="AN137" s="13" t="inlineStr"/>
      <c r="AO137" s="18" t="inlineStr">
        <is>
          <t>Sim</t>
        </is>
      </c>
      <c r="AP137" s="13" t="inlineStr"/>
      <c r="AQ137" s="13" t="inlineStr"/>
      <c r="AR137" s="15" t="inlineStr"/>
      <c r="AS137" s="15" t="inlineStr">
        <is>
          <t>NOTAS FISCAIS DE COMPRA JANEIRO 2026.pdf - p. 136</t>
        </is>
      </c>
    </row>
    <row r="138">
      <c r="A138" s="13" t="inlineStr">
        <is>
          <t>JAN26-P137</t>
        </is>
      </c>
      <c r="B138" s="13" t="n">
        <v>137</v>
      </c>
      <c r="C138" s="13" t="inlineStr">
        <is>
          <t>Outros/Documento</t>
        </is>
      </c>
      <c r="D138" s="13" t="inlineStr"/>
      <c r="E138" s="13" t="inlineStr"/>
      <c r="F138" s="13" t="inlineStr"/>
      <c r="G138" s="25" t="n">
        <v>46030</v>
      </c>
      <c r="H138" s="25" t="n"/>
      <c r="I138" s="13" t="inlineStr"/>
      <c r="J138" s="13" t="inlineStr">
        <is>
          <t>reT06é - RAYAR ESTEFANT BEZERRA TTALTANO unite Meade Sect hie ‘SRL ENGENHARIA INDUSTRIA E COM LTDA</t>
        </is>
      </c>
      <c r="K138" s="13" t="inlineStr"/>
      <c r="L138" s="13" t="inlineStr"/>
      <c r="M138" s="13" t="inlineStr"/>
      <c r="N138" s="13" t="inlineStr">
        <is>
          <t>Apoio</t>
        </is>
      </c>
      <c r="O138" s="13" t="inlineStr">
        <is>
          <t>Documento de apoio</t>
        </is>
      </c>
      <c r="P138" s="15" t="inlineStr"/>
      <c r="Q138" s="16" t="n"/>
      <c r="R138" s="16" t="n"/>
      <c r="S138" s="16" t="n"/>
      <c r="T138" s="16" t="n"/>
      <c r="U138" s="16" t="n"/>
      <c r="V138" s="17" t="n"/>
      <c r="W138" s="16" t="n"/>
      <c r="X138" s="16" t="n"/>
      <c r="Y138" s="16" t="n"/>
      <c r="Z138" s="16" t="n"/>
      <c r="AA138" s="16" t="n"/>
      <c r="AB138" s="16" t="n"/>
      <c r="AC138" s="16" t="n"/>
      <c r="AD138" s="17" t="n"/>
      <c r="AE138" s="16" t="n"/>
      <c r="AF138" s="16" t="n"/>
      <c r="AG138" s="16" t="n"/>
      <c r="AH138" s="16" t="n"/>
      <c r="AI138" s="16" t="n"/>
      <c r="AJ138" s="16" t="n"/>
      <c r="AK138" s="16" t="n"/>
      <c r="AL138" s="16" t="n"/>
      <c r="AM138" s="13" t="inlineStr">
        <is>
          <t>Baixa</t>
        </is>
      </c>
      <c r="AN138" s="13" t="inlineStr"/>
      <c r="AO138" s="19" t="inlineStr">
        <is>
          <t>Não</t>
        </is>
      </c>
      <c r="AP138" s="13" t="inlineStr"/>
      <c r="AQ138" s="13" t="inlineStr"/>
      <c r="AR138" s="15" t="inlineStr"/>
      <c r="AS138" s="15" t="inlineStr">
        <is>
          <t>NOTAS FISCAIS DE COMPRA JANEIRO 2026.pdf - p. 137</t>
        </is>
      </c>
    </row>
    <row r="139">
      <c r="A139" s="13" t="inlineStr">
        <is>
          <t>JAN26-P138</t>
        </is>
      </c>
      <c r="B139" s="13" t="n">
        <v>138</v>
      </c>
      <c r="C139" s="13" t="inlineStr">
        <is>
          <t>Ordem de Servico</t>
        </is>
      </c>
      <c r="D139" s="13" t="inlineStr"/>
      <c r="E139" s="13" t="inlineStr"/>
      <c r="F139" s="13" t="inlineStr"/>
      <c r="G139" s="25" t="n">
        <v>46030</v>
      </c>
      <c r="H139" s="25" t="n"/>
      <c r="I139" s="13" t="inlineStr"/>
      <c r="J139" s="13" t="inlineStr">
        <is>
          <t>Eventuais restighes quanto ao contevdo, apontamentos ou outros dadas contidos nas Ordens da Services aqui fistadas,</t>
        </is>
      </c>
      <c r="K139" s="13" t="inlineStr">
        <is>
          <t>01.557.020/2512-04</t>
        </is>
      </c>
      <c r="L139" s="13" t="inlineStr"/>
      <c r="M139" s="13" t="inlineStr"/>
      <c r="N139" s="13" t="inlineStr">
        <is>
          <t>Apoio</t>
        </is>
      </c>
      <c r="O139" s="13" t="inlineStr">
        <is>
          <t>Documento de apoio</t>
        </is>
      </c>
      <c r="P139" s="15" t="inlineStr"/>
      <c r="Q139" s="16" t="n"/>
      <c r="R139" s="16" t="n"/>
      <c r="S139" s="16" t="n"/>
      <c r="T139" s="16" t="n"/>
      <c r="U139" s="16" t="n"/>
      <c r="V139" s="17" t="n"/>
      <c r="W139" s="16" t="n"/>
      <c r="X139" s="16" t="n"/>
      <c r="Y139" s="16" t="n"/>
      <c r="Z139" s="16" t="n"/>
      <c r="AA139" s="16" t="n"/>
      <c r="AB139" s="16" t="n"/>
      <c r="AC139" s="16" t="n"/>
      <c r="AD139" s="17" t="n"/>
      <c r="AE139" s="16" t="n"/>
      <c r="AF139" s="16" t="n"/>
      <c r="AG139" s="16" t="n"/>
      <c r="AH139" s="16" t="n"/>
      <c r="AI139" s="16" t="n"/>
      <c r="AJ139" s="16" t="n"/>
      <c r="AK139" s="16" t="n"/>
      <c r="AL139" s="16" t="n"/>
      <c r="AM139" s="13" t="inlineStr">
        <is>
          <t>Media</t>
        </is>
      </c>
      <c r="AN139" s="13" t="inlineStr"/>
      <c r="AO139" s="19" t="inlineStr">
        <is>
          <t>Não</t>
        </is>
      </c>
      <c r="AP139" s="13" t="inlineStr"/>
      <c r="AQ139" s="13" t="inlineStr"/>
      <c r="AR139" s="15" t="inlineStr"/>
      <c r="AS139" s="15" t="inlineStr">
        <is>
          <t>NOTAS FISCAIS DE COMPRA JANEIRO 2026.pdf - p. 138</t>
        </is>
      </c>
    </row>
    <row r="140">
      <c r="A140" s="13" t="inlineStr">
        <is>
          <t>JAN26-P139</t>
        </is>
      </c>
      <c r="B140" s="13" t="n">
        <v>139</v>
      </c>
      <c r="C140" s="13" t="inlineStr">
        <is>
          <t>Ordem de Servico</t>
        </is>
      </c>
      <c r="D140" s="13" t="inlineStr"/>
      <c r="E140" s="13" t="inlineStr"/>
      <c r="F140" s="13" t="inlineStr"/>
      <c r="G140" s="25" t="n">
        <v>46030</v>
      </c>
      <c r="H140" s="25" t="n"/>
      <c r="I140" s="13" t="inlineStr"/>
      <c r="J140" s="13" t="inlineStr">
        <is>
          <t>Eventuals restrigdes quanto ao contaddo, apontamentos ou outros dados contidos nas Ordens de Servicos aqui listadas</t>
        </is>
      </c>
      <c r="K140" s="13" t="inlineStr"/>
      <c r="L140" s="13" t="inlineStr"/>
      <c r="M140" s="13" t="inlineStr"/>
      <c r="N140" s="13" t="inlineStr">
        <is>
          <t>Apoio</t>
        </is>
      </c>
      <c r="O140" s="13" t="inlineStr">
        <is>
          <t>Documento de apoio</t>
        </is>
      </c>
      <c r="P140" s="15" t="inlineStr"/>
      <c r="Q140" s="16" t="n"/>
      <c r="R140" s="16" t="n"/>
      <c r="S140" s="16" t="n"/>
      <c r="T140" s="16" t="n"/>
      <c r="U140" s="16" t="n"/>
      <c r="V140" s="17" t="n"/>
      <c r="W140" s="16" t="n"/>
      <c r="X140" s="16" t="n"/>
      <c r="Y140" s="16" t="n"/>
      <c r="Z140" s="16" t="n"/>
      <c r="AA140" s="16" t="n"/>
      <c r="AB140" s="16" t="n"/>
      <c r="AC140" s="16" t="n"/>
      <c r="AD140" s="17" t="n"/>
      <c r="AE140" s="16" t="n"/>
      <c r="AF140" s="16" t="n"/>
      <c r="AG140" s="16" t="n"/>
      <c r="AH140" s="16" t="n"/>
      <c r="AI140" s="16" t="n"/>
      <c r="AJ140" s="16" t="n"/>
      <c r="AK140" s="16" t="n"/>
      <c r="AL140" s="16" t="n"/>
      <c r="AM140" s="13" t="inlineStr">
        <is>
          <t>Baixa</t>
        </is>
      </c>
      <c r="AN140" s="13" t="inlineStr"/>
      <c r="AO140" s="19" t="inlineStr">
        <is>
          <t>Não</t>
        </is>
      </c>
      <c r="AP140" s="13" t="inlineStr"/>
      <c r="AQ140" s="13" t="inlineStr"/>
      <c r="AR140" s="15" t="inlineStr"/>
      <c r="AS140" s="15" t="inlineStr">
        <is>
          <t>NOTAS FISCAIS DE COMPRA JANEIRO 2026.pdf - p. 139</t>
        </is>
      </c>
    </row>
    <row r="141">
      <c r="A141" s="13" t="inlineStr">
        <is>
          <t>JAN26-P140</t>
        </is>
      </c>
      <c r="B141" s="13" t="n">
        <v>140</v>
      </c>
      <c r="C141" s="13" t="inlineStr">
        <is>
          <t>Boleto/Financeiro</t>
        </is>
      </c>
      <c r="D141" s="13" t="inlineStr"/>
      <c r="E141" s="13" t="inlineStr"/>
      <c r="F141" s="13" t="inlineStr"/>
      <c r="G141" s="25" t="n">
        <v>46030</v>
      </c>
      <c r="H141" s="25" t="n"/>
      <c r="I141" s="13" t="inlineStr"/>
      <c r="J141" s="13" t="inlineStr">
        <is>
          <t>veTOO¢ = RAYRA CSTEPANI BEZERRA ETALIANO vorsli - atin Nan Se Kea tha TNDUSTRIA E COM LTDA</t>
        </is>
      </c>
      <c r="K141" s="13" t="inlineStr"/>
      <c r="L141" s="13" t="inlineStr"/>
      <c r="M141" s="13" t="inlineStr"/>
      <c r="N141" s="13" t="inlineStr">
        <is>
          <t>Apoio</t>
        </is>
      </c>
      <c r="O141" s="13" t="inlineStr">
        <is>
          <t>Documento de apoio</t>
        </is>
      </c>
      <c r="P141" s="15" t="inlineStr"/>
      <c r="Q141" s="16" t="n"/>
      <c r="R141" s="16" t="n"/>
      <c r="S141" s="16" t="n"/>
      <c r="T141" s="16" t="n"/>
      <c r="U141" s="16" t="n"/>
      <c r="V141" s="17" t="n"/>
      <c r="W141" s="16" t="n"/>
      <c r="X141" s="16" t="n"/>
      <c r="Y141" s="16" t="n"/>
      <c r="Z141" s="16" t="n"/>
      <c r="AA141" s="16" t="n"/>
      <c r="AB141" s="16" t="n"/>
      <c r="AC141" s="16" t="n"/>
      <c r="AD141" s="17" t="n"/>
      <c r="AE141" s="16" t="n"/>
      <c r="AF141" s="16" t="n"/>
      <c r="AG141" s="16" t="n"/>
      <c r="AH141" s="16" t="n"/>
      <c r="AI141" s="16" t="n"/>
      <c r="AJ141" s="16" t="n"/>
      <c r="AK141" s="16" t="n"/>
      <c r="AL141" s="16" t="n"/>
      <c r="AM141" s="13" t="inlineStr">
        <is>
          <t>Baixa</t>
        </is>
      </c>
      <c r="AN141" s="13" t="inlineStr"/>
      <c r="AO141" s="19" t="inlineStr">
        <is>
          <t>Não</t>
        </is>
      </c>
      <c r="AP141" s="13" t="inlineStr"/>
      <c r="AQ141" s="13" t="inlineStr"/>
      <c r="AR141" s="15" t="inlineStr"/>
      <c r="AS141" s="15" t="inlineStr">
        <is>
          <t>NOTAS FISCAIS DE COMPRA JANEIRO 2026.pdf - p. 140</t>
        </is>
      </c>
    </row>
    <row r="142">
      <c r="A142" s="13" t="inlineStr">
        <is>
          <t>JAN26-P141</t>
        </is>
      </c>
      <c r="B142" s="13" t="n">
        <v>141</v>
      </c>
      <c r="C142" s="13" t="inlineStr">
        <is>
          <t>Ordem de Servico</t>
        </is>
      </c>
      <c r="D142" s="13" t="inlineStr"/>
      <c r="E142" s="13" t="inlineStr"/>
      <c r="F142" s="13" t="inlineStr"/>
      <c r="G142" s="25" t="n">
        <v>46030</v>
      </c>
      <c r="H142" s="25" t="n"/>
      <c r="I142" s="13" t="inlineStr"/>
      <c r="J142" s="13" t="inlineStr">
        <is>
          <t>Ay, dove dos Santos e Siva, 2659 - Pigarra - 64017045 - Teresina (Pl)</t>
        </is>
      </c>
      <c r="K142" s="13" t="inlineStr"/>
      <c r="L142" s="13" t="inlineStr"/>
      <c r="M142" s="13" t="inlineStr"/>
      <c r="N142" s="13" t="inlineStr">
        <is>
          <t>Apoio</t>
        </is>
      </c>
      <c r="O142" s="13" t="inlineStr">
        <is>
          <t>Documento de apoio</t>
        </is>
      </c>
      <c r="P142" s="15" t="inlineStr"/>
      <c r="Q142" s="16" t="n"/>
      <c r="R142" s="16" t="n"/>
      <c r="S142" s="16" t="n"/>
      <c r="T142" s="16" t="n"/>
      <c r="U142" s="16" t="n"/>
      <c r="V142" s="17" t="n"/>
      <c r="W142" s="16" t="n"/>
      <c r="X142" s="16" t="n"/>
      <c r="Y142" s="16" t="n"/>
      <c r="Z142" s="16" t="n"/>
      <c r="AA142" s="16" t="n"/>
      <c r="AB142" s="16" t="n"/>
      <c r="AC142" s="16" t="n"/>
      <c r="AD142" s="17" t="n"/>
      <c r="AE142" s="16" t="n"/>
      <c r="AF142" s="16" t="n"/>
      <c r="AG142" s="16" t="n"/>
      <c r="AH142" s="16" t="n"/>
      <c r="AI142" s="16" t="n"/>
      <c r="AJ142" s="16" t="n"/>
      <c r="AK142" s="16" t="n"/>
      <c r="AL142" s="16" t="n"/>
      <c r="AM142" s="13" t="inlineStr">
        <is>
          <t>Baixa</t>
        </is>
      </c>
      <c r="AN142" s="13" t="inlineStr"/>
      <c r="AO142" s="19" t="inlineStr">
        <is>
          <t>Não</t>
        </is>
      </c>
      <c r="AP142" s="13" t="inlineStr"/>
      <c r="AQ142" s="13" t="inlineStr"/>
      <c r="AR142" s="15" t="inlineStr"/>
      <c r="AS142" s="15" t="inlineStr">
        <is>
          <t>NOTAS FISCAIS DE COMPRA JANEIRO 2026.pdf - p. 141</t>
        </is>
      </c>
    </row>
    <row r="143">
      <c r="A143" s="13" t="inlineStr">
        <is>
          <t>JAN26-P142</t>
        </is>
      </c>
      <c r="B143" s="13" t="n">
        <v>142</v>
      </c>
      <c r="C143" s="13" t="inlineStr">
        <is>
          <t>Ordem de Servico</t>
        </is>
      </c>
      <c r="D143" s="13" t="inlineStr"/>
      <c r="E143" s="13" t="inlineStr"/>
      <c r="F143" s="13" t="inlineStr"/>
      <c r="G143" s="25" t="n">
        <v>46030</v>
      </c>
      <c r="H143" s="25" t="n"/>
      <c r="I143" s="13" t="inlineStr"/>
      <c r="J143" s="13" t="inlineStr">
        <is>
          <t>Congultor,: TPI070 ~ MARCO VINECIO MARTINS DE OLIVEIRA MELO / Central de Recursos</t>
        </is>
      </c>
      <c r="K143" s="13" t="inlineStr"/>
      <c r="L143" s="13" t="inlineStr"/>
      <c r="M143" s="13" t="inlineStr"/>
      <c r="N143" s="13" t="inlineStr">
        <is>
          <t>Apoio</t>
        </is>
      </c>
      <c r="O143" s="13" t="inlineStr">
        <is>
          <t>Documento de apoio</t>
        </is>
      </c>
      <c r="P143" s="15" t="inlineStr"/>
      <c r="Q143" s="16" t="n"/>
      <c r="R143" s="16" t="n"/>
      <c r="S143" s="16" t="n"/>
      <c r="T143" s="16" t="n"/>
      <c r="U143" s="16" t="n"/>
      <c r="V143" s="17" t="n"/>
      <c r="W143" s="16" t="n"/>
      <c r="X143" s="16" t="n"/>
      <c r="Y143" s="16" t="n"/>
      <c r="Z143" s="16" t="n"/>
      <c r="AA143" s="16" t="n"/>
      <c r="AB143" s="16" t="n"/>
      <c r="AC143" s="16" t="n"/>
      <c r="AD143" s="17" t="n"/>
      <c r="AE143" s="16" t="n"/>
      <c r="AF143" s="16" t="n"/>
      <c r="AG143" s="16" t="n"/>
      <c r="AH143" s="16" t="n"/>
      <c r="AI143" s="16" t="n"/>
      <c r="AJ143" s="16" t="n"/>
      <c r="AK143" s="16" t="n"/>
      <c r="AL143" s="16" t="n"/>
      <c r="AM143" s="13" t="inlineStr">
        <is>
          <t>Baixa</t>
        </is>
      </c>
      <c r="AN143" s="13" t="inlineStr"/>
      <c r="AO143" s="19" t="inlineStr">
        <is>
          <t>Não</t>
        </is>
      </c>
      <c r="AP143" s="13" t="inlineStr"/>
      <c r="AQ143" s="13" t="inlineStr"/>
      <c r="AR143" s="15" t="inlineStr"/>
      <c r="AS143" s="15" t="inlineStr">
        <is>
          <t>NOTAS FISCAIS DE COMPRA JANEIRO 2026.pdf - p. 142</t>
        </is>
      </c>
    </row>
    <row r="144">
      <c r="A144" s="13" t="inlineStr">
        <is>
          <t>JAN26-P143</t>
        </is>
      </c>
      <c r="B144" s="13" t="n">
        <v>143</v>
      </c>
      <c r="C144" s="13" t="inlineStr">
        <is>
          <t>NFS-e</t>
        </is>
      </c>
      <c r="D144" s="13" t="inlineStr"/>
      <c r="E144" s="13" t="inlineStr">
        <is>
          <t>3</t>
        </is>
      </c>
      <c r="F144" s="13" t="inlineStr">
        <is>
          <t>900</t>
        </is>
      </c>
      <c r="G144" s="25" t="n">
        <v>46030</v>
      </c>
      <c r="H144" s="25" t="n"/>
      <c r="I144" s="13" t="inlineStr"/>
      <c r="J144" s="13" t="inlineStr">
        <is>
          <t>MICHELA MEDEIROS FRANCO</t>
        </is>
      </c>
      <c r="K144" s="13" t="inlineStr">
        <is>
          <t>64.060.822/0001-40</t>
        </is>
      </c>
      <c r="L144" s="13" t="inlineStr">
        <is>
          <t>23.655.038/0002-89</t>
        </is>
      </c>
      <c r="M144" s="13" t="inlineStr">
        <is>
          <t>SKAL /0002</t>
        </is>
      </c>
      <c r="N144" s="13" t="inlineStr">
        <is>
          <t>Servicos</t>
        </is>
      </c>
      <c r="O144" s="13" t="inlineStr">
        <is>
          <t>Treinamento</t>
        </is>
      </c>
      <c r="P144" s="15" t="inlineStr">
        <is>
          <t>SERVICO PRESTADO REF. AO MES DE DEZEMBRO/2025</t>
        </is>
      </c>
      <c r="Q144" s="16" t="n">
        <v>4800</v>
      </c>
      <c r="R144" s="16" t="n"/>
      <c r="S144" s="16" t="n">
        <v>4800</v>
      </c>
      <c r="T144" s="16" t="n"/>
      <c r="U144" s="16" t="n"/>
      <c r="V144" s="17" t="n"/>
      <c r="W144" s="16" t="n"/>
      <c r="X144" s="16" t="n"/>
      <c r="Y144" s="16" t="n"/>
      <c r="Z144" s="16" t="n"/>
      <c r="AA144" s="16" t="n"/>
      <c r="AB144" s="16" t="n"/>
      <c r="AC144" s="16" t="n"/>
      <c r="AD144" s="17" t="n"/>
      <c r="AE144" s="16" t="n"/>
      <c r="AF144" s="16" t="n"/>
      <c r="AG144" s="16" t="n"/>
      <c r="AH144" s="16" t="n"/>
      <c r="AI144" s="16" t="n"/>
      <c r="AJ144" s="16" t="n"/>
      <c r="AK144" s="16" t="n"/>
      <c r="AL144" s="16" t="n"/>
      <c r="AM144" s="13" t="inlineStr">
        <is>
          <t>Alta</t>
        </is>
      </c>
      <c r="AN144" s="13" t="inlineStr"/>
      <c r="AO144" s="18" t="inlineStr">
        <is>
          <t>Sim</t>
        </is>
      </c>
      <c r="AP144" s="13" t="inlineStr"/>
      <c r="AQ144" s="13" t="inlineStr"/>
      <c r="AR144" s="15" t="inlineStr"/>
      <c r="AS144" s="15" t="inlineStr">
        <is>
          <t>NOTAS FISCAIS DE COMPRA JANEIRO 2026.pdf - p. 143</t>
        </is>
      </c>
    </row>
    <row r="145">
      <c r="A145" s="13" t="inlineStr">
        <is>
          <t>JAN26-P144</t>
        </is>
      </c>
      <c r="B145" s="13" t="n">
        <v>144</v>
      </c>
      <c r="C145" s="13" t="inlineStr">
        <is>
          <t>NFS-e</t>
        </is>
      </c>
      <c r="D145" s="13" t="inlineStr"/>
      <c r="E145" s="13" t="inlineStr">
        <is>
          <t>18513</t>
        </is>
      </c>
      <c r="F145" s="13" t="inlineStr">
        <is>
          <t>U</t>
        </is>
      </c>
      <c r="G145" s="25" t="n">
        <v>46000</v>
      </c>
      <c r="H145" s="25" t="n"/>
      <c r="I145" s="13" t="inlineStr"/>
      <c r="J145" s="13" t="inlineStr">
        <is>
          <t>VANGUARD PECAS E SERVICOS AUTOMOTIVOS LTDA</t>
        </is>
      </c>
      <c r="K145" s="13" t="inlineStr">
        <is>
          <t>10.708.117/0001-88</t>
        </is>
      </c>
      <c r="L145" s="13" t="inlineStr">
        <is>
          <t>23.655.038/0002-89</t>
        </is>
      </c>
      <c r="M145" s="13" t="inlineStr">
        <is>
          <t>SKAL /0002</t>
        </is>
      </c>
      <c r="N145" s="13" t="inlineStr">
        <is>
          <t>Servicos</t>
        </is>
      </c>
      <c r="O145" s="13" t="inlineStr">
        <is>
          <t>Manutencao/reparacao</t>
        </is>
      </c>
      <c r="P145" s="15" t="inlineStr">
        <is>
          <t>SERVICO DE AFERICAO DE TACOGRAFO R$58,62; SELAGEM R$68,94; ENSAIO R$142,44.</t>
        </is>
      </c>
      <c r="Q145" s="16" t="n">
        <v>270</v>
      </c>
      <c r="R145" s="16" t="n"/>
      <c r="S145" s="16" t="n">
        <v>270</v>
      </c>
      <c r="T145" s="16" t="n"/>
      <c r="U145" s="16" t="n"/>
      <c r="V145" s="17" t="n"/>
      <c r="W145" s="16" t="n"/>
      <c r="X145" s="16" t="n"/>
      <c r="Y145" s="16" t="n"/>
      <c r="Z145" s="16" t="n"/>
      <c r="AA145" s="16" t="n">
        <v>8</v>
      </c>
      <c r="AB145" s="16" t="n"/>
      <c r="AC145" s="16" t="n">
        <v>270</v>
      </c>
      <c r="AD145" s="17" t="n">
        <v>0.05</v>
      </c>
      <c r="AE145" s="16" t="n">
        <v>13.5</v>
      </c>
      <c r="AF145" s="16" t="n"/>
      <c r="AG145" s="16" t="n"/>
      <c r="AH145" s="16" t="n"/>
      <c r="AI145" s="16" t="n"/>
      <c r="AJ145" s="16" t="n"/>
      <c r="AK145" s="16" t="n"/>
      <c r="AL145" s="16" t="n"/>
      <c r="AM145" s="13" t="inlineStr">
        <is>
          <t>Alta</t>
        </is>
      </c>
      <c r="AN145" s="13" t="inlineStr"/>
      <c r="AO145" s="18" t="inlineStr">
        <is>
          <t>Sim</t>
        </is>
      </c>
      <c r="AP145" s="13" t="inlineStr"/>
      <c r="AQ145" s="13" t="inlineStr"/>
      <c r="AR145" s="15" t="inlineStr"/>
      <c r="AS145" s="15" t="inlineStr">
        <is>
          <t>NOTAS FISCAIS DE COMPRA JANEIRO 2026.pdf - p. 144</t>
        </is>
      </c>
    </row>
    <row r="146">
      <c r="A146" s="13" t="inlineStr">
        <is>
          <t>JAN26-P145</t>
        </is>
      </c>
      <c r="B146" s="13" t="n">
        <v>145</v>
      </c>
      <c r="C146" s="13" t="inlineStr">
        <is>
          <t>NFS-e</t>
        </is>
      </c>
      <c r="D146" s="13" t="inlineStr"/>
      <c r="E146" s="13" t="inlineStr">
        <is>
          <t>9</t>
        </is>
      </c>
      <c r="F146" s="13" t="inlineStr">
        <is>
          <t>U</t>
        </is>
      </c>
      <c r="G146" s="25" t="n">
        <v>46030</v>
      </c>
      <c r="H146" s="25" t="n"/>
      <c r="I146" s="13" t="inlineStr"/>
      <c r="J146" s="13" t="inlineStr">
        <is>
          <t>MARCEL DE MOURA GOMES LTDA</t>
        </is>
      </c>
      <c r="K146" s="13" t="inlineStr">
        <is>
          <t>55.944.213/0001-63</t>
        </is>
      </c>
      <c r="L146" s="13" t="inlineStr">
        <is>
          <t>23.655.038/0002-89</t>
        </is>
      </c>
      <c r="M146" s="13" t="inlineStr">
        <is>
          <t>SKAL /0002</t>
        </is>
      </c>
      <c r="N146" s="13" t="inlineStr">
        <is>
          <t>Servicos</t>
        </is>
      </c>
      <c r="O146" s="13" t="inlineStr">
        <is>
          <t>Marketing/promocao</t>
        </is>
      </c>
      <c r="P146" s="15" t="inlineStr">
        <is>
          <t>PRESTACAO DE SERVICOS DE DIVULGACAO DE MARCA KALFIX</t>
        </is>
      </c>
      <c r="Q146" s="16" t="n">
        <v>3000</v>
      </c>
      <c r="R146" s="16" t="n"/>
      <c r="S146" s="16" t="n">
        <v>3000</v>
      </c>
      <c r="T146" s="16" t="n"/>
      <c r="U146" s="16" t="n"/>
      <c r="V146" s="17" t="n"/>
      <c r="W146" s="16" t="n"/>
      <c r="X146" s="16" t="n"/>
      <c r="Y146" s="16" t="n"/>
      <c r="Z146" s="16" t="n"/>
      <c r="AA146" s="16" t="n"/>
      <c r="AB146" s="16" t="n"/>
      <c r="AC146" s="16" t="n">
        <v>3000</v>
      </c>
      <c r="AD146" s="17" t="n">
        <v>0.05</v>
      </c>
      <c r="AE146" s="16" t="n">
        <v>150</v>
      </c>
      <c r="AF146" s="16" t="n"/>
      <c r="AG146" s="16" t="n"/>
      <c r="AH146" s="16" t="n"/>
      <c r="AI146" s="16" t="n"/>
      <c r="AJ146" s="16" t="n"/>
      <c r="AK146" s="16" t="n"/>
      <c r="AL146" s="16" t="n"/>
      <c r="AM146" s="13" t="inlineStr">
        <is>
          <t>Alta</t>
        </is>
      </c>
      <c r="AN146" s="13" t="inlineStr"/>
      <c r="AO146" s="18" t="inlineStr">
        <is>
          <t>Sim</t>
        </is>
      </c>
      <c r="AP146" s="13" t="inlineStr"/>
      <c r="AQ146" s="13" t="inlineStr"/>
      <c r="AR146" s="15" t="inlineStr"/>
      <c r="AS146" s="15" t="inlineStr">
        <is>
          <t>NOTAS FISCAIS DE COMPRA JANEIRO 2026.pdf - p. 145</t>
        </is>
      </c>
    </row>
    <row r="147">
      <c r="A147" s="13" t="inlineStr">
        <is>
          <t>JAN26-P146</t>
        </is>
      </c>
      <c r="B147" s="13" t="n">
        <v>146</v>
      </c>
      <c r="C147" s="13" t="inlineStr">
        <is>
          <t>Fatura/Reembolso</t>
        </is>
      </c>
      <c r="D147" s="13" t="inlineStr"/>
      <c r="E147" s="13" t="inlineStr">
        <is>
          <t>67178532</t>
        </is>
      </c>
      <c r="F147" s="13" t="inlineStr"/>
      <c r="G147" s="25" t="n">
        <v>46020</v>
      </c>
      <c r="H147" s="25" t="n">
        <v>46029</v>
      </c>
      <c r="I147" s="13" t="inlineStr"/>
      <c r="J147" s="13" t="inlineStr">
        <is>
          <t>TICKET LOG / EDENRED SOLUCOES INSTITUICAO DE PAGAMENTO HA S.A.</t>
        </is>
      </c>
      <c r="K147" s="13" t="inlineStr"/>
      <c r="L147" s="13" t="inlineStr">
        <is>
          <t>23.655.038/0002-89</t>
        </is>
      </c>
      <c r="M147" s="13" t="inlineStr">
        <is>
          <t>SKAL /0002</t>
        </is>
      </c>
      <c r="N147" s="13" t="inlineStr">
        <is>
          <t>Apoio</t>
        </is>
      </c>
      <c r="O147" s="13" t="inlineStr">
        <is>
          <t>Reembolso cartao</t>
        </is>
      </c>
      <c r="P147" s="15" t="inlineStr">
        <is>
          <t>REEMBOLSO COMPRAS CARTAO GOOD CARD PLUS</t>
        </is>
      </c>
      <c r="Q147" s="16" t="n">
        <v>358.58</v>
      </c>
      <c r="R147" s="16" t="n"/>
      <c r="S147" s="16" t="n"/>
      <c r="T147" s="16" t="n"/>
      <c r="U147" s="16" t="n"/>
      <c r="V147" s="17" t="n"/>
      <c r="W147" s="16" t="n"/>
      <c r="X147" s="16" t="n"/>
      <c r="Y147" s="16" t="n"/>
      <c r="Z147" s="16" t="n"/>
      <c r="AA147" s="16" t="n"/>
      <c r="AB147" s="16" t="n"/>
      <c r="AC147" s="16" t="n"/>
      <c r="AD147" s="17" t="n"/>
      <c r="AE147" s="16" t="n"/>
      <c r="AF147" s="16" t="n"/>
      <c r="AG147" s="16" t="n"/>
      <c r="AH147" s="16" t="n"/>
      <c r="AI147" s="16" t="n"/>
      <c r="AJ147" s="16" t="n"/>
      <c r="AK147" s="16" t="n"/>
      <c r="AL147" s="16" t="n"/>
      <c r="AM147" s="13" t="inlineStr">
        <is>
          <t>Alta</t>
        </is>
      </c>
      <c r="AN147" s="21" t="inlineStr">
        <is>
          <t>Revisar documento</t>
        </is>
      </c>
      <c r="AO147" s="20" t="inlineStr">
        <is>
          <t>Revisar</t>
        </is>
      </c>
      <c r="AP147" s="13" t="inlineStr"/>
      <c r="AQ147" s="13" t="inlineStr"/>
      <c r="AR147" s="15" t="inlineStr">
        <is>
          <t>Fatura/reembolso: verificar documento fiscal de origem e tratamento contábil.</t>
        </is>
      </c>
      <c r="AS147" s="15" t="inlineStr">
        <is>
          <t>NOTAS FISCAIS DE COMPRA JANEIRO 2026.pdf - p. 146</t>
        </is>
      </c>
    </row>
    <row r="148">
      <c r="A148" s="13" t="inlineStr">
        <is>
          <t>JAN26-P147</t>
        </is>
      </c>
      <c r="B148" s="13" t="n">
        <v>147</v>
      </c>
      <c r="C148" s="13" t="inlineStr">
        <is>
          <t>NF-e</t>
        </is>
      </c>
      <c r="D148" s="13" t="inlineStr"/>
      <c r="E148" s="13" t="inlineStr">
        <is>
          <t>3520</t>
        </is>
      </c>
      <c r="F148" s="13" t="inlineStr">
        <is>
          <t>001</t>
        </is>
      </c>
      <c r="G148" s="25" t="n">
        <v>46028</v>
      </c>
      <c r="H148" s="25" t="n"/>
      <c r="I148" s="13" t="inlineStr"/>
      <c r="J148" s="13" t="inlineStr">
        <is>
          <t>BORGES &amp; CAMURCA RESTAURANTES LTDA</t>
        </is>
      </c>
      <c r="K148" s="13" t="inlineStr">
        <is>
          <t>25.140.178/0001-69</t>
        </is>
      </c>
      <c r="L148" s="13" t="inlineStr">
        <is>
          <t>23.655.038/0002-89</t>
        </is>
      </c>
      <c r="M148" s="13" t="inlineStr">
        <is>
          <t>SKAL /0002</t>
        </is>
      </c>
      <c r="N148" s="13" t="inlineStr">
        <is>
          <t>Produtos</t>
        </is>
      </c>
      <c r="O148" s="13" t="inlineStr">
        <is>
          <t>Alimentacao</t>
        </is>
      </c>
      <c r="P148" s="15" t="inlineStr">
        <is>
          <t>QUENTINHA, 63 UN x R$13,00</t>
        </is>
      </c>
      <c r="Q148" s="16" t="n">
        <v>819</v>
      </c>
      <c r="R148" s="16" t="n">
        <v>819</v>
      </c>
      <c r="S148" s="16" t="n"/>
      <c r="T148" s="16" t="n"/>
      <c r="U148" s="16" t="n"/>
      <c r="V148" s="17" t="n"/>
      <c r="W148" s="16" t="n"/>
      <c r="X148" s="16" t="n"/>
      <c r="Y148" s="16" t="n"/>
      <c r="Z148" s="16" t="n"/>
      <c r="AA148" s="16" t="n"/>
      <c r="AB148" s="16" t="n"/>
      <c r="AC148" s="16" t="n"/>
      <c r="AD148" s="17" t="n"/>
      <c r="AE148" s="16" t="n"/>
      <c r="AF148" s="16" t="n"/>
      <c r="AG148" s="16" t="n"/>
      <c r="AH148" s="16" t="n"/>
      <c r="AI148" s="16" t="n"/>
      <c r="AJ148" s="16" t="n"/>
      <c r="AK148" s="16" t="n"/>
      <c r="AL148" s="16" t="n"/>
      <c r="AM148" s="13" t="inlineStr">
        <is>
          <t>Alta</t>
        </is>
      </c>
      <c r="AN148" s="13" t="inlineStr"/>
      <c r="AO148" s="18" t="inlineStr">
        <is>
          <t>Sim</t>
        </is>
      </c>
      <c r="AP148" s="13" t="inlineStr"/>
      <c r="AQ148" s="13" t="inlineStr"/>
      <c r="AR148" s="15" t="inlineStr"/>
      <c r="AS148" s="15" t="inlineStr">
        <is>
          <t>NOTAS FISCAIS DE COMPRA JANEIRO 2026.pdf - p. 147</t>
        </is>
      </c>
    </row>
    <row r="149">
      <c r="A149" s="13" t="inlineStr">
        <is>
          <t>JAN26-P148</t>
        </is>
      </c>
      <c r="B149" s="13" t="n">
        <v>148</v>
      </c>
      <c r="C149" s="13" t="inlineStr">
        <is>
          <t>NF-e</t>
        </is>
      </c>
      <c r="D149" s="13" t="inlineStr"/>
      <c r="E149" s="13" t="inlineStr">
        <is>
          <t>16028</t>
        </is>
      </c>
      <c r="F149" s="13" t="inlineStr">
        <is>
          <t>1</t>
        </is>
      </c>
      <c r="G149" s="25" t="n">
        <v>46003</v>
      </c>
      <c r="H149" s="25" t="n"/>
      <c r="I149" s="13" t="inlineStr"/>
      <c r="J149" s="13" t="inlineStr">
        <is>
          <t>RENOVAR INDUSTRIA E COMERCIO DE EMBALAGENS EIRELI</t>
        </is>
      </c>
      <c r="K149" s="13" t="inlineStr">
        <is>
          <t>04.904.996/0001-10</t>
        </is>
      </c>
      <c r="L149" s="13" t="inlineStr">
        <is>
          <t>23.655.038/0002-89</t>
        </is>
      </c>
      <c r="M149" s="13" t="inlineStr">
        <is>
          <t>SKAL /0002</t>
        </is>
      </c>
      <c r="N149" s="13" t="inlineStr">
        <is>
          <t>Produtos</t>
        </is>
      </c>
      <c r="O149" s="13" t="inlineStr">
        <is>
          <t>Embalagens</t>
        </is>
      </c>
      <c r="P149" s="15" t="inlineStr"/>
      <c r="Q149" s="16" t="n">
        <v>29892.54</v>
      </c>
      <c r="R149" s="16" t="n">
        <v>27236.94</v>
      </c>
      <c r="S149" s="16" t="n"/>
      <c r="T149" s="16" t="n"/>
      <c r="U149" s="16" t="n">
        <v>27236.94</v>
      </c>
      <c r="V149" s="17" t="n"/>
      <c r="W149" s="16" t="n">
        <v>3268.43</v>
      </c>
      <c r="X149" s="16" t="n"/>
      <c r="Y149" s="16" t="n"/>
      <c r="Z149" s="16" t="n">
        <v>2655.6</v>
      </c>
      <c r="AA149" s="16" t="n"/>
      <c r="AB149" s="16" t="n"/>
      <c r="AC149" s="16" t="n"/>
      <c r="AD149" s="17" t="n"/>
      <c r="AE149" s="16" t="n"/>
      <c r="AF149" s="16" t="n"/>
      <c r="AG149" s="16" t="n"/>
      <c r="AH149" s="16" t="n"/>
      <c r="AI149" s="16" t="n"/>
      <c r="AJ149" s="16" t="n"/>
      <c r="AK149" s="16" t="n"/>
      <c r="AL149" s="16" t="n"/>
      <c r="AM149" s="13" t="inlineStr">
        <is>
          <t>Alta</t>
        </is>
      </c>
      <c r="AN149" s="13" t="inlineStr"/>
      <c r="AO149" s="18" t="inlineStr">
        <is>
          <t>Sim</t>
        </is>
      </c>
      <c r="AP149" s="13" t="inlineStr"/>
      <c r="AQ149" s="13" t="inlineStr"/>
      <c r="AR149" s="15" t="inlineStr"/>
      <c r="AS149" s="15" t="inlineStr">
        <is>
          <t>NOTAS FISCAIS DE COMPRA JANEIRO 2026.pdf - p. 148</t>
        </is>
      </c>
    </row>
    <row r="150">
      <c r="A150" s="13" t="inlineStr">
        <is>
          <t>JAN26-P149</t>
        </is>
      </c>
      <c r="B150" s="13" t="n">
        <v>149</v>
      </c>
      <c r="C150" s="13" t="inlineStr">
        <is>
          <t>NFCom</t>
        </is>
      </c>
      <c r="D150" s="13" t="inlineStr"/>
      <c r="E150" s="13" t="inlineStr">
        <is>
          <t>213</t>
        </is>
      </c>
      <c r="F150" s="13" t="inlineStr">
        <is>
          <t>001</t>
        </is>
      </c>
      <c r="G150" s="25" t="n">
        <v>46034</v>
      </c>
      <c r="H150" s="25" t="n">
        <v>46032</v>
      </c>
      <c r="I150" s="13" t="inlineStr"/>
      <c r="J150" s="13" t="inlineStr">
        <is>
          <t>DUO TELECOM LTDA</t>
        </is>
      </c>
      <c r="K150" s="13" t="inlineStr">
        <is>
          <t>07.128.744/0001-35</t>
        </is>
      </c>
      <c r="L150" s="13" t="inlineStr">
        <is>
          <t>23.655.038/0002-89</t>
        </is>
      </c>
      <c r="M150" s="13" t="inlineStr">
        <is>
          <t>SKAL /0002</t>
        </is>
      </c>
      <c r="N150" s="13" t="inlineStr">
        <is>
          <t>Servicos</t>
        </is>
      </c>
      <c r="O150" s="13" t="inlineStr">
        <is>
          <t>Telecomunicacoes/comunicacao</t>
        </is>
      </c>
      <c r="P150" s="15" t="inlineStr">
        <is>
          <t>SERVICO DE LINHA FIXA COMUTADA STFC</t>
        </is>
      </c>
      <c r="Q150" s="16" t="n">
        <v>300</v>
      </c>
      <c r="R150" s="16" t="n"/>
      <c r="S150" s="16" t="n"/>
      <c r="T150" s="16" t="n"/>
      <c r="U150" s="16" t="n">
        <v>0</v>
      </c>
      <c r="V150" s="17" t="n"/>
      <c r="W150" s="16" t="n">
        <v>0</v>
      </c>
      <c r="X150" s="16" t="n"/>
      <c r="Y150" s="16" t="n"/>
      <c r="Z150" s="16" t="n"/>
      <c r="AA150" s="16" t="n">
        <v>0</v>
      </c>
      <c r="AB150" s="16" t="n">
        <v>0</v>
      </c>
      <c r="AC150" s="16" t="n"/>
      <c r="AD150" s="17" t="n"/>
      <c r="AE150" s="16" t="n"/>
      <c r="AF150" s="16" t="n"/>
      <c r="AG150" s="16" t="n"/>
      <c r="AH150" s="16" t="n"/>
      <c r="AI150" s="16" t="n"/>
      <c r="AJ150" s="16" t="n"/>
      <c r="AK150" s="16" t="n"/>
      <c r="AL150" s="16" t="n"/>
      <c r="AM150" s="13" t="inlineStr">
        <is>
          <t>Alta</t>
        </is>
      </c>
      <c r="AN150" s="13" t="inlineStr"/>
      <c r="AO150" s="18" t="inlineStr">
        <is>
          <t>Sim</t>
        </is>
      </c>
      <c r="AP150" s="13" t="inlineStr"/>
      <c r="AQ150" s="13" t="inlineStr"/>
      <c r="AR150" s="15" t="inlineStr"/>
      <c r="AS150" s="15" t="inlineStr">
        <is>
          <t>NOTAS FISCAIS DE COMPRA JANEIRO 2026.pdf - p. 149</t>
        </is>
      </c>
    </row>
    <row r="151">
      <c r="A151" s="13" t="inlineStr">
        <is>
          <t>JAN26-P150</t>
        </is>
      </c>
      <c r="B151" s="13" t="n">
        <v>150</v>
      </c>
      <c r="C151" s="13" t="inlineStr">
        <is>
          <t>NF-e</t>
        </is>
      </c>
      <c r="D151" s="13" t="inlineStr"/>
      <c r="E151" s="13" t="inlineStr">
        <is>
          <t>4834</t>
        </is>
      </c>
      <c r="F151" s="13" t="inlineStr">
        <is>
          <t>0</t>
        </is>
      </c>
      <c r="G151" s="25" t="n">
        <v>46006</v>
      </c>
      <c r="H151" s="25" t="n"/>
      <c r="I151" s="13" t="inlineStr"/>
      <c r="J151" s="13" t="inlineStr">
        <is>
          <t>ELITE PECAS E MAQUINAS LTDA</t>
        </is>
      </c>
      <c r="K151" s="13" t="inlineStr">
        <is>
          <t>32.021.015/0001-22</t>
        </is>
      </c>
      <c r="L151" s="13" t="inlineStr">
        <is>
          <t>23.655.038/0002-89</t>
        </is>
      </c>
      <c r="M151" s="13" t="inlineStr">
        <is>
          <t>SKAL /0002</t>
        </is>
      </c>
      <c r="N151" s="13" t="inlineStr">
        <is>
          <t>Produtos</t>
        </is>
      </c>
      <c r="O151" s="13" t="inlineStr">
        <is>
          <t>Manutencao/pecas</t>
        </is>
      </c>
      <c r="P151" s="15" t="inlineStr">
        <is>
          <t>MOTOR PARTIDA</t>
        </is>
      </c>
      <c r="Q151" s="16" t="n">
        <v>1016.4</v>
      </c>
      <c r="R151" s="16" t="n">
        <v>880</v>
      </c>
      <c r="S151" s="16" t="n"/>
      <c r="T151" s="16" t="n"/>
      <c r="U151" s="16" t="n">
        <v>880</v>
      </c>
      <c r="V151" s="17" t="n"/>
      <c r="W151" s="16" t="n">
        <v>61.6</v>
      </c>
      <c r="X151" s="16" t="n"/>
      <c r="Y151" s="16" t="n">
        <v>136.4</v>
      </c>
      <c r="Z151" s="16" t="n"/>
      <c r="AA151" s="16" t="n"/>
      <c r="AB151" s="16" t="n"/>
      <c r="AC151" s="16" t="n"/>
      <c r="AD151" s="17" t="n"/>
      <c r="AE151" s="16" t="n"/>
      <c r="AF151" s="16" t="n"/>
      <c r="AG151" s="16" t="n"/>
      <c r="AH151" s="16" t="n"/>
      <c r="AI151" s="16" t="n"/>
      <c r="AJ151" s="16" t="n"/>
      <c r="AK151" s="16" t="n"/>
      <c r="AL151" s="16" t="n"/>
      <c r="AM151" s="13" t="inlineStr">
        <is>
          <t>Alta</t>
        </is>
      </c>
      <c r="AN151" s="13" t="inlineStr"/>
      <c r="AO151" s="18" t="inlineStr">
        <is>
          <t>Sim</t>
        </is>
      </c>
      <c r="AP151" s="13" t="inlineStr"/>
      <c r="AQ151" s="13" t="inlineStr"/>
      <c r="AR151" s="15" t="inlineStr"/>
      <c r="AS151" s="15" t="inlineStr">
        <is>
          <t>NOTAS FISCAIS DE COMPRA JANEIRO 2026.pdf - p. 150</t>
        </is>
      </c>
    </row>
    <row r="152">
      <c r="A152" s="13" t="inlineStr">
        <is>
          <t>JAN26-P151</t>
        </is>
      </c>
      <c r="B152" s="13" t="n">
        <v>151</v>
      </c>
      <c r="C152" s="13" t="inlineStr">
        <is>
          <t>Outros/Documento</t>
        </is>
      </c>
      <c r="D152" s="13" t="inlineStr"/>
      <c r="E152" s="13" t="inlineStr"/>
      <c r="F152" s="13" t="inlineStr"/>
      <c r="G152" s="25" t="n"/>
      <c r="H152" s="25" t="n"/>
      <c r="I152" s="13" t="inlineStr"/>
      <c r="J152" s="13" t="inlineStr">
        <is>
          <t>[lacie rsrr CIAL DE'TRBUTACAG- Ret sa a ontestnas, gh CARGA</t>
        </is>
      </c>
      <c r="K152" s="13" t="inlineStr"/>
      <c r="L152" s="13" t="inlineStr"/>
      <c r="M152" s="13" t="inlineStr"/>
      <c r="N152" s="13" t="inlineStr">
        <is>
          <t>Apoio</t>
        </is>
      </c>
      <c r="O152" s="13" t="inlineStr">
        <is>
          <t>Documento de apoio</t>
        </is>
      </c>
      <c r="P152" s="15" t="inlineStr"/>
      <c r="Q152" s="16" t="n"/>
      <c r="R152" s="16" t="n"/>
      <c r="S152" s="16" t="n"/>
      <c r="T152" s="16" t="n"/>
      <c r="U152" s="16" t="n"/>
      <c r="V152" s="17" t="n"/>
      <c r="W152" s="16" t="n"/>
      <c r="X152" s="16" t="n"/>
      <c r="Y152" s="16" t="n"/>
      <c r="Z152" s="16" t="n"/>
      <c r="AA152" s="16" t="n"/>
      <c r="AB152" s="16" t="n"/>
      <c r="AC152" s="16" t="n"/>
      <c r="AD152" s="17" t="n"/>
      <c r="AE152" s="16" t="n"/>
      <c r="AF152" s="16" t="n"/>
      <c r="AG152" s="16" t="n"/>
      <c r="AH152" s="16" t="n"/>
      <c r="AI152" s="16" t="n"/>
      <c r="AJ152" s="16" t="n"/>
      <c r="AK152" s="16" t="n"/>
      <c r="AL152" s="16" t="n"/>
      <c r="AM152" s="13" t="inlineStr">
        <is>
          <t>Baixa</t>
        </is>
      </c>
      <c r="AN152" s="13" t="inlineStr"/>
      <c r="AO152" s="19" t="inlineStr">
        <is>
          <t>Não</t>
        </is>
      </c>
      <c r="AP152" s="13" t="inlineStr"/>
      <c r="AQ152" s="13" t="inlineStr"/>
      <c r="AR152" s="15" t="inlineStr"/>
      <c r="AS152" s="15" t="inlineStr">
        <is>
          <t>NOTAS FISCAIS DE COMPRA JANEIRO 2026.pdf - p. 151</t>
        </is>
      </c>
    </row>
    <row r="153">
      <c r="A153" s="13" t="inlineStr">
        <is>
          <t>JAN26-P152</t>
        </is>
      </c>
      <c r="B153" s="13" t="n">
        <v>152</v>
      </c>
      <c r="C153" s="13" t="inlineStr">
        <is>
          <t>Outros/Documento</t>
        </is>
      </c>
      <c r="D153" s="13" t="inlineStr"/>
      <c r="E153" s="13" t="inlineStr"/>
      <c r="F153" s="13" t="inlineStr"/>
      <c r="G153" s="25" t="n"/>
      <c r="H153" s="25" t="n"/>
      <c r="I153" s="13" t="inlineStr"/>
      <c r="J153" s="13" t="inlineStr">
        <is>
          <t>| eecomeaciooecaieamouron” | itteca samoue’ | .</t>
        </is>
      </c>
      <c r="K153" s="13" t="inlineStr"/>
      <c r="L153" s="13" t="inlineStr"/>
      <c r="M153" s="13" t="inlineStr"/>
      <c r="N153" s="13" t="inlineStr">
        <is>
          <t>Apoio</t>
        </is>
      </c>
      <c r="O153" s="13" t="inlineStr">
        <is>
          <t>Documento de apoio</t>
        </is>
      </c>
      <c r="P153" s="15" t="inlineStr"/>
      <c r="Q153" s="16" t="n"/>
      <c r="R153" s="16" t="n"/>
      <c r="S153" s="16" t="n"/>
      <c r="T153" s="16" t="n"/>
      <c r="U153" s="16" t="n"/>
      <c r="V153" s="17" t="n"/>
      <c r="W153" s="16" t="n"/>
      <c r="X153" s="16" t="n"/>
      <c r="Y153" s="16" t="n"/>
      <c r="Z153" s="16" t="n"/>
      <c r="AA153" s="16" t="n"/>
      <c r="AB153" s="16" t="n"/>
      <c r="AC153" s="16" t="n"/>
      <c r="AD153" s="17" t="n"/>
      <c r="AE153" s="16" t="n"/>
      <c r="AF153" s="16" t="n"/>
      <c r="AG153" s="16" t="n"/>
      <c r="AH153" s="16" t="n"/>
      <c r="AI153" s="16" t="n"/>
      <c r="AJ153" s="16" t="n"/>
      <c r="AK153" s="16" t="n"/>
      <c r="AL153" s="16" t="n"/>
      <c r="AM153" s="13" t="inlineStr">
        <is>
          <t>Baixa</t>
        </is>
      </c>
      <c r="AN153" s="13" t="inlineStr"/>
      <c r="AO153" s="19" t="inlineStr">
        <is>
          <t>Não</t>
        </is>
      </c>
      <c r="AP153" s="13" t="inlineStr"/>
      <c r="AQ153" s="13" t="inlineStr"/>
      <c r="AR153" s="15" t="inlineStr"/>
      <c r="AS153" s="15" t="inlineStr">
        <is>
          <t>NOTAS FISCAIS DE COMPRA JANEIRO 2026.pdf - p. 152</t>
        </is>
      </c>
    </row>
    <row r="154">
      <c r="A154" s="13" t="inlineStr">
        <is>
          <t>JAN26-P153</t>
        </is>
      </c>
      <c r="B154" s="13" t="n">
        <v>153</v>
      </c>
      <c r="C154" s="13" t="inlineStr">
        <is>
          <t>NFS-e</t>
        </is>
      </c>
      <c r="D154" s="13" t="inlineStr"/>
      <c r="E154" s="13" t="inlineStr">
        <is>
          <t>221</t>
        </is>
      </c>
      <c r="F154" s="13" t="inlineStr">
        <is>
          <t>U</t>
        </is>
      </c>
      <c r="G154" s="25" t="n">
        <v>46029</v>
      </c>
      <c r="H154" s="25" t="n"/>
      <c r="I154" s="13" t="inlineStr"/>
      <c r="J154" s="13" t="inlineStr">
        <is>
          <t>Valortoiica MEERA) —_Tolabes.cacigtes 3) Deas. Rcandicloando (RH Gune de chieul do MEGN RS) Ally. (hk) Valor do HOON RS)</t>
        </is>
      </c>
      <c r="K154" s="13" t="inlineStr">
        <is>
          <t>27.803.620/0001-15</t>
        </is>
      </c>
      <c r="L154" s="13" t="inlineStr">
        <is>
          <t>23.655.038/0002-89</t>
        </is>
      </c>
      <c r="M154" s="13" t="inlineStr">
        <is>
          <t>SKAL /0002</t>
        </is>
      </c>
      <c r="N154" s="13" t="inlineStr">
        <is>
          <t>Servicos</t>
        </is>
      </c>
      <c r="O154" s="13" t="inlineStr">
        <is>
          <t>Outros servicos</t>
        </is>
      </c>
      <c r="P154" s="15" t="inlineStr">
        <is>
          <t>NF DE REPRESENTACAO COMERCIAL REFERENTE A COMPETENCIA DO MES DE DEZEMBRO DE 2025.</t>
        </is>
      </c>
      <c r="Q154" s="16" t="n">
        <v>35238.7</v>
      </c>
      <c r="R154" s="16" t="n"/>
      <c r="S154" s="16" t="n">
        <v>35238.7</v>
      </c>
      <c r="T154" s="16" t="n"/>
      <c r="U154" s="16" t="n"/>
      <c r="V154" s="17" t="n"/>
      <c r="W154" s="16" t="n"/>
      <c r="X154" s="16" t="n"/>
      <c r="Y154" s="16" t="n"/>
      <c r="Z154" s="16" t="n"/>
      <c r="AA154" s="16" t="n">
        <v>35238.7</v>
      </c>
      <c r="AB154" s="16" t="n"/>
      <c r="AC154" s="16" t="n"/>
      <c r="AD154" s="17" t="n"/>
      <c r="AE154" s="16" t="n"/>
      <c r="AF154" s="16" t="n"/>
      <c r="AG154" s="16" t="n"/>
      <c r="AH154" s="16" t="n"/>
      <c r="AI154" s="16" t="n"/>
      <c r="AJ154" s="16" t="n"/>
      <c r="AK154" s="16" t="n"/>
      <c r="AL154" s="16" t="n"/>
      <c r="AM154" s="13" t="inlineStr">
        <is>
          <t>Media</t>
        </is>
      </c>
      <c r="AN154" s="13" t="inlineStr"/>
      <c r="AO154" s="19" t="inlineStr">
        <is>
          <t>Não</t>
        </is>
      </c>
      <c r="AP154" s="13" t="inlineStr">
        <is>
          <t>P64</t>
        </is>
      </c>
      <c r="AQ154" s="22" t="inlineStr">
        <is>
          <t>Duplicado exato</t>
        </is>
      </c>
      <c r="AR154" s="15" t="inlineStr">
        <is>
          <t>Página repetida do mesmo documento fiscal; excluída da soma para evitar dupla contabilização.</t>
        </is>
      </c>
      <c r="AS154" s="15" t="inlineStr">
        <is>
          <t>NOTAS FISCAIS DE COMPRA JANEIRO 2026.pdf - p. 153</t>
        </is>
      </c>
    </row>
    <row r="155">
      <c r="A155" s="13" t="inlineStr">
        <is>
          <t>JAN26-P154</t>
        </is>
      </c>
      <c r="B155" s="13" t="n">
        <v>154</v>
      </c>
      <c r="C155" s="13" t="inlineStr">
        <is>
          <t>NFS-e</t>
        </is>
      </c>
      <c r="D155" s="13" t="inlineStr"/>
      <c r="E155" s="13" t="inlineStr">
        <is>
          <t>3992/U</t>
        </is>
      </c>
      <c r="F155" s="13" t="inlineStr"/>
      <c r="G155" s="25" t="n">
        <v>46023</v>
      </c>
      <c r="H155" s="25" t="n"/>
      <c r="I155" s="13" t="inlineStr"/>
      <c r="J155" s="13" t="inlineStr">
        <is>
          <t>R F DAS B LEMOS - ME</t>
        </is>
      </c>
      <c r="K155" s="13" t="inlineStr">
        <is>
          <t>08.871.746/0001-90</t>
        </is>
      </c>
      <c r="L155" s="13" t="inlineStr">
        <is>
          <t>23.655.038/0002-89</t>
        </is>
      </c>
      <c r="M155" s="13" t="inlineStr">
        <is>
          <t>SKAL /0002</t>
        </is>
      </c>
      <c r="N155" s="13" t="inlineStr">
        <is>
          <t>Serviços</t>
        </is>
      </c>
      <c r="O155" s="13" t="inlineStr">
        <is>
          <t>Monitoramento / segurança eletrônica</t>
        </is>
      </c>
      <c r="P155" s="15" t="inlineStr">
        <is>
          <t>Monitoramento de sistemas de segurança.</t>
        </is>
      </c>
      <c r="Q155" s="16" t="n">
        <v>751.47</v>
      </c>
      <c r="R155" s="16" t="n"/>
      <c r="S155" s="16" t="n"/>
      <c r="T155" s="16" t="n"/>
      <c r="U155" s="16" t="n"/>
      <c r="V155" s="17" t="n"/>
      <c r="W155" s="16" t="n"/>
      <c r="X155" s="16" t="n"/>
      <c r="Y155" s="16" t="n"/>
      <c r="Z155" s="16" t="n"/>
      <c r="AA155" s="16" t="n"/>
      <c r="AB155" s="16" t="n"/>
      <c r="AC155" s="16" t="n"/>
      <c r="AD155" s="17" t="n"/>
      <c r="AE155" s="16" t="n">
        <v>37.57</v>
      </c>
      <c r="AF155" s="16" t="n"/>
      <c r="AG155" s="16" t="n"/>
      <c r="AH155" s="16" t="n"/>
      <c r="AI155" s="16" t="n"/>
      <c r="AJ155" s="16" t="n"/>
      <c r="AK155" s="16" t="n"/>
      <c r="AL155" s="16" t="n"/>
      <c r="AM155" s="13" t="inlineStr">
        <is>
          <t>Media</t>
        </is>
      </c>
      <c r="AN155" s="13" t="inlineStr"/>
      <c r="AO155" s="18" t="inlineStr">
        <is>
          <t>Sim</t>
        </is>
      </c>
      <c r="AP155" s="13" t="inlineStr"/>
      <c r="AQ155" s="13" t="inlineStr"/>
      <c r="AR155" s="15" t="inlineStr"/>
      <c r="AS155" s="15" t="inlineStr">
        <is>
          <t>NOTAS FISCAIS DE COMPRA JANEIRO 2026.pdf - p. 154</t>
        </is>
      </c>
    </row>
    <row r="156">
      <c r="A156" s="13" t="inlineStr">
        <is>
          <t>JAN26-P155</t>
        </is>
      </c>
      <c r="B156" s="13" t="n">
        <v>155</v>
      </c>
      <c r="C156" s="13" t="inlineStr">
        <is>
          <t>NFS-e</t>
        </is>
      </c>
      <c r="D156" s="13" t="inlineStr"/>
      <c r="E156" s="13" t="inlineStr"/>
      <c r="F156" s="13" t="inlineStr"/>
      <c r="G156" s="25" t="n"/>
      <c r="H156" s="25" t="n"/>
      <c r="I156" s="13" t="inlineStr"/>
      <c r="J156" s="13" t="inlineStr">
        <is>
          <t>snessonaonene3 ‘KAL ENGENHARIA NUSTRIAE COMERCIOLTOA</t>
        </is>
      </c>
      <c r="K156" s="13" t="inlineStr"/>
      <c r="L156" s="13" t="inlineStr"/>
      <c r="M156" s="13" t="inlineStr"/>
      <c r="N156" s="13" t="inlineStr">
        <is>
          <t>Servicos</t>
        </is>
      </c>
      <c r="O156" s="13" t="inlineStr">
        <is>
          <t>Outros servicos</t>
        </is>
      </c>
      <c r="P156" s="15" t="inlineStr"/>
      <c r="Q156" s="16" t="n"/>
      <c r="R156" s="16" t="n"/>
      <c r="S156" s="16" t="n"/>
      <c r="T156" s="16" t="n"/>
      <c r="U156" s="16" t="n"/>
      <c r="V156" s="17" t="n"/>
      <c r="W156" s="16" t="n"/>
      <c r="X156" s="16" t="n"/>
      <c r="Y156" s="16" t="n"/>
      <c r="Z156" s="16" t="n"/>
      <c r="AA156" s="16" t="n"/>
      <c r="AB156" s="16" t="n"/>
      <c r="AC156" s="16" t="n"/>
      <c r="AD156" s="17" t="n"/>
      <c r="AE156" s="16" t="n"/>
      <c r="AF156" s="16" t="n"/>
      <c r="AG156" s="16" t="n"/>
      <c r="AH156" s="16" t="n"/>
      <c r="AI156" s="16" t="n"/>
      <c r="AJ156" s="16" t="n"/>
      <c r="AK156" s="16" t="n"/>
      <c r="AL156" s="16" t="n"/>
      <c r="AM156" s="13" t="inlineStr">
        <is>
          <t>Baixa</t>
        </is>
      </c>
      <c r="AN156" s="21" t="inlineStr">
        <is>
          <t>Revisar documento</t>
        </is>
      </c>
      <c r="AO156" s="20" t="inlineStr">
        <is>
          <t>Revisar</t>
        </is>
      </c>
      <c r="AP156" s="13" t="inlineStr"/>
      <c r="AQ156" s="13" t="inlineStr"/>
      <c r="AR156" s="15" t="inlineStr"/>
      <c r="AS156" s="15" t="inlineStr">
        <is>
          <t>NOTAS FISCAIS DE COMPRA JANEIRO 2026.pdf - p. 155</t>
        </is>
      </c>
    </row>
    <row r="157">
      <c r="A157" s="13" t="inlineStr">
        <is>
          <t>JAN26-P156</t>
        </is>
      </c>
      <c r="B157" s="13" t="n">
        <v>156</v>
      </c>
      <c r="C157" s="13" t="inlineStr">
        <is>
          <t>NFS-e</t>
        </is>
      </c>
      <c r="D157" s="13" t="inlineStr"/>
      <c r="E157" s="13" t="inlineStr">
        <is>
          <t>3992/U</t>
        </is>
      </c>
      <c r="F157" s="13" t="inlineStr"/>
      <c r="G157" s="25" t="n">
        <v>46023</v>
      </c>
      <c r="H157" s="25" t="n"/>
      <c r="I157" s="13" t="inlineStr"/>
      <c r="J157" s="13" t="inlineStr">
        <is>
          <t>BEER wo reves oro moo PAROLE MHRUNZOUDRAMLOTE AAR meal TREEAPrORASE oa077.60</t>
        </is>
      </c>
      <c r="K157" s="13" t="inlineStr">
        <is>
          <t>08.871.746/0001-90</t>
        </is>
      </c>
      <c r="L157" s="13" t="inlineStr">
        <is>
          <t>23.655.038/0002-89</t>
        </is>
      </c>
      <c r="M157" s="13" t="inlineStr">
        <is>
          <t>SKAL /0002</t>
        </is>
      </c>
      <c r="N157" s="13" t="inlineStr">
        <is>
          <t>Servicos</t>
        </is>
      </c>
      <c r="O157" s="13" t="inlineStr">
        <is>
          <t>Seguranca/portaria</t>
        </is>
      </c>
      <c r="P157" s="15" t="inlineStr">
        <is>
          <t>Monitoramento de sistemas de segurança.</t>
        </is>
      </c>
      <c r="Q157" s="16" t="n">
        <v>751.47</v>
      </c>
      <c r="R157" s="16" t="n"/>
      <c r="S157" s="16" t="n"/>
      <c r="T157" s="16" t="n"/>
      <c r="U157" s="16" t="n"/>
      <c r="V157" s="17" t="n"/>
      <c r="W157" s="16" t="n"/>
      <c r="X157" s="16" t="n"/>
      <c r="Y157" s="16" t="n"/>
      <c r="Z157" s="16" t="n"/>
      <c r="AA157" s="16" t="n"/>
      <c r="AB157" s="16" t="n"/>
      <c r="AC157" s="16" t="n"/>
      <c r="AD157" s="17" t="n"/>
      <c r="AE157" s="16" t="n">
        <v>37.57</v>
      </c>
      <c r="AF157" s="16" t="n"/>
      <c r="AG157" s="16" t="n"/>
      <c r="AH157" s="16" t="n"/>
      <c r="AI157" s="16" t="n"/>
      <c r="AJ157" s="16" t="n"/>
      <c r="AK157" s="16" t="n"/>
      <c r="AL157" s="16" t="n"/>
      <c r="AM157" s="13" t="inlineStr">
        <is>
          <t>Baixa</t>
        </is>
      </c>
      <c r="AN157" s="13" t="inlineStr"/>
      <c r="AO157" s="19" t="inlineStr">
        <is>
          <t>Não</t>
        </is>
      </c>
      <c r="AP157" s="13" t="inlineStr">
        <is>
          <t>P154</t>
        </is>
      </c>
      <c r="AQ157" s="22" t="inlineStr">
        <is>
          <t>Duplicado exato</t>
        </is>
      </c>
      <c r="AR157" s="15" t="inlineStr">
        <is>
          <t>Página repetida do mesmo documento fiscal; excluída da soma para evitar dupla contabilização.</t>
        </is>
      </c>
      <c r="AS157" s="15" t="inlineStr">
        <is>
          <t>NOTAS FISCAIS DE COMPRA JANEIRO 2026.pdf - p. 156</t>
        </is>
      </c>
    </row>
    <row r="158">
      <c r="A158" s="13" t="inlineStr">
        <is>
          <t>JAN26-P157</t>
        </is>
      </c>
      <c r="B158" s="13" t="n">
        <v>157</v>
      </c>
      <c r="C158" s="13" t="inlineStr">
        <is>
          <t>NFS-e</t>
        </is>
      </c>
      <c r="D158" s="13" t="inlineStr"/>
      <c r="E158" s="13" t="inlineStr">
        <is>
          <t>154628/U</t>
        </is>
      </c>
      <c r="F158" s="13" t="inlineStr"/>
      <c r="G158" s="25" t="n">
        <v>46023</v>
      </c>
      <c r="H158" s="25" t="n"/>
      <c r="I158" s="13" t="inlineStr"/>
      <c r="J158" s="13" t="inlineStr">
        <is>
          <t>NATUS AMBIENTAL LTDA</t>
        </is>
      </c>
      <c r="K158" s="13" t="inlineStr">
        <is>
          <t>12.710.740/0001-09</t>
        </is>
      </c>
      <c r="L158" s="13" t="inlineStr">
        <is>
          <t>23.655.038/0002-89</t>
        </is>
      </c>
      <c r="M158" s="13" t="inlineStr">
        <is>
          <t>SKAL /0002</t>
        </is>
      </c>
      <c r="N158" s="13" t="inlineStr">
        <is>
          <t>Serviços</t>
        </is>
      </c>
      <c r="O158" s="13" t="inlineStr">
        <is>
          <t>Coleta de resíduos</t>
        </is>
      </c>
      <c r="P158" s="15" t="inlineStr">
        <is>
          <t>Coleta de resíduos.</t>
        </is>
      </c>
      <c r="Q158" s="16" t="n">
        <v>1265.53</v>
      </c>
      <c r="R158" s="16" t="n"/>
      <c r="S158" s="16" t="n"/>
      <c r="T158" s="16" t="n"/>
      <c r="U158" s="16" t="n"/>
      <c r="V158" s="17" t="n"/>
      <c r="W158" s="16" t="n"/>
      <c r="X158" s="16" t="n"/>
      <c r="Y158" s="16" t="n"/>
      <c r="Z158" s="16" t="n"/>
      <c r="AA158" s="16" t="n"/>
      <c r="AB158" s="16" t="n"/>
      <c r="AC158" s="16" t="n"/>
      <c r="AD158" s="17" t="n"/>
      <c r="AE158" s="16" t="n">
        <v>37.96</v>
      </c>
      <c r="AF158" s="16" t="n"/>
      <c r="AG158" s="16" t="n"/>
      <c r="AH158" s="16" t="n"/>
      <c r="AI158" s="16" t="n"/>
      <c r="AJ158" s="16" t="n"/>
      <c r="AK158" s="16" t="n"/>
      <c r="AL158" s="16" t="n"/>
      <c r="AM158" s="13" t="inlineStr">
        <is>
          <t>Baixa</t>
        </is>
      </c>
      <c r="AN158" s="13" t="inlineStr"/>
      <c r="AO158" s="18" t="inlineStr">
        <is>
          <t>Sim</t>
        </is>
      </c>
      <c r="AP158" s="13" t="inlineStr"/>
      <c r="AQ158" s="13" t="inlineStr"/>
      <c r="AR158" s="15" t="inlineStr"/>
      <c r="AS158" s="15" t="inlineStr">
        <is>
          <t>NOTAS FISCAIS DE COMPRA JANEIRO 2026.pdf - p. 157</t>
        </is>
      </c>
    </row>
    <row r="159">
      <c r="A159" s="13" t="inlineStr">
        <is>
          <t>JAN26-P158</t>
        </is>
      </c>
      <c r="B159" s="13" t="n">
        <v>158</v>
      </c>
      <c r="C159" s="13" t="inlineStr">
        <is>
          <t>NFS-e</t>
        </is>
      </c>
      <c r="D159" s="13" t="inlineStr"/>
      <c r="E159" s="13" t="inlineStr">
        <is>
          <t>154627/U</t>
        </is>
      </c>
      <c r="F159" s="13" t="inlineStr"/>
      <c r="G159" s="25" t="n">
        <v>46023</v>
      </c>
      <c r="H159" s="25" t="n"/>
      <c r="I159" s="13" t="inlineStr"/>
      <c r="J159" s="13" t="inlineStr">
        <is>
          <t>NATUS AMBIENTAL LTDA</t>
        </is>
      </c>
      <c r="K159" s="13" t="inlineStr">
        <is>
          <t>12.710.740/0001-09</t>
        </is>
      </c>
      <c r="L159" s="13" t="inlineStr">
        <is>
          <t>23.655.038/0002-89</t>
        </is>
      </c>
      <c r="M159" s="13" t="inlineStr">
        <is>
          <t>SKAL /0002</t>
        </is>
      </c>
      <c r="N159" s="13" t="inlineStr">
        <is>
          <t>Serviços</t>
        </is>
      </c>
      <c r="O159" s="13" t="inlineStr">
        <is>
          <t>Tratamento de resíduos/efluentes</t>
        </is>
      </c>
      <c r="P159" s="15" t="inlineStr">
        <is>
          <t>Tratamento e disposição de efluentes/resíduos.</t>
        </is>
      </c>
      <c r="Q159" s="16" t="n">
        <v>250.57</v>
      </c>
      <c r="R159" s="16" t="n"/>
      <c r="S159" s="16" t="n"/>
      <c r="T159" s="16" t="n"/>
      <c r="U159" s="16" t="n"/>
      <c r="V159" s="17" t="n"/>
      <c r="W159" s="16" t="n"/>
      <c r="X159" s="16" t="n"/>
      <c r="Y159" s="16" t="n"/>
      <c r="Z159" s="16" t="n"/>
      <c r="AA159" s="16" t="n"/>
      <c r="AB159" s="16" t="n"/>
      <c r="AC159" s="16" t="n"/>
      <c r="AD159" s="17" t="n"/>
      <c r="AE159" s="16" t="n">
        <v>7.51</v>
      </c>
      <c r="AF159" s="16" t="n"/>
      <c r="AG159" s="16" t="n"/>
      <c r="AH159" s="16" t="n"/>
      <c r="AI159" s="16" t="n"/>
      <c r="AJ159" s="16" t="n"/>
      <c r="AK159" s="16" t="n"/>
      <c r="AL159" s="16" t="n"/>
      <c r="AM159" s="13" t="inlineStr">
        <is>
          <t>Media</t>
        </is>
      </c>
      <c r="AN159" s="13" t="inlineStr"/>
      <c r="AO159" s="18" t="inlineStr">
        <is>
          <t>Sim</t>
        </is>
      </c>
      <c r="AP159" s="13" t="inlineStr"/>
      <c r="AQ159" s="13" t="inlineStr"/>
      <c r="AR159" s="15" t="inlineStr"/>
      <c r="AS159" s="15" t="inlineStr">
        <is>
          <t>NOTAS FISCAIS DE COMPRA JANEIRO 2026.pdf - p. 158</t>
        </is>
      </c>
    </row>
    <row r="160">
      <c r="A160" s="13" t="inlineStr">
        <is>
          <t>JAN26-P159</t>
        </is>
      </c>
      <c r="B160" s="13" t="n">
        <v>159</v>
      </c>
      <c r="C160" s="13" t="inlineStr">
        <is>
          <t>NFS-e</t>
        </is>
      </c>
      <c r="D160" s="13" t="inlineStr"/>
      <c r="E160" s="13" t="inlineStr">
        <is>
          <t>21</t>
        </is>
      </c>
      <c r="F160" s="13" t="inlineStr"/>
      <c r="G160" s="25" t="n">
        <v>46024</v>
      </c>
      <c r="H160" s="25" t="n"/>
      <c r="I160" s="13" t="inlineStr"/>
      <c r="J160" s="13" t="inlineStr">
        <is>
          <t>24.870.571 JORGE GUILHERME COSTA FERREIRA</t>
        </is>
      </c>
      <c r="K160" s="13" t="inlineStr">
        <is>
          <t>24.870.571/0001-45</t>
        </is>
      </c>
      <c r="L160" s="13" t="inlineStr">
        <is>
          <t>23.655.038/0002-89</t>
        </is>
      </c>
      <c r="M160" s="13" t="inlineStr">
        <is>
          <t>SKAL /0002</t>
        </is>
      </c>
      <c r="N160" s="13" t="inlineStr">
        <is>
          <t>Serviços</t>
        </is>
      </c>
      <c r="O160" s="13" t="inlineStr">
        <is>
          <t>Gestão financeira</t>
        </is>
      </c>
      <c r="P160" s="15" t="inlineStr">
        <is>
          <t>Serviço de Gerenciamento Financeiro.</t>
        </is>
      </c>
      <c r="Q160" s="16" t="n">
        <v>7000</v>
      </c>
      <c r="R160" s="16" t="n"/>
      <c r="S160" s="16" t="n"/>
      <c r="T160" s="16" t="n"/>
      <c r="U160" s="16" t="n"/>
      <c r="V160" s="17" t="n"/>
      <c r="W160" s="16" t="n"/>
      <c r="X160" s="16" t="n"/>
      <c r="Y160" s="16" t="n"/>
      <c r="Z160" s="16" t="n"/>
      <c r="AA160" s="16" t="n"/>
      <c r="AB160" s="16" t="n"/>
      <c r="AC160" s="16" t="n"/>
      <c r="AD160" s="17" t="n"/>
      <c r="AE160" s="16" t="n"/>
      <c r="AF160" s="16" t="n"/>
      <c r="AG160" s="16" t="n"/>
      <c r="AH160" s="16" t="n"/>
      <c r="AI160" s="16" t="n"/>
      <c r="AJ160" s="16" t="n"/>
      <c r="AK160" s="16" t="n"/>
      <c r="AL160" s="16" t="n"/>
      <c r="AM160" s="13" t="inlineStr">
        <is>
          <t>Baixa</t>
        </is>
      </c>
      <c r="AN160" s="13" t="inlineStr"/>
      <c r="AO160" s="18" t="inlineStr">
        <is>
          <t>Sim</t>
        </is>
      </c>
      <c r="AP160" s="13" t="inlineStr"/>
      <c r="AQ160" s="13" t="inlineStr"/>
      <c r="AR160" s="15" t="inlineStr"/>
      <c r="AS160" s="15" t="inlineStr">
        <is>
          <t>NOTAS FISCAIS DE COMPRA JANEIRO 2026.pdf - p. 159</t>
        </is>
      </c>
    </row>
    <row r="161">
      <c r="A161" s="13" t="inlineStr">
        <is>
          <t>JAN26-P160</t>
        </is>
      </c>
      <c r="B161" s="13" t="n">
        <v>160</v>
      </c>
      <c r="C161" s="13" t="inlineStr">
        <is>
          <t>Boleto/Financeiro</t>
        </is>
      </c>
      <c r="D161" s="13" t="inlineStr"/>
      <c r="E161" s="13" t="inlineStr"/>
      <c r="F161" s="13" t="inlineStr"/>
      <c r="G161" s="25" t="n">
        <v>46028</v>
      </c>
      <c r="H161" s="25" t="n"/>
      <c r="I161" s="13" t="inlineStr"/>
      <c r="J161" s="13" t="inlineStr">
        <is>
          <t>petctinte mentors Aas ergnn tote Hheoo Documenio Valor RS So</t>
        </is>
      </c>
      <c r="K161" s="13" t="inlineStr"/>
      <c r="L161" s="13" t="inlineStr"/>
      <c r="M161" s="13" t="inlineStr"/>
      <c r="N161" s="13" t="inlineStr">
        <is>
          <t>Apoio</t>
        </is>
      </c>
      <c r="O161" s="13" t="inlineStr">
        <is>
          <t>Documento de apoio</t>
        </is>
      </c>
      <c r="P161" s="15" t="inlineStr"/>
      <c r="Q161" s="16" t="n"/>
      <c r="R161" s="16" t="n"/>
      <c r="S161" s="16" t="n"/>
      <c r="T161" s="16" t="n"/>
      <c r="U161" s="16" t="n"/>
      <c r="V161" s="17" t="n"/>
      <c r="W161" s="16" t="n"/>
      <c r="X161" s="16" t="n"/>
      <c r="Y161" s="16" t="n"/>
      <c r="Z161" s="16" t="n"/>
      <c r="AA161" s="16" t="n"/>
      <c r="AB161" s="16" t="n"/>
      <c r="AC161" s="16" t="n"/>
      <c r="AD161" s="17" t="n"/>
      <c r="AE161" s="16" t="n"/>
      <c r="AF161" s="16" t="n"/>
      <c r="AG161" s="16" t="n"/>
      <c r="AH161" s="16" t="n"/>
      <c r="AI161" s="16" t="n"/>
      <c r="AJ161" s="16" t="n"/>
      <c r="AK161" s="16" t="n"/>
      <c r="AL161" s="16" t="n"/>
      <c r="AM161" s="13" t="inlineStr">
        <is>
          <t>Baixa</t>
        </is>
      </c>
      <c r="AN161" s="13" t="inlineStr"/>
      <c r="AO161" s="19" t="inlineStr">
        <is>
          <t>Não</t>
        </is>
      </c>
      <c r="AP161" s="13" t="inlineStr"/>
      <c r="AQ161" s="13" t="inlineStr"/>
      <c r="AR161" s="15" t="inlineStr"/>
      <c r="AS161" s="15" t="inlineStr">
        <is>
          <t>NOTAS FISCAIS DE COMPRA JANEIRO 2026.pdf - p. 160</t>
        </is>
      </c>
    </row>
    <row r="162">
      <c r="A162" s="13" t="inlineStr">
        <is>
          <t>JAN26-P161</t>
        </is>
      </c>
      <c r="B162" s="13" t="n">
        <v>161</v>
      </c>
      <c r="C162" s="13" t="inlineStr">
        <is>
          <t>NFCom</t>
        </is>
      </c>
      <c r="D162" s="13" t="inlineStr">
        <is>
          <t>62</t>
        </is>
      </c>
      <c r="E162" s="13" t="inlineStr">
        <is>
          <t>21</t>
        </is>
      </c>
      <c r="F162" s="13" t="inlineStr">
        <is>
          <t>001</t>
        </is>
      </c>
      <c r="G162" s="25" t="n">
        <v>46034</v>
      </c>
      <c r="H162" s="25" t="n"/>
      <c r="I162" s="13" t="inlineStr">
        <is>
          <t>22260105499676000195620010000000211042054826</t>
        </is>
      </c>
      <c r="J162" s="13" t="inlineStr">
        <is>
          <t>AREA CONTRIBUTENTE: MENSAGENS PRIORITARIAS / AVISOS AO CONSUMIDOR .</t>
        </is>
      </c>
      <c r="K162" s="13" t="inlineStr">
        <is>
          <t>05.499.676/0001-95</t>
        </is>
      </c>
      <c r="L162" s="13" t="inlineStr">
        <is>
          <t>23.655.038/0002-89</t>
        </is>
      </c>
      <c r="M162" s="13" t="inlineStr">
        <is>
          <t>SKAL /0002</t>
        </is>
      </c>
      <c r="N162" s="13" t="inlineStr">
        <is>
          <t>Servicos</t>
        </is>
      </c>
      <c r="O162" s="13" t="inlineStr">
        <is>
          <t>Telecomunicacoes/comunicacao</t>
        </is>
      </c>
      <c r="P162" s="15" t="inlineStr"/>
      <c r="Q162" s="16" t="n">
        <v>900</v>
      </c>
      <c r="R162" s="16" t="n"/>
      <c r="S162" s="16" t="n"/>
      <c r="T162" s="16" t="n"/>
      <c r="U162" s="16" t="n"/>
      <c r="V162" s="17" t="n"/>
      <c r="W162" s="16" t="n"/>
      <c r="X162" s="16" t="n"/>
      <c r="Y162" s="16" t="n"/>
      <c r="Z162" s="16" t="n"/>
      <c r="AA162" s="16" t="n"/>
      <c r="AB162" s="16" t="n"/>
      <c r="AC162" s="16" t="n"/>
      <c r="AD162" s="17" t="n"/>
      <c r="AE162" s="16" t="n"/>
      <c r="AF162" s="16" t="n"/>
      <c r="AG162" s="16" t="n"/>
      <c r="AH162" s="16" t="n"/>
      <c r="AI162" s="16" t="n"/>
      <c r="AJ162" s="16" t="n"/>
      <c r="AK162" s="16" t="n"/>
      <c r="AL162" s="16" t="n"/>
      <c r="AM162" s="13" t="inlineStr">
        <is>
          <t>Alta</t>
        </is>
      </c>
      <c r="AN162" s="13" t="inlineStr"/>
      <c r="AO162" s="18" t="inlineStr">
        <is>
          <t>Sim</t>
        </is>
      </c>
      <c r="AP162" s="13" t="inlineStr"/>
      <c r="AQ162" s="13" t="inlineStr"/>
      <c r="AR162" s="15" t="inlineStr"/>
      <c r="AS162" s="15" t="inlineStr">
        <is>
          <t>NOTAS FISCAIS DE COMPRA JANEIRO 2026.pdf - p. 161</t>
        </is>
      </c>
    </row>
    <row r="163">
      <c r="A163" s="13" t="inlineStr">
        <is>
          <t>JAN26-P162</t>
        </is>
      </c>
      <c r="B163" s="13" t="n">
        <v>162</v>
      </c>
      <c r="C163" s="13" t="inlineStr">
        <is>
          <t>NFS-e</t>
        </is>
      </c>
      <c r="D163" s="13" t="inlineStr"/>
      <c r="E163" s="13" t="inlineStr"/>
      <c r="F163" s="13" t="inlineStr"/>
      <c r="G163" s="25" t="n"/>
      <c r="H163" s="25" t="n"/>
      <c r="I163" s="13" t="inlineStr"/>
      <c r="J163" s="13" t="inlineStr">
        <is>
          <t>[:-Xasmceac cons has anspor car seiniano om moet uaa cupwbr ma eka cusp ovo</t>
        </is>
      </c>
      <c r="K163" s="13" t="inlineStr"/>
      <c r="L163" s="13" t="inlineStr"/>
      <c r="M163" s="13" t="inlineStr"/>
      <c r="N163" s="13" t="inlineStr">
        <is>
          <t>Servicos</t>
        </is>
      </c>
      <c r="O163" s="13" t="inlineStr">
        <is>
          <t>Outros servicos</t>
        </is>
      </c>
      <c r="P163" s="15" t="inlineStr"/>
      <c r="Q163" s="16" t="n"/>
      <c r="R163" s="16" t="n"/>
      <c r="S163" s="16" t="n"/>
      <c r="T163" s="16" t="n"/>
      <c r="U163" s="16" t="n"/>
      <c r="V163" s="17" t="n"/>
      <c r="W163" s="16" t="n"/>
      <c r="X163" s="16" t="n"/>
      <c r="Y163" s="16" t="n"/>
      <c r="Z163" s="16" t="n"/>
      <c r="AA163" s="16" t="n"/>
      <c r="AB163" s="16" t="n"/>
      <c r="AC163" s="16" t="n"/>
      <c r="AD163" s="17" t="n"/>
      <c r="AE163" s="16" t="n"/>
      <c r="AF163" s="16" t="n"/>
      <c r="AG163" s="16" t="n"/>
      <c r="AH163" s="16" t="n"/>
      <c r="AI163" s="16" t="n"/>
      <c r="AJ163" s="16" t="n"/>
      <c r="AK163" s="16" t="n"/>
      <c r="AL163" s="16" t="n"/>
      <c r="AM163" s="13" t="inlineStr">
        <is>
          <t>Baixa</t>
        </is>
      </c>
      <c r="AN163" s="21" t="inlineStr">
        <is>
          <t>Revisar documento</t>
        </is>
      </c>
      <c r="AO163" s="20" t="inlineStr">
        <is>
          <t>Revisar</t>
        </is>
      </c>
      <c r="AP163" s="13" t="inlineStr"/>
      <c r="AQ163" s="13" t="inlineStr"/>
      <c r="AR163" s="15" t="inlineStr"/>
      <c r="AS163" s="15" t="inlineStr">
        <is>
          <t>NOTAS FISCAIS DE COMPRA JANEIRO 2026.pdf - p. 162</t>
        </is>
      </c>
    </row>
    <row r="164">
      <c r="A164" s="13" t="inlineStr">
        <is>
          <t>JAN26-P163</t>
        </is>
      </c>
      <c r="B164" s="13" t="n">
        <v>163</v>
      </c>
      <c r="C164" s="13" t="inlineStr">
        <is>
          <t>NFS-e</t>
        </is>
      </c>
      <c r="D164" s="13" t="inlineStr"/>
      <c r="E164" s="13" t="inlineStr"/>
      <c r="F164" s="13" t="inlineStr"/>
      <c r="G164" s="25" t="n"/>
      <c r="H164" s="25" t="n"/>
      <c r="I164" s="13" t="inlineStr"/>
      <c r="J164" s="13" t="inlineStr">
        <is>
          <t>PORTARIA HOMES DE OEZEMBRO DE 2026, LOCADOS EM TERESINA,</t>
        </is>
      </c>
      <c r="K164" s="13" t="inlineStr"/>
      <c r="L164" s="13" t="inlineStr"/>
      <c r="M164" s="13" t="inlineStr"/>
      <c r="N164" s="13" t="inlineStr">
        <is>
          <t>Servicos</t>
        </is>
      </c>
      <c r="O164" s="13" t="inlineStr">
        <is>
          <t>Seguranca/portaria</t>
        </is>
      </c>
      <c r="P164" s="15" t="inlineStr"/>
      <c r="Q164" s="16" t="n"/>
      <c r="R164" s="16" t="n"/>
      <c r="S164" s="16" t="n"/>
      <c r="T164" s="16" t="n"/>
      <c r="U164" s="16" t="n"/>
      <c r="V164" s="17" t="n"/>
      <c r="W164" s="16" t="n"/>
      <c r="X164" s="16" t="n"/>
      <c r="Y164" s="16" t="n"/>
      <c r="Z164" s="16" t="n"/>
      <c r="AA164" s="16" t="n"/>
      <c r="AB164" s="16" t="n"/>
      <c r="AC164" s="16" t="n"/>
      <c r="AD164" s="17" t="n"/>
      <c r="AE164" s="16" t="n"/>
      <c r="AF164" s="16" t="n"/>
      <c r="AG164" s="16" t="n"/>
      <c r="AH164" s="16" t="n"/>
      <c r="AI164" s="16" t="n"/>
      <c r="AJ164" s="16" t="n"/>
      <c r="AK164" s="16" t="n"/>
      <c r="AL164" s="16" t="n"/>
      <c r="AM164" s="13" t="inlineStr">
        <is>
          <t>Baixa</t>
        </is>
      </c>
      <c r="AN164" s="21" t="inlineStr">
        <is>
          <t>Revisar documento</t>
        </is>
      </c>
      <c r="AO164" s="20" t="inlineStr">
        <is>
          <t>Revisar</t>
        </is>
      </c>
      <c r="AP164" s="13" t="inlineStr"/>
      <c r="AQ164" s="13" t="inlineStr"/>
      <c r="AR164" s="15" t="inlineStr"/>
      <c r="AS164" s="15" t="inlineStr">
        <is>
          <t>NOTAS FISCAIS DE COMPRA JANEIRO 2026.pdf - p. 163</t>
        </is>
      </c>
    </row>
    <row r="165">
      <c r="A165" s="13" t="inlineStr">
        <is>
          <t>JAN26-P164</t>
        </is>
      </c>
      <c r="B165" s="13" t="n">
        <v>164</v>
      </c>
      <c r="C165" s="13" t="inlineStr">
        <is>
          <t>NFS-e</t>
        </is>
      </c>
      <c r="D165" s="13" t="inlineStr"/>
      <c r="E165" s="13" t="inlineStr"/>
      <c r="F165" s="13" t="inlineStr"/>
      <c r="G165" s="25" t="n"/>
      <c r="H165" s="25" t="n"/>
      <c r="I165" s="13" t="inlineStr"/>
      <c r="J165" s="13" t="inlineStr">
        <is>
          <t>[FRESTAGKO DE SERVICO FINAIS DE SEMANA E FERIADOS REFERENTE AO UES DE DEZENGRO OF 725, LOCADOS EM TERI Sar |</t>
        </is>
      </c>
      <c r="K165" s="13" t="inlineStr"/>
      <c r="L165" s="13" t="inlineStr"/>
      <c r="M165" s="13" t="inlineStr"/>
      <c r="N165" s="13" t="inlineStr">
        <is>
          <t>Servicos</t>
        </is>
      </c>
      <c r="O165" s="13" t="inlineStr">
        <is>
          <t>Outros servicos</t>
        </is>
      </c>
      <c r="P165" s="15" t="inlineStr"/>
      <c r="Q165" s="16" t="n"/>
      <c r="R165" s="16" t="n"/>
      <c r="S165" s="16" t="n"/>
      <c r="T165" s="16" t="n"/>
      <c r="U165" s="16" t="n"/>
      <c r="V165" s="17" t="n"/>
      <c r="W165" s="16" t="n"/>
      <c r="X165" s="16" t="n"/>
      <c r="Y165" s="16" t="n"/>
      <c r="Z165" s="16" t="n"/>
      <c r="AA165" s="16" t="n"/>
      <c r="AB165" s="16" t="n"/>
      <c r="AC165" s="16" t="n"/>
      <c r="AD165" s="17" t="n"/>
      <c r="AE165" s="16" t="n"/>
      <c r="AF165" s="16" t="n"/>
      <c r="AG165" s="16" t="n"/>
      <c r="AH165" s="16" t="n"/>
      <c r="AI165" s="16" t="n"/>
      <c r="AJ165" s="16" t="n"/>
      <c r="AK165" s="16" t="n"/>
      <c r="AL165" s="16" t="n"/>
      <c r="AM165" s="13" t="inlineStr">
        <is>
          <t>Baixa</t>
        </is>
      </c>
      <c r="AN165" s="21" t="inlineStr">
        <is>
          <t>Revisar documento</t>
        </is>
      </c>
      <c r="AO165" s="20" t="inlineStr">
        <is>
          <t>Revisar</t>
        </is>
      </c>
      <c r="AP165" s="13" t="inlineStr"/>
      <c r="AQ165" s="13" t="inlineStr"/>
      <c r="AR165" s="15" t="inlineStr"/>
      <c r="AS165" s="15" t="inlineStr">
        <is>
          <t>NOTAS FISCAIS DE COMPRA JANEIRO 2026.pdf - p. 164</t>
        </is>
      </c>
    </row>
    <row r="166">
      <c r="A166" s="13" t="inlineStr">
        <is>
          <t>JAN26-P165</t>
        </is>
      </c>
      <c r="B166" s="13" t="n">
        <v>165</v>
      </c>
      <c r="C166" s="13" t="inlineStr">
        <is>
          <t>NFS-e</t>
        </is>
      </c>
      <c r="D166" s="13" t="inlineStr"/>
      <c r="E166" s="13" t="inlineStr">
        <is>
          <t>167</t>
        </is>
      </c>
      <c r="F166" s="13" t="inlineStr">
        <is>
          <t>U</t>
        </is>
      </c>
      <c r="G166" s="25" t="n">
        <v>46028</v>
      </c>
      <c r="H166" s="25" t="n"/>
      <c r="I166" s="13" t="inlineStr"/>
      <c r="J166" s="13" t="inlineStr">
        <is>
          <t>fixengiodo 650M Stage do preetador do sani pera o SimelenHecisnm ein copia do bibwigbe do OS</t>
        </is>
      </c>
      <c r="K166" s="13" t="inlineStr">
        <is>
          <t>51.998.593/0001-68</t>
        </is>
      </c>
      <c r="L166" s="13" t="inlineStr">
        <is>
          <t>23.655.038/0002-89</t>
        </is>
      </c>
      <c r="M166" s="13" t="inlineStr">
        <is>
          <t>SKAL /0002</t>
        </is>
      </c>
      <c r="N166" s="13" t="inlineStr">
        <is>
          <t>Servicos</t>
        </is>
      </c>
      <c r="O166" s="13" t="inlineStr">
        <is>
          <t>Outros servicos</t>
        </is>
      </c>
      <c r="P166" s="15" t="inlineStr">
        <is>
          <t>PRESTACAO DE SERVICO LOCADO NA KALFIX EM TERESINA - PI. SERVICO DE AGENTE DE PORTARIA REFERENTE AO MES DE DEZEMBRO DE 2025.</t>
        </is>
      </c>
      <c r="Q166" s="16" t="n">
        <v>8175</v>
      </c>
      <c r="R166" s="16" t="n"/>
      <c r="S166" s="16" t="n">
        <v>8175</v>
      </c>
      <c r="T166" s="16" t="n"/>
      <c r="U166" s="16" t="n"/>
      <c r="V166" s="17" t="n"/>
      <c r="W166" s="16" t="n"/>
      <c r="X166" s="16" t="n"/>
      <c r="Y166" s="16" t="n"/>
      <c r="Z166" s="16" t="n"/>
      <c r="AA166" s="16" t="n"/>
      <c r="AB166" s="16" t="n"/>
      <c r="AC166" s="16" t="n"/>
      <c r="AD166" s="17" t="n"/>
      <c r="AE166" s="16" t="n"/>
      <c r="AF166" s="16" t="n"/>
      <c r="AG166" s="16" t="n"/>
      <c r="AH166" s="16" t="n"/>
      <c r="AI166" s="16" t="n"/>
      <c r="AJ166" s="16" t="n"/>
      <c r="AK166" s="16" t="n"/>
      <c r="AL166" s="16" t="n"/>
      <c r="AM166" s="13" t="inlineStr">
        <is>
          <t>Media</t>
        </is>
      </c>
      <c r="AN166" s="13" t="inlineStr"/>
      <c r="AO166" s="19" t="inlineStr">
        <is>
          <t>Não</t>
        </is>
      </c>
      <c r="AP166" s="13" t="inlineStr">
        <is>
          <t>P131</t>
        </is>
      </c>
      <c r="AQ166" s="22" t="inlineStr">
        <is>
          <t>Duplicado exato</t>
        </is>
      </c>
      <c r="AR166" s="15" t="inlineStr">
        <is>
          <t>Página repetida do mesmo documento fiscal; excluída da soma para evitar dupla contabilização.</t>
        </is>
      </c>
      <c r="AS166" s="15" t="inlineStr">
        <is>
          <t>NOTAS FISCAIS DE COMPRA JANEIRO 2026.pdf - p. 165</t>
        </is>
      </c>
    </row>
    <row r="167">
      <c r="A167" s="13" t="inlineStr">
        <is>
          <t>JAN26-P166</t>
        </is>
      </c>
      <c r="B167" s="13" t="n">
        <v>166</v>
      </c>
      <c r="C167" s="13" t="inlineStr">
        <is>
          <t>NFS-e</t>
        </is>
      </c>
      <c r="D167" s="13" t="inlineStr"/>
      <c r="E167" s="13" t="inlineStr">
        <is>
          <t>166</t>
        </is>
      </c>
      <c r="F167" s="13" t="inlineStr">
        <is>
          <t>U</t>
        </is>
      </c>
      <c r="G167" s="25" t="n">
        <v>46028</v>
      </c>
      <c r="H167" s="25" t="n"/>
      <c r="I167" s="13" t="inlineStr"/>
      <c r="J167" s="13" t="inlineStr">
        <is>
          <t>DalzedoredeenisaBo — Compettincts = Mimoroférit ‘Sseenac Sa os pond</t>
        </is>
      </c>
      <c r="K167" s="13" t="inlineStr">
        <is>
          <t>51.998.593/0001-68</t>
        </is>
      </c>
      <c r="L167" s="13" t="inlineStr">
        <is>
          <t>23.655.038/0002-89</t>
        </is>
      </c>
      <c r="M167" s="13" t="inlineStr">
        <is>
          <t>SKAL /0002</t>
        </is>
      </c>
      <c r="N167" s="13" t="inlineStr">
        <is>
          <t>Servicos</t>
        </is>
      </c>
      <c r="O167" s="13" t="inlineStr">
        <is>
          <t>Outros servicos</t>
        </is>
      </c>
      <c r="P167" s="15" t="inlineStr">
        <is>
          <t>PRESTACAO DE SERVICO LOCADO NA CIMEX EM TERESINA - PI. SERVICO DE AGENTE DE PORTARIA REFERENTE AO MES DE DEZEMBRO DE 2025.</t>
        </is>
      </c>
      <c r="Q167" s="16" t="n">
        <v>8175</v>
      </c>
      <c r="R167" s="16" t="n"/>
      <c r="S167" s="16" t="n">
        <v>8175</v>
      </c>
      <c r="T167" s="16" t="n"/>
      <c r="U167" s="16" t="n"/>
      <c r="V167" s="17" t="n"/>
      <c r="W167" s="16" t="n"/>
      <c r="X167" s="16" t="n"/>
      <c r="Y167" s="16" t="n"/>
      <c r="Z167" s="16" t="n"/>
      <c r="AA167" s="16" t="n"/>
      <c r="AB167" s="16" t="n"/>
      <c r="AC167" s="16" t="n"/>
      <c r="AD167" s="17" t="n"/>
      <c r="AE167" s="16" t="n"/>
      <c r="AF167" s="16" t="n"/>
      <c r="AG167" s="16" t="n"/>
      <c r="AH167" s="16" t="n"/>
      <c r="AI167" s="16" t="n"/>
      <c r="AJ167" s="16" t="n"/>
      <c r="AK167" s="16" t="n"/>
      <c r="AL167" s="16" t="n"/>
      <c r="AM167" s="13" t="inlineStr">
        <is>
          <t>Baixa</t>
        </is>
      </c>
      <c r="AN167" s="13" t="inlineStr"/>
      <c r="AO167" s="19" t="inlineStr">
        <is>
          <t>Não</t>
        </is>
      </c>
      <c r="AP167" s="13" t="inlineStr">
        <is>
          <t>P132</t>
        </is>
      </c>
      <c r="AQ167" s="22" t="inlineStr">
        <is>
          <t>Duplicado exato</t>
        </is>
      </c>
      <c r="AR167" s="15" t="inlineStr">
        <is>
          <t>Página repetida do mesmo documento fiscal; excluída da soma para evitar dupla contabilização.</t>
        </is>
      </c>
      <c r="AS167" s="15" t="inlineStr">
        <is>
          <t>NOTAS FISCAIS DE COMPRA JANEIRO 2026.pdf - p. 166</t>
        </is>
      </c>
    </row>
    <row r="168">
      <c r="A168" s="13" t="inlineStr">
        <is>
          <t>JAN26-P167</t>
        </is>
      </c>
      <c r="B168" s="13" t="n">
        <v>167</v>
      </c>
      <c r="C168" s="13" t="inlineStr">
        <is>
          <t>NF-e</t>
        </is>
      </c>
      <c r="D168" s="13" t="inlineStr"/>
      <c r="E168" s="13" t="inlineStr"/>
      <c r="F168" s="13" t="inlineStr"/>
      <c r="G168" s="25" t="n">
        <v>46052</v>
      </c>
      <c r="H168" s="25" t="n"/>
      <c r="I168" s="13" t="inlineStr"/>
      <c r="J168" s="13" t="inlineStr">
        <is>
          <t>TERESINA MANGUEIRAS E PARAFUSOS LTDA Emernde: @ (2226 OLST 9764 7780 0124 5508 100N ONST 9515 2IBE E846</t>
        </is>
      </c>
      <c r="K168" s="13" t="inlineStr"/>
      <c r="L168" s="13" t="inlineStr"/>
      <c r="M168" s="13" t="inlineStr"/>
      <c r="N168" s="13" t="inlineStr">
        <is>
          <t>Produtos</t>
        </is>
      </c>
      <c r="O168" s="13" t="inlineStr">
        <is>
          <t>Manutencao/pecas</t>
        </is>
      </c>
      <c r="P168" s="15" t="inlineStr"/>
      <c r="Q168" s="16" t="n"/>
      <c r="R168" s="16" t="n"/>
      <c r="S168" s="16" t="n"/>
      <c r="T168" s="16" t="n"/>
      <c r="U168" s="16" t="n"/>
      <c r="V168" s="17" t="n"/>
      <c r="W168" s="16" t="n"/>
      <c r="X168" s="16" t="n"/>
      <c r="Y168" s="16" t="n"/>
      <c r="Z168" s="16" t="n"/>
      <c r="AA168" s="16" t="n"/>
      <c r="AB168" s="16" t="n"/>
      <c r="AC168" s="16" t="n"/>
      <c r="AD168" s="17" t="n"/>
      <c r="AE168" s="16" t="n"/>
      <c r="AF168" s="16" t="n"/>
      <c r="AG168" s="16" t="n"/>
      <c r="AH168" s="16" t="n"/>
      <c r="AI168" s="16" t="n"/>
      <c r="AJ168" s="16" t="n"/>
      <c r="AK168" s="16" t="n"/>
      <c r="AL168" s="16" t="n"/>
      <c r="AM168" s="13" t="inlineStr">
        <is>
          <t>Baixa</t>
        </is>
      </c>
      <c r="AN168" s="21" t="inlineStr">
        <is>
          <t>Revisar documento</t>
        </is>
      </c>
      <c r="AO168" s="20" t="inlineStr">
        <is>
          <t>Revisar</t>
        </is>
      </c>
      <c r="AP168" s="13" t="inlineStr"/>
      <c r="AQ168" s="13" t="inlineStr"/>
      <c r="AR168" s="15" t="inlineStr"/>
      <c r="AS168" s="15" t="inlineStr">
        <is>
          <t>NOTAS FISCAIS DE COMPRA JANEIRO 2026.pdf - p. 167</t>
        </is>
      </c>
    </row>
    <row r="169">
      <c r="A169" s="13" t="inlineStr">
        <is>
          <t>JAN26-P168</t>
        </is>
      </c>
      <c r="B169" s="13" t="n">
        <v>168</v>
      </c>
      <c r="C169" s="13" t="inlineStr">
        <is>
          <t>Outros/Documento</t>
        </is>
      </c>
      <c r="D169" s="13" t="inlineStr"/>
      <c r="E169" s="13" t="inlineStr"/>
      <c r="F169" s="13" t="inlineStr"/>
      <c r="G169" s="25" t="n"/>
      <c r="H169" s="25" t="n"/>
      <c r="I169" s="13" t="inlineStr"/>
      <c r="J169" s="13" t="inlineStr">
        <is>
          <t>Pre cians ag EE gf IEE ggg [NBR [ MeO |</t>
        </is>
      </c>
      <c r="K169" s="13" t="inlineStr"/>
      <c r="L169" s="13" t="inlineStr"/>
      <c r="M169" s="13" t="inlineStr"/>
      <c r="N169" s="13" t="inlineStr">
        <is>
          <t>Apoio</t>
        </is>
      </c>
      <c r="O169" s="13" t="inlineStr">
        <is>
          <t>Documento de apoio</t>
        </is>
      </c>
      <c r="P169" s="15" t="inlineStr"/>
      <c r="Q169" s="16" t="n"/>
      <c r="R169" s="16" t="n"/>
      <c r="S169" s="16" t="n"/>
      <c r="T169" s="16" t="n"/>
      <c r="U169" s="16" t="n"/>
      <c r="V169" s="17" t="n"/>
      <c r="W169" s="16" t="n"/>
      <c r="X169" s="16" t="n"/>
      <c r="Y169" s="16" t="n"/>
      <c r="Z169" s="16" t="n"/>
      <c r="AA169" s="16" t="n"/>
      <c r="AB169" s="16" t="n"/>
      <c r="AC169" s="16" t="n"/>
      <c r="AD169" s="17" t="n"/>
      <c r="AE169" s="16" t="n"/>
      <c r="AF169" s="16" t="n"/>
      <c r="AG169" s="16" t="n"/>
      <c r="AH169" s="16" t="n"/>
      <c r="AI169" s="16" t="n"/>
      <c r="AJ169" s="16" t="n"/>
      <c r="AK169" s="16" t="n"/>
      <c r="AL169" s="16" t="n"/>
      <c r="AM169" s="13" t="inlineStr">
        <is>
          <t>Baixa</t>
        </is>
      </c>
      <c r="AN169" s="13" t="inlineStr"/>
      <c r="AO169" s="19" t="inlineStr">
        <is>
          <t>Não</t>
        </is>
      </c>
      <c r="AP169" s="13" t="inlineStr"/>
      <c r="AQ169" s="13" t="inlineStr"/>
      <c r="AR169" s="15" t="inlineStr"/>
      <c r="AS169" s="15" t="inlineStr">
        <is>
          <t>NOTAS FISCAIS DE COMPRA JANEIRO 2026.pdf - p. 168</t>
        </is>
      </c>
    </row>
    <row r="170">
      <c r="A170" s="13" t="inlineStr">
        <is>
          <t>JAN26-P169</t>
        </is>
      </c>
      <c r="B170" s="13" t="n">
        <v>169</v>
      </c>
      <c r="C170" s="13" t="inlineStr">
        <is>
          <t>NFS-e</t>
        </is>
      </c>
      <c r="D170" s="13" t="inlineStr"/>
      <c r="E170" s="13" t="inlineStr"/>
      <c r="F170" s="13" t="inlineStr"/>
      <c r="G170" s="25" t="n"/>
      <c r="H170" s="25" t="n"/>
      <c r="I170" s="13" t="inlineStr"/>
      <c r="J170" s="13" t="inlineStr">
        <is>
          <t>IV WHISOM ROSADO DE SA, 9, KM 412. BALA0S, AEROPORTO —-MOBSORO. RN 50607-260</t>
        </is>
      </c>
      <c r="K170" s="13" t="inlineStr"/>
      <c r="L170" s="13" t="inlineStr"/>
      <c r="M170" s="13" t="inlineStr"/>
      <c r="N170" s="13" t="inlineStr">
        <is>
          <t>Servicos</t>
        </is>
      </c>
      <c r="O170" s="13" t="inlineStr">
        <is>
          <t>Outros servicos</t>
        </is>
      </c>
      <c r="P170" s="15" t="inlineStr"/>
      <c r="Q170" s="16" t="n"/>
      <c r="R170" s="16" t="n"/>
      <c r="S170" s="16" t="n"/>
      <c r="T170" s="16" t="n"/>
      <c r="U170" s="16" t="n"/>
      <c r="V170" s="17" t="n"/>
      <c r="W170" s="16" t="n"/>
      <c r="X170" s="16" t="n"/>
      <c r="Y170" s="16" t="n"/>
      <c r="Z170" s="16" t="n"/>
      <c r="AA170" s="16" t="n"/>
      <c r="AB170" s="16" t="n"/>
      <c r="AC170" s="16" t="n"/>
      <c r="AD170" s="17" t="n"/>
      <c r="AE170" s="16" t="n"/>
      <c r="AF170" s="16" t="n"/>
      <c r="AG170" s="16" t="n"/>
      <c r="AH170" s="16" t="n"/>
      <c r="AI170" s="16" t="n"/>
      <c r="AJ170" s="16" t="n"/>
      <c r="AK170" s="16" t="n"/>
      <c r="AL170" s="16" t="n"/>
      <c r="AM170" s="13" t="inlineStr">
        <is>
          <t>Baixa</t>
        </is>
      </c>
      <c r="AN170" s="21" t="inlineStr">
        <is>
          <t>Revisar documento</t>
        </is>
      </c>
      <c r="AO170" s="20" t="inlineStr">
        <is>
          <t>Revisar</t>
        </is>
      </c>
      <c r="AP170" s="13" t="inlineStr"/>
      <c r="AQ170" s="13" t="inlineStr"/>
      <c r="AR170" s="15" t="inlineStr"/>
      <c r="AS170" s="15" t="inlineStr">
        <is>
          <t>NOTAS FISCAIS DE COMPRA JANEIRO 2026.pdf - p. 169</t>
        </is>
      </c>
    </row>
    <row r="171">
      <c r="A171" s="13" t="inlineStr">
        <is>
          <t>JAN26-P170</t>
        </is>
      </c>
      <c r="B171" s="13" t="n">
        <v>170</v>
      </c>
      <c r="C171" s="13" t="inlineStr">
        <is>
          <t>Outros/Documento</t>
        </is>
      </c>
      <c r="D171" s="13" t="inlineStr"/>
      <c r="E171" s="13" t="inlineStr"/>
      <c r="F171" s="13" t="inlineStr"/>
      <c r="G171" s="25" t="n"/>
      <c r="H171" s="25" t="n"/>
      <c r="I171" s="13" t="inlineStr"/>
      <c r="J171" s="13" t="inlineStr">
        <is>
          <t>PSOE PRES BUSTA DE GOMEREID LTDA care anon</t>
        </is>
      </c>
      <c r="K171" s="13" t="inlineStr"/>
      <c r="L171" s="13" t="inlineStr"/>
      <c r="M171" s="13" t="inlineStr"/>
      <c r="N171" s="13" t="inlineStr">
        <is>
          <t>Apoio</t>
        </is>
      </c>
      <c r="O171" s="13" t="inlineStr">
        <is>
          <t>Documento de apoio</t>
        </is>
      </c>
      <c r="P171" s="15" t="inlineStr"/>
      <c r="Q171" s="16" t="n"/>
      <c r="R171" s="16" t="n"/>
      <c r="S171" s="16" t="n"/>
      <c r="T171" s="16" t="n"/>
      <c r="U171" s="16" t="n"/>
      <c r="V171" s="17" t="n"/>
      <c r="W171" s="16" t="n"/>
      <c r="X171" s="16" t="n"/>
      <c r="Y171" s="16" t="n"/>
      <c r="Z171" s="16" t="n"/>
      <c r="AA171" s="16" t="n"/>
      <c r="AB171" s="16" t="n"/>
      <c r="AC171" s="16" t="n"/>
      <c r="AD171" s="17" t="n"/>
      <c r="AE171" s="16" t="n"/>
      <c r="AF171" s="16" t="n"/>
      <c r="AG171" s="16" t="n"/>
      <c r="AH171" s="16" t="n"/>
      <c r="AI171" s="16" t="n"/>
      <c r="AJ171" s="16" t="n"/>
      <c r="AK171" s="16" t="n"/>
      <c r="AL171" s="16" t="n"/>
      <c r="AM171" s="13" t="inlineStr">
        <is>
          <t>Baixa</t>
        </is>
      </c>
      <c r="AN171" s="13" t="inlineStr"/>
      <c r="AO171" s="19" t="inlineStr">
        <is>
          <t>Não</t>
        </is>
      </c>
      <c r="AP171" s="13" t="inlineStr"/>
      <c r="AQ171" s="13" t="inlineStr"/>
      <c r="AR171" s="15" t="inlineStr"/>
      <c r="AS171" s="15" t="inlineStr">
        <is>
          <t>NOTAS FISCAIS DE COMPRA JANEIRO 2026.pdf - p. 170</t>
        </is>
      </c>
    </row>
    <row r="172">
      <c r="A172" s="13" t="inlineStr">
        <is>
          <t>JAN26-P171</t>
        </is>
      </c>
      <c r="B172" s="13" t="n">
        <v>171</v>
      </c>
      <c r="C172" s="13" t="inlineStr">
        <is>
          <t>Outros/Documento</t>
        </is>
      </c>
      <c r="D172" s="13" t="inlineStr"/>
      <c r="E172" s="13" t="inlineStr"/>
      <c r="F172" s="13" t="inlineStr"/>
      <c r="G172" s="25" t="n"/>
      <c r="H172" s="25" t="n"/>
      <c r="I172" s="13" t="inlineStr"/>
      <c r="J172" s="13" t="inlineStr">
        <is>
          <t>Sica ENGENIIARIA IND E COMERCIO LTDA [Fissenssooon.sy [Su 1aae</t>
        </is>
      </c>
      <c r="K172" s="13" t="inlineStr"/>
      <c r="L172" s="13" t="inlineStr"/>
      <c r="M172" s="13" t="inlineStr"/>
      <c r="N172" s="13" t="inlineStr">
        <is>
          <t>Apoio</t>
        </is>
      </c>
      <c r="O172" s="13" t="inlineStr">
        <is>
          <t>Documento de apoio</t>
        </is>
      </c>
      <c r="P172" s="15" t="inlineStr"/>
      <c r="Q172" s="16" t="n"/>
      <c r="R172" s="16" t="n"/>
      <c r="S172" s="16" t="n"/>
      <c r="T172" s="16" t="n"/>
      <c r="U172" s="16" t="n"/>
      <c r="V172" s="17" t="n"/>
      <c r="W172" s="16" t="n"/>
      <c r="X172" s="16" t="n"/>
      <c r="Y172" s="16" t="n"/>
      <c r="Z172" s="16" t="n"/>
      <c r="AA172" s="16" t="n"/>
      <c r="AB172" s="16" t="n"/>
      <c r="AC172" s="16" t="n"/>
      <c r="AD172" s="17" t="n"/>
      <c r="AE172" s="16" t="n"/>
      <c r="AF172" s="16" t="n"/>
      <c r="AG172" s="16" t="n"/>
      <c r="AH172" s="16" t="n"/>
      <c r="AI172" s="16" t="n"/>
      <c r="AJ172" s="16" t="n"/>
      <c r="AK172" s="16" t="n"/>
      <c r="AL172" s="16" t="n"/>
      <c r="AM172" s="13" t="inlineStr">
        <is>
          <t>Baixa</t>
        </is>
      </c>
      <c r="AN172" s="13" t="inlineStr"/>
      <c r="AO172" s="19" t="inlineStr">
        <is>
          <t>Não</t>
        </is>
      </c>
      <c r="AP172" s="13" t="inlineStr"/>
      <c r="AQ172" s="13" t="inlineStr"/>
      <c r="AR172" s="15" t="inlineStr"/>
      <c r="AS172" s="15" t="inlineStr">
        <is>
          <t>NOTAS FISCAIS DE COMPRA JANEIRO 2026.pdf - p. 171</t>
        </is>
      </c>
    </row>
    <row r="173">
      <c r="A173" s="13" t="inlineStr">
        <is>
          <t>JAN26-P172</t>
        </is>
      </c>
      <c r="B173" s="13" t="n">
        <v>172</v>
      </c>
      <c r="C173" s="13" t="inlineStr">
        <is>
          <t>Outros/Documento</t>
        </is>
      </c>
      <c r="D173" s="13" t="inlineStr"/>
      <c r="E173" s="13" t="inlineStr"/>
      <c r="F173" s="13" t="inlineStr"/>
      <c r="G173" s="25" t="n"/>
      <c r="H173" s="25" t="n"/>
      <c r="I173" s="13" t="inlineStr"/>
      <c r="J173" s="13" t="inlineStr">
        <is>
          <t>VENDA DE MERCADORIA ABOUIRIDA SrzeOnLteI28 FDINET TRIES</t>
        </is>
      </c>
      <c r="K173" s="13" t="inlineStr">
        <is>
          <t>02.347.042/0001-29</t>
        </is>
      </c>
      <c r="L173" s="13" t="inlineStr"/>
      <c r="M173" s="13" t="inlineStr"/>
      <c r="N173" s="13" t="inlineStr">
        <is>
          <t>Apoio</t>
        </is>
      </c>
      <c r="O173" s="13" t="inlineStr">
        <is>
          <t>Documento de apoio</t>
        </is>
      </c>
      <c r="P173" s="15" t="inlineStr"/>
      <c r="Q173" s="16" t="n"/>
      <c r="R173" s="16" t="n"/>
      <c r="S173" s="16" t="n"/>
      <c r="T173" s="16" t="n"/>
      <c r="U173" s="16" t="n"/>
      <c r="V173" s="17" t="n"/>
      <c r="W173" s="16" t="n"/>
      <c r="X173" s="16" t="n"/>
      <c r="Y173" s="16" t="n"/>
      <c r="Z173" s="16" t="n"/>
      <c r="AA173" s="16" t="n"/>
      <c r="AB173" s="16" t="n"/>
      <c r="AC173" s="16" t="n"/>
      <c r="AD173" s="17" t="n"/>
      <c r="AE173" s="16" t="n"/>
      <c r="AF173" s="16" t="n"/>
      <c r="AG173" s="16" t="n"/>
      <c r="AH173" s="16" t="n"/>
      <c r="AI173" s="16" t="n"/>
      <c r="AJ173" s="16" t="n"/>
      <c r="AK173" s="16" t="n"/>
      <c r="AL173" s="16" t="n"/>
      <c r="AM173" s="13" t="inlineStr">
        <is>
          <t>Media</t>
        </is>
      </c>
      <c r="AN173" s="13" t="inlineStr"/>
      <c r="AO173" s="19" t="inlineStr">
        <is>
          <t>Não</t>
        </is>
      </c>
      <c r="AP173" s="13" t="inlineStr"/>
      <c r="AQ173" s="13" t="inlineStr"/>
      <c r="AR173" s="15" t="inlineStr"/>
      <c r="AS173" s="15" t="inlineStr">
        <is>
          <t>NOTAS FISCAIS DE COMPRA JANEIRO 2026.pdf - p. 172</t>
        </is>
      </c>
    </row>
    <row r="174">
      <c r="A174" s="13" t="inlineStr">
        <is>
          <t>JAN26-P173</t>
        </is>
      </c>
      <c r="B174" s="13" t="n">
        <v>173</v>
      </c>
      <c r="C174" s="13" t="inlineStr">
        <is>
          <t>Outros/Documento</t>
        </is>
      </c>
      <c r="D174" s="13" t="inlineStr"/>
      <c r="E174" s="13" t="inlineStr"/>
      <c r="F174" s="13" t="inlineStr"/>
      <c r="G174" s="25" t="n">
        <v>46065</v>
      </c>
      <c r="H174" s="25" t="n"/>
      <c r="I174" s="13" t="inlineStr"/>
      <c r="J174" s="13" t="inlineStr">
        <is>
          <t>[FNOERECL AVENIDA SAO FRANCISCO, 4000/D - EXTREMA- TERESINA - PI - 64076-450</t>
        </is>
      </c>
      <c r="K174" s="13" t="inlineStr"/>
      <c r="L174" s="13" t="inlineStr"/>
      <c r="M174" s="13" t="inlineStr"/>
      <c r="N174" s="13" t="inlineStr">
        <is>
          <t>Apoio</t>
        </is>
      </c>
      <c r="O174" s="13" t="inlineStr">
        <is>
          <t>Documento de apoio</t>
        </is>
      </c>
      <c r="P174" s="15" t="inlineStr"/>
      <c r="Q174" s="16" t="n"/>
      <c r="R174" s="16" t="n"/>
      <c r="S174" s="16" t="n"/>
      <c r="T174" s="16" t="n"/>
      <c r="U174" s="16" t="n"/>
      <c r="V174" s="17" t="n"/>
      <c r="W174" s="16" t="n"/>
      <c r="X174" s="16" t="n"/>
      <c r="Y174" s="16" t="n"/>
      <c r="Z174" s="16" t="n"/>
      <c r="AA174" s="16" t="n"/>
      <c r="AB174" s="16" t="n"/>
      <c r="AC174" s="16" t="n"/>
      <c r="AD174" s="17" t="n"/>
      <c r="AE174" s="16" t="n"/>
      <c r="AF174" s="16" t="n"/>
      <c r="AG174" s="16" t="n"/>
      <c r="AH174" s="16" t="n"/>
      <c r="AI174" s="16" t="n"/>
      <c r="AJ174" s="16" t="n"/>
      <c r="AK174" s="16" t="n"/>
      <c r="AL174" s="16" t="n"/>
      <c r="AM174" s="13" t="inlineStr">
        <is>
          <t>Baixa</t>
        </is>
      </c>
      <c r="AN174" s="13" t="inlineStr"/>
      <c r="AO174" s="19" t="inlineStr">
        <is>
          <t>Não</t>
        </is>
      </c>
      <c r="AP174" s="13" t="inlineStr"/>
      <c r="AQ174" s="13" t="inlineStr"/>
      <c r="AR174" s="15" t="inlineStr"/>
      <c r="AS174" s="15" t="inlineStr">
        <is>
          <t>NOTAS FISCAIS DE COMPRA JANEIRO 2026.pdf - p. 173</t>
        </is>
      </c>
    </row>
    <row r="175">
      <c r="A175" s="13" t="inlineStr">
        <is>
          <t>JAN26-P174</t>
        </is>
      </c>
      <c r="B175" s="13" t="n">
        <v>174</v>
      </c>
      <c r="C175" s="13" t="inlineStr">
        <is>
          <t>NFS-e</t>
        </is>
      </c>
      <c r="D175" s="13" t="inlineStr"/>
      <c r="E175" s="13" t="inlineStr">
        <is>
          <t>242/U</t>
        </is>
      </c>
      <c r="F175" s="13" t="inlineStr"/>
      <c r="G175" s="25" t="n">
        <v>46053</v>
      </c>
      <c r="H175" s="25" t="n"/>
      <c r="I175" s="13" t="inlineStr"/>
      <c r="J175" s="13" t="inlineStr">
        <is>
          <t>BOA VISTA AUTO ELETRICA LTDA</t>
        </is>
      </c>
      <c r="K175" s="13" t="inlineStr">
        <is>
          <t>18.414.737/0001-16</t>
        </is>
      </c>
      <c r="L175" s="13" t="inlineStr">
        <is>
          <t>23.655.038/0002-89</t>
        </is>
      </c>
      <c r="M175" s="13" t="inlineStr">
        <is>
          <t>SKAL /0002</t>
        </is>
      </c>
      <c r="N175" s="13" t="inlineStr">
        <is>
          <t>Serviços</t>
        </is>
      </c>
      <c r="O175" s="13" t="inlineStr">
        <is>
          <t>Manutenção automotiva</t>
        </is>
      </c>
      <c r="P175" s="15" t="inlineStr">
        <is>
          <t>Serviço em motor de partida.</t>
        </is>
      </c>
      <c r="Q175" s="16" t="n">
        <v>1426</v>
      </c>
      <c r="R175" s="16" t="n"/>
      <c r="S175" s="16" t="n"/>
      <c r="T175" s="16" t="n"/>
      <c r="U175" s="16" t="n"/>
      <c r="V175" s="17" t="n"/>
      <c r="W175" s="16" t="n"/>
      <c r="X175" s="16" t="n"/>
      <c r="Y175" s="16" t="n"/>
      <c r="Z175" s="16" t="n"/>
      <c r="AA175" s="16" t="n"/>
      <c r="AB175" s="16" t="n"/>
      <c r="AC175" s="16" t="n"/>
      <c r="AD175" s="17" t="n"/>
      <c r="AE175" s="16" t="n"/>
      <c r="AF175" s="16" t="n"/>
      <c r="AG175" s="16" t="n"/>
      <c r="AH175" s="16" t="n"/>
      <c r="AI175" s="16" t="n"/>
      <c r="AJ175" s="16" t="n"/>
      <c r="AK175" s="16" t="n"/>
      <c r="AL175" s="16" t="n"/>
      <c r="AM175" s="13" t="inlineStr">
        <is>
          <t>Baixa</t>
        </is>
      </c>
      <c r="AN175" s="13" t="inlineStr"/>
      <c r="AO175" s="18" t="inlineStr">
        <is>
          <t>Sim</t>
        </is>
      </c>
      <c r="AP175" s="13" t="inlineStr"/>
      <c r="AQ175" s="13" t="inlineStr"/>
      <c r="AR175" s="15" t="inlineStr"/>
      <c r="AS175" s="15" t="inlineStr">
        <is>
          <t>NOTAS FISCAIS DE COMPRA JANEIRO 2026.pdf - p. 174</t>
        </is>
      </c>
    </row>
    <row r="176">
      <c r="A176" s="13" t="inlineStr">
        <is>
          <t>JAN26-P175</t>
        </is>
      </c>
      <c r="B176" s="13" t="n">
        <v>175</v>
      </c>
      <c r="C176" s="13" t="inlineStr">
        <is>
          <t>NFS-e</t>
        </is>
      </c>
      <c r="D176" s="13" t="inlineStr"/>
      <c r="E176" s="13" t="inlineStr"/>
      <c r="F176" s="13" t="inlineStr"/>
      <c r="G176" s="25" t="n"/>
      <c r="H176" s="25" t="n"/>
      <c r="I176" s="13" t="inlineStr"/>
      <c r="J176" s="13" t="inlineStr">
        <is>
          <t>£620-008-00- SERVICOS DE MANUTENCAQ E REPARACAD ELETRICA OE VENCULOS AUTOMOTORES.</t>
        </is>
      </c>
      <c r="K176" s="13" t="inlineStr"/>
      <c r="L176" s="13" t="inlineStr"/>
      <c r="M176" s="13" t="inlineStr"/>
      <c r="N176" s="13" t="inlineStr">
        <is>
          <t>Servicos</t>
        </is>
      </c>
      <c r="O176" s="13" t="inlineStr">
        <is>
          <t>Manutencao/reparacao</t>
        </is>
      </c>
      <c r="P176" s="15" t="inlineStr"/>
      <c r="Q176" s="16" t="n"/>
      <c r="R176" s="16" t="n"/>
      <c r="S176" s="16" t="n"/>
      <c r="T176" s="16" t="n"/>
      <c r="U176" s="16" t="n"/>
      <c r="V176" s="17" t="n"/>
      <c r="W176" s="16" t="n"/>
      <c r="X176" s="16" t="n"/>
      <c r="Y176" s="16" t="n"/>
      <c r="Z176" s="16" t="n"/>
      <c r="AA176" s="16" t="n"/>
      <c r="AB176" s="16" t="n"/>
      <c r="AC176" s="16" t="n"/>
      <c r="AD176" s="17" t="n"/>
      <c r="AE176" s="16" t="n"/>
      <c r="AF176" s="16" t="n"/>
      <c r="AG176" s="16" t="n"/>
      <c r="AH176" s="16" t="n"/>
      <c r="AI176" s="16" t="n"/>
      <c r="AJ176" s="16" t="n"/>
      <c r="AK176" s="16" t="n"/>
      <c r="AL176" s="16" t="n"/>
      <c r="AM176" s="13" t="inlineStr">
        <is>
          <t>Baixa</t>
        </is>
      </c>
      <c r="AN176" s="21" t="inlineStr">
        <is>
          <t>Revisar documento</t>
        </is>
      </c>
      <c r="AO176" s="20" t="inlineStr">
        <is>
          <t>Revisar</t>
        </is>
      </c>
      <c r="AP176" s="13" t="inlineStr"/>
      <c r="AQ176" s="13" t="inlineStr"/>
      <c r="AR176" s="15" t="inlineStr"/>
      <c r="AS176" s="15" t="inlineStr">
        <is>
          <t>NOTAS FISCAIS DE COMPRA JANEIRO 2026.pdf - p. 175</t>
        </is>
      </c>
    </row>
    <row r="177">
      <c r="A177" s="13" t="inlineStr">
        <is>
          <t>JAN26-P176</t>
        </is>
      </c>
      <c r="B177" s="13" t="n">
        <v>176</v>
      </c>
      <c r="C177" s="13" t="inlineStr">
        <is>
          <t>Outros/Documento</t>
        </is>
      </c>
      <c r="D177" s="13" t="inlineStr"/>
      <c r="E177" s="13" t="inlineStr"/>
      <c r="F177" s="13" t="inlineStr"/>
      <c r="G177" s="25" t="n"/>
      <c r="H177" s="25" t="n"/>
      <c r="I177" s="13" t="inlineStr"/>
      <c r="J177" s="13" t="inlineStr">
        <is>
          <t>FORAEGEDORA CAMINHOER COMERCHO E SERVIC _— —_ at</t>
        </is>
      </c>
      <c r="K177" s="13" t="inlineStr"/>
      <c r="L177" s="13" t="inlineStr"/>
      <c r="M177" s="13" t="inlineStr"/>
      <c r="N177" s="13" t="inlineStr">
        <is>
          <t>Apoio</t>
        </is>
      </c>
      <c r="O177" s="13" t="inlineStr">
        <is>
          <t>Documento de apoio</t>
        </is>
      </c>
      <c r="P177" s="15" t="inlineStr"/>
      <c r="Q177" s="16" t="n"/>
      <c r="R177" s="16" t="n"/>
      <c r="S177" s="16" t="n"/>
      <c r="T177" s="16" t="n"/>
      <c r="U177" s="16" t="n"/>
      <c r="V177" s="17" t="n"/>
      <c r="W177" s="16" t="n"/>
      <c r="X177" s="16" t="n"/>
      <c r="Y177" s="16" t="n"/>
      <c r="Z177" s="16" t="n"/>
      <c r="AA177" s="16" t="n"/>
      <c r="AB177" s="16" t="n"/>
      <c r="AC177" s="16" t="n"/>
      <c r="AD177" s="17" t="n"/>
      <c r="AE177" s="16" t="n"/>
      <c r="AF177" s="16" t="n"/>
      <c r="AG177" s="16" t="n"/>
      <c r="AH177" s="16" t="n"/>
      <c r="AI177" s="16" t="n"/>
      <c r="AJ177" s="16" t="n"/>
      <c r="AK177" s="16" t="n"/>
      <c r="AL177" s="16" t="n"/>
      <c r="AM177" s="13" t="inlineStr">
        <is>
          <t>Baixa</t>
        </is>
      </c>
      <c r="AN177" s="13" t="inlineStr"/>
      <c r="AO177" s="19" t="inlineStr">
        <is>
          <t>Não</t>
        </is>
      </c>
      <c r="AP177" s="13" t="inlineStr"/>
      <c r="AQ177" s="13" t="inlineStr"/>
      <c r="AR177" s="15" t="inlineStr"/>
      <c r="AS177" s="15" t="inlineStr">
        <is>
          <t>NOTAS FISCAIS DE COMPRA JANEIRO 2026.pdf - p. 176</t>
        </is>
      </c>
    </row>
    <row r="178">
      <c r="A178" s="13" t="inlineStr">
        <is>
          <t>JAN26-P177</t>
        </is>
      </c>
      <c r="B178" s="13" t="n">
        <v>177</v>
      </c>
      <c r="C178" s="13" t="inlineStr">
        <is>
          <t>NF-e</t>
        </is>
      </c>
      <c r="D178" s="13" t="inlineStr"/>
      <c r="E178" s="13" t="inlineStr"/>
      <c r="F178" s="13" t="inlineStr"/>
      <c r="G178" s="25" t="n"/>
      <c r="H178" s="25" t="n"/>
      <c r="I178" s="13" t="inlineStr"/>
      <c r="J178" s="13" t="inlineStr">
        <is>
          <t>|AVENFDA SAG FRANCISCO - N.4000 EXTREMA GAVAGE] _2VOU2026</t>
        </is>
      </c>
      <c r="K178" s="13" t="inlineStr"/>
      <c r="L178" s="13" t="inlineStr"/>
      <c r="M178" s="13" t="inlineStr"/>
      <c r="N178" s="13" t="inlineStr">
        <is>
          <t>Produtos</t>
        </is>
      </c>
      <c r="O178" s="13" t="inlineStr">
        <is>
          <t>Outros produtos</t>
        </is>
      </c>
      <c r="P178" s="15" t="inlineStr"/>
      <c r="Q178" s="16" t="n"/>
      <c r="R178" s="16" t="n"/>
      <c r="S178" s="16" t="n"/>
      <c r="T178" s="16" t="n"/>
      <c r="U178" s="16" t="n"/>
      <c r="V178" s="17" t="n"/>
      <c r="W178" s="16" t="n"/>
      <c r="X178" s="16" t="n"/>
      <c r="Y178" s="16" t="n"/>
      <c r="Z178" s="16" t="n"/>
      <c r="AA178" s="16" t="n"/>
      <c r="AB178" s="16" t="n"/>
      <c r="AC178" s="16" t="n"/>
      <c r="AD178" s="17" t="n"/>
      <c r="AE178" s="16" t="n"/>
      <c r="AF178" s="16" t="n"/>
      <c r="AG178" s="16" t="n"/>
      <c r="AH178" s="16" t="n"/>
      <c r="AI178" s="16" t="n"/>
      <c r="AJ178" s="16" t="n"/>
      <c r="AK178" s="16" t="n"/>
      <c r="AL178" s="16" t="n"/>
      <c r="AM178" s="13" t="inlineStr">
        <is>
          <t>Baixa</t>
        </is>
      </c>
      <c r="AN178" s="21" t="inlineStr">
        <is>
          <t>Revisar documento</t>
        </is>
      </c>
      <c r="AO178" s="20" t="inlineStr">
        <is>
          <t>Revisar</t>
        </is>
      </c>
      <c r="AP178" s="13" t="inlineStr"/>
      <c r="AQ178" s="13" t="inlineStr"/>
      <c r="AR178" s="15" t="inlineStr"/>
      <c r="AS178" s="15" t="inlineStr">
        <is>
          <t>NOTAS FISCAIS DE COMPRA JANEIRO 2026.pdf - p. 177</t>
        </is>
      </c>
    </row>
    <row r="179">
      <c r="A179" s="13" t="inlineStr">
        <is>
          <t>JAN26-P178</t>
        </is>
      </c>
      <c r="B179" s="13" t="n">
        <v>178</v>
      </c>
      <c r="C179" s="13" t="inlineStr">
        <is>
          <t>NF-e</t>
        </is>
      </c>
      <c r="D179" s="13" t="inlineStr"/>
      <c r="E179" s="13" t="inlineStr"/>
      <c r="F179" s="13" t="inlineStr"/>
      <c r="G179" s="25" t="n"/>
      <c r="H179" s="25" t="n"/>
      <c r="I179" s="13" t="inlineStr"/>
      <c r="J179" s="13" t="inlineStr">
        <is>
          <t>Folha 1d t www le lazenda.gevib/poral ox no bie Ga Safar Autorizadora</t>
        </is>
      </c>
      <c r="K179" s="13" t="inlineStr"/>
      <c r="L179" s="13" t="inlineStr"/>
      <c r="M179" s="13" t="inlineStr"/>
      <c r="N179" s="13" t="inlineStr">
        <is>
          <t>Produtos</t>
        </is>
      </c>
      <c r="O179" s="13" t="inlineStr">
        <is>
          <t>Outros produtos</t>
        </is>
      </c>
      <c r="P179" s="15" t="inlineStr"/>
      <c r="Q179" s="16" t="n"/>
      <c r="R179" s="16" t="n"/>
      <c r="S179" s="16" t="n"/>
      <c r="T179" s="16" t="n"/>
      <c r="U179" s="16" t="n"/>
      <c r="V179" s="17" t="n"/>
      <c r="W179" s="16" t="n"/>
      <c r="X179" s="16" t="n"/>
      <c r="Y179" s="16" t="n"/>
      <c r="Z179" s="16" t="n"/>
      <c r="AA179" s="16" t="n"/>
      <c r="AB179" s="16" t="n"/>
      <c r="AC179" s="16" t="n"/>
      <c r="AD179" s="17" t="n"/>
      <c r="AE179" s="16" t="n"/>
      <c r="AF179" s="16" t="n"/>
      <c r="AG179" s="16" t="n"/>
      <c r="AH179" s="16" t="n"/>
      <c r="AI179" s="16" t="n"/>
      <c r="AJ179" s="16" t="n"/>
      <c r="AK179" s="16" t="n"/>
      <c r="AL179" s="16" t="n"/>
      <c r="AM179" s="13" t="inlineStr">
        <is>
          <t>Baixa</t>
        </is>
      </c>
      <c r="AN179" s="21" t="inlineStr">
        <is>
          <t>Revisar documento</t>
        </is>
      </c>
      <c r="AO179" s="20" t="inlineStr">
        <is>
          <t>Revisar</t>
        </is>
      </c>
      <c r="AP179" s="13" t="inlineStr"/>
      <c r="AQ179" s="13" t="inlineStr"/>
      <c r="AR179" s="15" t="inlineStr"/>
      <c r="AS179" s="15" t="inlineStr">
        <is>
          <t>NOTAS FISCAIS DE COMPRA JANEIRO 2026.pdf - p. 178</t>
        </is>
      </c>
    </row>
    <row r="180">
      <c r="A180" s="13" t="inlineStr">
        <is>
          <t>JAN26-P179</t>
        </is>
      </c>
      <c r="B180" s="13" t="n">
        <v>179</v>
      </c>
      <c r="C180" s="13" t="inlineStr">
        <is>
          <t>Outros/Documento</t>
        </is>
      </c>
      <c r="D180" s="13" t="inlineStr"/>
      <c r="E180" s="13" t="inlineStr"/>
      <c r="F180" s="13" t="inlineStr"/>
      <c r="G180" s="25" t="n"/>
      <c r="H180" s="25" t="n"/>
      <c r="I180" s="13" t="inlineStr"/>
      <c r="J180" s="13" t="inlineStr">
        <is>
          <t>SRAL ENGENEARIAINDUSTRIA E COMERGIO LTDA. Enancet crupokatingymelicom</t>
        </is>
      </c>
      <c r="K180" s="13" t="inlineStr"/>
      <c r="L180" s="13" t="inlineStr"/>
      <c r="M180" s="13" t="inlineStr"/>
      <c r="N180" s="13" t="inlineStr">
        <is>
          <t>Apoio</t>
        </is>
      </c>
      <c r="O180" s="13" t="inlineStr">
        <is>
          <t>Documento de apoio</t>
        </is>
      </c>
      <c r="P180" s="15" t="inlineStr"/>
      <c r="Q180" s="16" t="n"/>
      <c r="R180" s="16" t="n"/>
      <c r="S180" s="16" t="n"/>
      <c r="T180" s="16" t="n"/>
      <c r="U180" s="16" t="n"/>
      <c r="V180" s="17" t="n"/>
      <c r="W180" s="16" t="n"/>
      <c r="X180" s="16" t="n"/>
      <c r="Y180" s="16" t="n"/>
      <c r="Z180" s="16" t="n"/>
      <c r="AA180" s="16" t="n">
        <v>7000</v>
      </c>
      <c r="AB180" s="16" t="n">
        <v>7000</v>
      </c>
      <c r="AC180" s="16" t="n"/>
      <c r="AD180" s="17" t="n"/>
      <c r="AE180" s="16" t="n"/>
      <c r="AF180" s="16" t="n"/>
      <c r="AG180" s="16" t="n"/>
      <c r="AH180" s="16" t="n"/>
      <c r="AI180" s="16" t="n"/>
      <c r="AJ180" s="16" t="n"/>
      <c r="AK180" s="16" t="n"/>
      <c r="AL180" s="16" t="n"/>
      <c r="AM180" s="13" t="inlineStr">
        <is>
          <t>Baixa</t>
        </is>
      </c>
      <c r="AN180" s="13" t="inlineStr"/>
      <c r="AO180" s="19" t="inlineStr">
        <is>
          <t>Não</t>
        </is>
      </c>
      <c r="AP180" s="13" t="inlineStr"/>
      <c r="AQ180" s="13" t="inlineStr"/>
      <c r="AR180" s="15" t="inlineStr"/>
      <c r="AS180" s="15" t="inlineStr">
        <is>
          <t>NOTAS FISCAIS DE COMPRA JANEIRO 2026.pdf - p. 179</t>
        </is>
      </c>
    </row>
    <row r="181">
      <c r="A181" s="13" t="inlineStr">
        <is>
          <t>JAN26-P180</t>
        </is>
      </c>
      <c r="B181" s="13" t="n">
        <v>180</v>
      </c>
      <c r="C181" s="13" t="inlineStr">
        <is>
          <t>NF-e</t>
        </is>
      </c>
      <c r="D181" s="13" t="inlineStr"/>
      <c r="E181" s="13" t="inlineStr"/>
      <c r="F181" s="13" t="inlineStr"/>
      <c r="G181" s="25" t="n"/>
      <c r="H181" s="25" t="n"/>
      <c r="I181" s="13" t="inlineStr"/>
      <c r="J181" s="13" t="inlineStr">
        <is>
          <t>Futssuo gets Vlum TOPS DIFTSATOND: Sal PROELARA INDE COMM REIDT Fon” WA So TRANCE TRIS a NFee</t>
        </is>
      </c>
      <c r="K181" s="13" t="inlineStr"/>
      <c r="L181" s="13" t="inlineStr"/>
      <c r="M181" s="13" t="inlineStr"/>
      <c r="N181" s="13" t="inlineStr">
        <is>
          <t>Produtos</t>
        </is>
      </c>
      <c r="O181" s="13" t="inlineStr">
        <is>
          <t>Materia-prima - cimento</t>
        </is>
      </c>
      <c r="P181" s="15" t="inlineStr"/>
      <c r="Q181" s="16" t="n"/>
      <c r="R181" s="16" t="n"/>
      <c r="S181" s="16" t="n"/>
      <c r="T181" s="16" t="n"/>
      <c r="U181" s="16" t="n"/>
      <c r="V181" s="17" t="n"/>
      <c r="W181" s="16" t="n"/>
      <c r="X181" s="16" t="n"/>
      <c r="Y181" s="16" t="n"/>
      <c r="Z181" s="16" t="n"/>
      <c r="AA181" s="16" t="n"/>
      <c r="AB181" s="16" t="n"/>
      <c r="AC181" s="16" t="n"/>
      <c r="AD181" s="17" t="n"/>
      <c r="AE181" s="16" t="n"/>
      <c r="AF181" s="16" t="n"/>
      <c r="AG181" s="16" t="n"/>
      <c r="AH181" s="16" t="n"/>
      <c r="AI181" s="16" t="n"/>
      <c r="AJ181" s="16" t="n"/>
      <c r="AK181" s="16" t="n"/>
      <c r="AL181" s="16" t="n"/>
      <c r="AM181" s="13" t="inlineStr">
        <is>
          <t>Baixa</t>
        </is>
      </c>
      <c r="AN181" s="21" t="inlineStr">
        <is>
          <t>Revisar documento</t>
        </is>
      </c>
      <c r="AO181" s="20" t="inlineStr">
        <is>
          <t>Revisar</t>
        </is>
      </c>
      <c r="AP181" s="13" t="inlineStr"/>
      <c r="AQ181" s="13" t="inlineStr"/>
      <c r="AR181" s="15" t="inlineStr"/>
      <c r="AS181" s="15" t="inlineStr">
        <is>
          <t>NOTAS FISCAIS DE COMPRA JANEIRO 2026.pdf - p. 180</t>
        </is>
      </c>
    </row>
    <row r="182">
      <c r="A182" s="13" t="inlineStr">
        <is>
          <t>JAN26-P181</t>
        </is>
      </c>
      <c r="B182" s="13" t="n">
        <v>181</v>
      </c>
      <c r="C182" s="13" t="inlineStr">
        <is>
          <t>NF-e</t>
        </is>
      </c>
      <c r="D182" s="13" t="inlineStr"/>
      <c r="E182" s="13" t="inlineStr"/>
      <c r="F182" s="13" t="inlineStr"/>
      <c r="G182" s="25" t="n"/>
      <c r="H182" s="25" t="n"/>
      <c r="I182" s="13" t="inlineStr"/>
      <c r="J182" s="13" t="inlineStr">
        <is>
          <t>IAVENIDA SAO FRANCISCO - N 4000 EXTREMA inr202</t>
        </is>
      </c>
      <c r="K182" s="13" t="inlineStr"/>
      <c r="L182" s="13" t="inlineStr"/>
      <c r="M182" s="13" t="inlineStr"/>
      <c r="N182" s="13" t="inlineStr">
        <is>
          <t>Produtos</t>
        </is>
      </c>
      <c r="O182" s="13" t="inlineStr">
        <is>
          <t>Materia-prima - cimento</t>
        </is>
      </c>
      <c r="P182" s="15" t="inlineStr"/>
      <c r="Q182" s="16" t="n"/>
      <c r="R182" s="16" t="n"/>
      <c r="S182" s="16" t="n"/>
      <c r="T182" s="16" t="n"/>
      <c r="U182" s="16" t="n"/>
      <c r="V182" s="17" t="n"/>
      <c r="W182" s="16" t="n"/>
      <c r="X182" s="16" t="n"/>
      <c r="Y182" s="16" t="n"/>
      <c r="Z182" s="16" t="n"/>
      <c r="AA182" s="16" t="n"/>
      <c r="AB182" s="16" t="n"/>
      <c r="AC182" s="16" t="n"/>
      <c r="AD182" s="17" t="n"/>
      <c r="AE182" s="16" t="n"/>
      <c r="AF182" s="16" t="n"/>
      <c r="AG182" s="16" t="n"/>
      <c r="AH182" s="16" t="n"/>
      <c r="AI182" s="16" t="n"/>
      <c r="AJ182" s="16" t="n"/>
      <c r="AK182" s="16" t="n"/>
      <c r="AL182" s="16" t="n"/>
      <c r="AM182" s="13" t="inlineStr">
        <is>
          <t>Baixa</t>
        </is>
      </c>
      <c r="AN182" s="21" t="inlineStr">
        <is>
          <t>Revisar documento</t>
        </is>
      </c>
      <c r="AO182" s="20" t="inlineStr">
        <is>
          <t>Revisar</t>
        </is>
      </c>
      <c r="AP182" s="13" t="inlineStr"/>
      <c r="AQ182" s="13" t="inlineStr"/>
      <c r="AR182" s="15" t="inlineStr"/>
      <c r="AS182" s="15" t="inlineStr">
        <is>
          <t>NOTAS FISCAIS DE COMPRA JANEIRO 2026.pdf - p. 181</t>
        </is>
      </c>
    </row>
    <row r="183">
      <c r="A183" s="13" t="inlineStr">
        <is>
          <t>JAN26-P182</t>
        </is>
      </c>
      <c r="B183" s="13" t="n">
        <v>182</v>
      </c>
      <c r="C183" s="13" t="inlineStr">
        <is>
          <t>NF-e</t>
        </is>
      </c>
      <c r="D183" s="13" t="inlineStr"/>
      <c r="E183" s="13" t="inlineStr"/>
      <c r="F183" s="13" t="inlineStr"/>
      <c r="G183" s="25" t="n"/>
      <c r="H183" s="25" t="n"/>
      <c r="I183" s="13" t="inlineStr"/>
      <c r="J183" s="13" t="inlineStr">
        <is>
          <t>RVENIDA SAO FRANCESCO -W 4000 BRT ‘iore.as0| sun uains</t>
        </is>
      </c>
      <c r="K183" s="13" t="inlineStr"/>
      <c r="L183" s="13" t="inlineStr"/>
      <c r="M183" s="13" t="inlineStr"/>
      <c r="N183" s="13" t="inlineStr">
        <is>
          <t>Produtos</t>
        </is>
      </c>
      <c r="O183" s="13" t="inlineStr">
        <is>
          <t>Outros produtos</t>
        </is>
      </c>
      <c r="P183" s="15" t="inlineStr"/>
      <c r="Q183" s="16" t="n"/>
      <c r="R183" s="16" t="n"/>
      <c r="S183" s="16" t="n"/>
      <c r="T183" s="16" t="n"/>
      <c r="U183" s="16" t="n"/>
      <c r="V183" s="17" t="n"/>
      <c r="W183" s="16" t="n"/>
      <c r="X183" s="16" t="n"/>
      <c r="Y183" s="16" t="n"/>
      <c r="Z183" s="16" t="n"/>
      <c r="AA183" s="16" t="n"/>
      <c r="AB183" s="16" t="n"/>
      <c r="AC183" s="16" t="n"/>
      <c r="AD183" s="17" t="n"/>
      <c r="AE183" s="16" t="n"/>
      <c r="AF183" s="16" t="n"/>
      <c r="AG183" s="16" t="n"/>
      <c r="AH183" s="16" t="n"/>
      <c r="AI183" s="16" t="n"/>
      <c r="AJ183" s="16" t="n"/>
      <c r="AK183" s="16" t="n"/>
      <c r="AL183" s="16" t="n"/>
      <c r="AM183" s="13" t="inlineStr">
        <is>
          <t>Baixa</t>
        </is>
      </c>
      <c r="AN183" s="21" t="inlineStr">
        <is>
          <t>Revisar documento</t>
        </is>
      </c>
      <c r="AO183" s="20" t="inlineStr">
        <is>
          <t>Revisar</t>
        </is>
      </c>
      <c r="AP183" s="13" t="inlineStr"/>
      <c r="AQ183" s="13" t="inlineStr"/>
      <c r="AR183" s="15" t="inlineStr"/>
      <c r="AS183" s="15" t="inlineStr">
        <is>
          <t>NOTAS FISCAIS DE COMPRA JANEIRO 2026.pdf - p. 182</t>
        </is>
      </c>
    </row>
    <row r="184">
      <c r="A184" s="13" t="inlineStr">
        <is>
          <t>JAN26-P183</t>
        </is>
      </c>
      <c r="B184" s="13" t="n">
        <v>183</v>
      </c>
      <c r="C184" s="13" t="inlineStr">
        <is>
          <t>NF-e</t>
        </is>
      </c>
      <c r="D184" s="13" t="inlineStr"/>
      <c r="E184" s="13" t="inlineStr"/>
      <c r="F184" s="13" t="inlineStr"/>
      <c r="G184" s="25" t="n"/>
      <c r="H184" s="25" t="n"/>
      <c r="I184" s="13" t="inlineStr"/>
      <c r="J184" s="13" t="inlineStr">
        <is>
          <t>OWLIDECK NATURAL 361 SAVERLACE eT [Osa] TY wR] enya] TC</t>
        </is>
      </c>
      <c r="K184" s="13" t="inlineStr"/>
      <c r="L184" s="13" t="inlineStr"/>
      <c r="M184" s="13" t="inlineStr"/>
      <c r="N184" s="13" t="inlineStr">
        <is>
          <t>Produtos</t>
        </is>
      </c>
      <c r="O184" s="13" t="inlineStr">
        <is>
          <t>Outros produtos</t>
        </is>
      </c>
      <c r="P184" s="15" t="inlineStr"/>
      <c r="Q184" s="16" t="n"/>
      <c r="R184" s="16" t="n"/>
      <c r="S184" s="16" t="n"/>
      <c r="T184" s="16" t="n"/>
      <c r="U184" s="16" t="n"/>
      <c r="V184" s="17" t="n"/>
      <c r="W184" s="16" t="n"/>
      <c r="X184" s="16" t="n"/>
      <c r="Y184" s="16" t="n"/>
      <c r="Z184" s="16" t="n"/>
      <c r="AA184" s="16" t="n"/>
      <c r="AB184" s="16" t="n"/>
      <c r="AC184" s="16" t="n"/>
      <c r="AD184" s="17" t="n"/>
      <c r="AE184" s="16" t="n"/>
      <c r="AF184" s="16" t="n"/>
      <c r="AG184" s="16" t="n"/>
      <c r="AH184" s="16" t="n"/>
      <c r="AI184" s="16" t="n"/>
      <c r="AJ184" s="16" t="n"/>
      <c r="AK184" s="16" t="n"/>
      <c r="AL184" s="16" t="n"/>
      <c r="AM184" s="13" t="inlineStr">
        <is>
          <t>Baixa</t>
        </is>
      </c>
      <c r="AN184" s="21" t="inlineStr">
        <is>
          <t>Revisar documento</t>
        </is>
      </c>
      <c r="AO184" s="20" t="inlineStr">
        <is>
          <t>Revisar</t>
        </is>
      </c>
      <c r="AP184" s="13" t="inlineStr"/>
      <c r="AQ184" s="13" t="inlineStr"/>
      <c r="AR184" s="15" t="inlineStr"/>
      <c r="AS184" s="15" t="inlineStr">
        <is>
          <t>NOTAS FISCAIS DE COMPRA JANEIRO 2026.pdf - p. 183</t>
        </is>
      </c>
    </row>
    <row r="185">
      <c r="A185" s="13" t="inlineStr">
        <is>
          <t>JAN26-P184</t>
        </is>
      </c>
      <c r="B185" s="13" t="n">
        <v>184</v>
      </c>
      <c r="C185" s="13" t="inlineStr">
        <is>
          <t>NF-e</t>
        </is>
      </c>
      <c r="D185" s="13" t="inlineStr"/>
      <c r="E185" s="13" t="inlineStr"/>
      <c r="F185" s="13" t="inlineStr"/>
      <c r="G185" s="25" t="n"/>
      <c r="H185" s="25" t="n"/>
      <c r="I185" s="13" t="inlineStr"/>
      <c r="J185" s="13" t="inlineStr">
        <is>
          <t>VENDA DE MERCADORTA ADQUIRIDA FRE BomOUS40774 80 6}. 2026 97 ATL</t>
        </is>
      </c>
      <c r="K185" s="13" t="inlineStr"/>
      <c r="L185" s="13" t="inlineStr">
        <is>
          <t>23.655.038/0002-89</t>
        </is>
      </c>
      <c r="M185" s="13" t="inlineStr">
        <is>
          <t>SKAL /0002</t>
        </is>
      </c>
      <c r="N185" s="13" t="inlineStr">
        <is>
          <t>Produtos</t>
        </is>
      </c>
      <c r="O185" s="13" t="inlineStr">
        <is>
          <t>Outros produtos</t>
        </is>
      </c>
      <c r="P185" s="15" t="inlineStr"/>
      <c r="Q185" s="16" t="n"/>
      <c r="R185" s="16" t="n"/>
      <c r="S185" s="16" t="n"/>
      <c r="T185" s="16" t="n"/>
      <c r="U185" s="16" t="n"/>
      <c r="V185" s="17" t="n"/>
      <c r="W185" s="16" t="n"/>
      <c r="X185" s="16" t="n"/>
      <c r="Y185" s="16" t="n"/>
      <c r="Z185" s="16" t="n"/>
      <c r="AA185" s="16" t="n"/>
      <c r="AB185" s="16" t="n"/>
      <c r="AC185" s="16" t="n"/>
      <c r="AD185" s="17" t="n"/>
      <c r="AE185" s="16" t="n"/>
      <c r="AF185" s="16" t="n"/>
      <c r="AG185" s="16" t="n"/>
      <c r="AH185" s="16" t="n"/>
      <c r="AI185" s="16" t="n"/>
      <c r="AJ185" s="16" t="n"/>
      <c r="AK185" s="16" t="n"/>
      <c r="AL185" s="16" t="n"/>
      <c r="AM185" s="13" t="inlineStr">
        <is>
          <t>Baixa</t>
        </is>
      </c>
      <c r="AN185" s="21" t="inlineStr">
        <is>
          <t>Revisar documento</t>
        </is>
      </c>
      <c r="AO185" s="20" t="inlineStr">
        <is>
          <t>Revisar</t>
        </is>
      </c>
      <c r="AP185" s="13" t="inlineStr"/>
      <c r="AQ185" s="13" t="inlineStr"/>
      <c r="AR185" s="15" t="inlineStr"/>
      <c r="AS185" s="15" t="inlineStr">
        <is>
          <t>NOTAS FISCAIS DE COMPRA JANEIRO 2026.pdf - p. 184</t>
        </is>
      </c>
    </row>
    <row r="186">
      <c r="A186" s="13" t="inlineStr">
        <is>
          <t>JAN26-P185</t>
        </is>
      </c>
      <c r="B186" s="13" t="n">
        <v>185</v>
      </c>
      <c r="C186" s="13" t="inlineStr">
        <is>
          <t>NFS-e</t>
        </is>
      </c>
      <c r="D186" s="13" t="inlineStr"/>
      <c r="E186" s="13" t="inlineStr"/>
      <c r="F186" s="13" t="inlineStr"/>
      <c r="G186" s="25" t="n"/>
      <c r="H186" s="25" t="n"/>
      <c r="I186" s="13" t="inlineStr"/>
      <c r="J186" s="13" t="inlineStr">
        <is>
          <t>altidate fo SOK arheipte ds ecoencia 8015081 aspanasil sao rncoktmame So1$80H |</t>
        </is>
      </c>
      <c r="K186" s="13" t="inlineStr"/>
      <c r="L186" s="13" t="inlineStr"/>
      <c r="M186" s="13" t="inlineStr"/>
      <c r="N186" s="13" t="inlineStr">
        <is>
          <t>Servicos</t>
        </is>
      </c>
      <c r="O186" s="13" t="inlineStr">
        <is>
          <t>Outros servicos</t>
        </is>
      </c>
      <c r="P186" s="15" t="inlineStr"/>
      <c r="Q186" s="16" t="n"/>
      <c r="R186" s="16" t="n"/>
      <c r="S186" s="16" t="n"/>
      <c r="T186" s="16" t="n"/>
      <c r="U186" s="16" t="n"/>
      <c r="V186" s="17" t="n"/>
      <c r="W186" s="16" t="n"/>
      <c r="X186" s="16" t="n"/>
      <c r="Y186" s="16" t="n"/>
      <c r="Z186" s="16" t="n"/>
      <c r="AA186" s="16" t="n"/>
      <c r="AB186" s="16" t="n"/>
      <c r="AC186" s="16" t="n"/>
      <c r="AD186" s="17" t="n"/>
      <c r="AE186" s="16" t="n"/>
      <c r="AF186" s="16" t="n"/>
      <c r="AG186" s="16" t="n"/>
      <c r="AH186" s="16" t="n"/>
      <c r="AI186" s="16" t="n"/>
      <c r="AJ186" s="16" t="n"/>
      <c r="AK186" s="16" t="n"/>
      <c r="AL186" s="16" t="n"/>
      <c r="AM186" s="13" t="inlineStr">
        <is>
          <t>Baixa</t>
        </is>
      </c>
      <c r="AN186" s="21" t="inlineStr">
        <is>
          <t>Revisar documento</t>
        </is>
      </c>
      <c r="AO186" s="20" t="inlineStr">
        <is>
          <t>Revisar</t>
        </is>
      </c>
      <c r="AP186" s="13" t="inlineStr"/>
      <c r="AQ186" s="13" t="inlineStr"/>
      <c r="AR186" s="15" t="inlineStr"/>
      <c r="AS186" s="15" t="inlineStr">
        <is>
          <t>NOTAS FISCAIS DE COMPRA JANEIRO 2026.pdf - p. 185</t>
        </is>
      </c>
    </row>
    <row r="187">
      <c r="A187" s="13" t="inlineStr">
        <is>
          <t>JAN26-P186</t>
        </is>
      </c>
      <c r="B187" s="13" t="n">
        <v>186</v>
      </c>
      <c r="C187" s="13" t="inlineStr">
        <is>
          <t>NF-e</t>
        </is>
      </c>
      <c r="D187" s="13" t="inlineStr"/>
      <c r="E187" s="13" t="inlineStr"/>
      <c r="F187" s="13" t="inlineStr"/>
      <c r="G187" s="25" t="n">
        <v>46051</v>
      </c>
      <c r="H187" s="25" t="n"/>
      <c r="I187" s="13" t="inlineStr"/>
      <c r="J187" s="13" t="inlineStr">
        <is>
          <t>VENDA DE MERCADORIA ADQUIRIDA OU RECEBIDA DE TERCE 322260002299794 - 29/01/2026 0:05:40</t>
        </is>
      </c>
      <c r="K187" s="13" t="inlineStr">
        <is>
          <t>08.318.541/0001-74</t>
        </is>
      </c>
      <c r="L187" s="13" t="inlineStr">
        <is>
          <t>23.655.038/0002-89</t>
        </is>
      </c>
      <c r="M187" s="13" t="inlineStr">
        <is>
          <t>SKAL /0002</t>
        </is>
      </c>
      <c r="N187" s="13" t="inlineStr">
        <is>
          <t>Produtos</t>
        </is>
      </c>
      <c r="O187" s="13" t="inlineStr">
        <is>
          <t>Manutencao/pecas</t>
        </is>
      </c>
      <c r="P187" s="15" t="inlineStr">
        <is>
          <t>poser wnral iene rae fost | elon re | mo vor | se [mefoe [oom [zc |] ea oa oo | CALCULODO I5SQN Pronied&gt; Oesca no She ne cumoaty! | omer ee oo | DAOSABKIONAIS__—_—OCOCOCOOOOOOCCCCOCOCNCSNT_____ OOOO ||</t>
        </is>
      </c>
      <c r="Q187" s="16" t="n"/>
      <c r="R187" s="16" t="n"/>
      <c r="S187" s="16" t="n"/>
      <c r="T187" s="16" t="n"/>
      <c r="U187" s="16" t="n"/>
      <c r="V187" s="17" t="n"/>
      <c r="W187" s="16" t="n"/>
      <c r="X187" s="16" t="n"/>
      <c r="Y187" s="16" t="n"/>
      <c r="Z187" s="16" t="n"/>
      <c r="AA187" s="16" t="n"/>
      <c r="AB187" s="16" t="n"/>
      <c r="AC187" s="16" t="n"/>
      <c r="AD187" s="17" t="n"/>
      <c r="AE187" s="16" t="n"/>
      <c r="AF187" s="16" t="n"/>
      <c r="AG187" s="16" t="n"/>
      <c r="AH187" s="16" t="n"/>
      <c r="AI187" s="16" t="n"/>
      <c r="AJ187" s="16" t="n"/>
      <c r="AK187" s="16" t="n"/>
      <c r="AL187" s="16" t="n"/>
      <c r="AM187" s="13" t="inlineStr">
        <is>
          <t>Media</t>
        </is>
      </c>
      <c r="AN187" s="21" t="inlineStr">
        <is>
          <t>Revisar documento</t>
        </is>
      </c>
      <c r="AO187" s="20" t="inlineStr">
        <is>
          <t>Revisar</t>
        </is>
      </c>
      <c r="AP187" s="13" t="inlineStr"/>
      <c r="AQ187" s="13" t="inlineStr"/>
      <c r="AR187" s="15" t="inlineStr"/>
      <c r="AS187" s="15" t="inlineStr">
        <is>
          <t>NOTAS FISCAIS DE COMPRA JANEIRO 2026.pdf - p. 186</t>
        </is>
      </c>
    </row>
    <row r="188">
      <c r="A188" s="13" t="inlineStr">
        <is>
          <t>JAN26-P187</t>
        </is>
      </c>
      <c r="B188" s="13" t="n">
        <v>187</v>
      </c>
      <c r="C188" s="13" t="inlineStr">
        <is>
          <t>Outros/Documento</t>
        </is>
      </c>
      <c r="D188" s="13" t="inlineStr"/>
      <c r="E188" s="13" t="inlineStr"/>
      <c r="F188" s="13" t="inlineStr"/>
      <c r="G188" s="25" t="n"/>
      <c r="H188" s="25" t="n"/>
      <c r="I188" s="13" t="inlineStr"/>
      <c r="J188" s="13" t="inlineStr">
        <is>
          <t>‘VENDA DE MERGADORIAS SLVEITA AO REGIME DE ST. - SUBSTITUIDO. Seon zacia020 08:98:63</t>
        </is>
      </c>
      <c r="K188" s="13" t="inlineStr"/>
      <c r="L188" s="13" t="inlineStr"/>
      <c r="M188" s="13" t="inlineStr"/>
      <c r="N188" s="13" t="inlineStr">
        <is>
          <t>Apoio</t>
        </is>
      </c>
      <c r="O188" s="13" t="inlineStr">
        <is>
          <t>Documento de apoio</t>
        </is>
      </c>
      <c r="P188" s="15" t="inlineStr"/>
      <c r="Q188" s="16" t="n"/>
      <c r="R188" s="16" t="n"/>
      <c r="S188" s="16" t="n"/>
      <c r="T188" s="16" t="n"/>
      <c r="U188" s="16" t="n"/>
      <c r="V188" s="17" t="n"/>
      <c r="W188" s="16" t="n"/>
      <c r="X188" s="16" t="n"/>
      <c r="Y188" s="16" t="n"/>
      <c r="Z188" s="16" t="n"/>
      <c r="AA188" s="16" t="n"/>
      <c r="AB188" s="16" t="n"/>
      <c r="AC188" s="16" t="n"/>
      <c r="AD188" s="17" t="n"/>
      <c r="AE188" s="16" t="n"/>
      <c r="AF188" s="16" t="n"/>
      <c r="AG188" s="16" t="n"/>
      <c r="AH188" s="16" t="n"/>
      <c r="AI188" s="16" t="n"/>
      <c r="AJ188" s="16" t="n"/>
      <c r="AK188" s="16" t="n"/>
      <c r="AL188" s="16" t="n"/>
      <c r="AM188" s="13" t="inlineStr">
        <is>
          <t>Baixa</t>
        </is>
      </c>
      <c r="AN188" s="13" t="inlineStr"/>
      <c r="AO188" s="19" t="inlineStr">
        <is>
          <t>Não</t>
        </is>
      </c>
      <c r="AP188" s="13" t="inlineStr"/>
      <c r="AQ188" s="13" t="inlineStr"/>
      <c r="AR188" s="15" t="inlineStr"/>
      <c r="AS188" s="15" t="inlineStr">
        <is>
          <t>NOTAS FISCAIS DE COMPRA JANEIRO 2026.pdf - p. 187</t>
        </is>
      </c>
    </row>
    <row r="189">
      <c r="A189" s="13" t="inlineStr">
        <is>
          <t>JAN26-P188</t>
        </is>
      </c>
      <c r="B189" s="13" t="n">
        <v>188</v>
      </c>
      <c r="C189" s="13" t="inlineStr">
        <is>
          <t>NF-e</t>
        </is>
      </c>
      <c r="D189" s="13" t="inlineStr"/>
      <c r="E189" s="13" t="inlineStr"/>
      <c r="F189" s="13" t="inlineStr"/>
      <c r="G189" s="25" t="n"/>
      <c r="H189" s="25" t="n"/>
      <c r="I189" s="13" t="inlineStr"/>
      <c r="J189" s="13" t="inlineStr">
        <is>
          <t>JAVENIDA SAQ FRANCISCO - N 4000. EXTREMA 64O7H=150 | ORM ZUZG</t>
        </is>
      </c>
      <c r="K189" s="13" t="inlineStr"/>
      <c r="L189" s="13" t="inlineStr"/>
      <c r="M189" s="13" t="inlineStr"/>
      <c r="N189" s="13" t="inlineStr">
        <is>
          <t>Produtos</t>
        </is>
      </c>
      <c r="O189" s="13" t="inlineStr">
        <is>
          <t>Outros produtos</t>
        </is>
      </c>
      <c r="P189" s="15" t="inlineStr"/>
      <c r="Q189" s="16" t="n"/>
      <c r="R189" s="16" t="n"/>
      <c r="S189" s="16" t="n"/>
      <c r="T189" s="16" t="n"/>
      <c r="U189" s="16" t="n"/>
      <c r="V189" s="17" t="n"/>
      <c r="W189" s="16" t="n"/>
      <c r="X189" s="16" t="n"/>
      <c r="Y189" s="16" t="n"/>
      <c r="Z189" s="16" t="n"/>
      <c r="AA189" s="16" t="n"/>
      <c r="AB189" s="16" t="n"/>
      <c r="AC189" s="16" t="n"/>
      <c r="AD189" s="17" t="n"/>
      <c r="AE189" s="16" t="n"/>
      <c r="AF189" s="16" t="n"/>
      <c r="AG189" s="16" t="n"/>
      <c r="AH189" s="16" t="n"/>
      <c r="AI189" s="16" t="n"/>
      <c r="AJ189" s="16" t="n"/>
      <c r="AK189" s="16" t="n"/>
      <c r="AL189" s="16" t="n"/>
      <c r="AM189" s="13" t="inlineStr">
        <is>
          <t>Baixa</t>
        </is>
      </c>
      <c r="AN189" s="21" t="inlineStr">
        <is>
          <t>Revisar documento</t>
        </is>
      </c>
      <c r="AO189" s="20" t="inlineStr">
        <is>
          <t>Revisar</t>
        </is>
      </c>
      <c r="AP189" s="13" t="inlineStr"/>
      <c r="AQ189" s="13" t="inlineStr"/>
      <c r="AR189" s="15" t="inlineStr"/>
      <c r="AS189" s="15" t="inlineStr">
        <is>
          <t>NOTAS FISCAIS DE COMPRA JANEIRO 2026.pdf - p. 188</t>
        </is>
      </c>
    </row>
    <row r="190">
      <c r="A190" s="13" t="inlineStr">
        <is>
          <t>JAN26-P189</t>
        </is>
      </c>
      <c r="B190" s="13" t="n">
        <v>189</v>
      </c>
      <c r="C190" s="13" t="inlineStr">
        <is>
          <t>NF-e</t>
        </is>
      </c>
      <c r="D190" s="13" t="inlineStr"/>
      <c r="E190" s="13" t="inlineStr"/>
      <c r="F190" s="13" t="inlineStr"/>
      <c r="G190" s="25" t="n">
        <v>46051</v>
      </c>
      <c r="H190" s="25" t="n"/>
      <c r="I190" s="13" t="inlineStr"/>
      <c r="J190" s="13" t="inlineStr">
        <is>
          <t>‘TERESINA MANGUEIRAS E PARAFUSOS LTDA | Eetrade: 0 ‘2226 (1157 9764 T7ON 0124 S508 1000 0037 6715 2841 9273.</t>
        </is>
      </c>
      <c r="K190" s="13" t="inlineStr"/>
      <c r="L190" s="13" t="inlineStr"/>
      <c r="M190" s="13" t="inlineStr"/>
      <c r="N190" s="13" t="inlineStr">
        <is>
          <t>Produtos</t>
        </is>
      </c>
      <c r="O190" s="13" t="inlineStr">
        <is>
          <t>Manutencao/pecas</t>
        </is>
      </c>
      <c r="P190" s="15" t="inlineStr"/>
      <c r="Q190" s="16" t="n"/>
      <c r="R190" s="16" t="n"/>
      <c r="S190" s="16" t="n"/>
      <c r="T190" s="16" t="n"/>
      <c r="U190" s="16" t="n"/>
      <c r="V190" s="17" t="n"/>
      <c r="W190" s="16" t="n"/>
      <c r="X190" s="16" t="n"/>
      <c r="Y190" s="16" t="n"/>
      <c r="Z190" s="16" t="n"/>
      <c r="AA190" s="16" t="n"/>
      <c r="AB190" s="16" t="n"/>
      <c r="AC190" s="16" t="n"/>
      <c r="AD190" s="17" t="n"/>
      <c r="AE190" s="16" t="n"/>
      <c r="AF190" s="16" t="n"/>
      <c r="AG190" s="16" t="n"/>
      <c r="AH190" s="16" t="n"/>
      <c r="AI190" s="16" t="n"/>
      <c r="AJ190" s="16" t="n"/>
      <c r="AK190" s="16" t="n"/>
      <c r="AL190" s="16" t="n"/>
      <c r="AM190" s="13" t="inlineStr">
        <is>
          <t>Baixa</t>
        </is>
      </c>
      <c r="AN190" s="21" t="inlineStr">
        <is>
          <t>Revisar documento</t>
        </is>
      </c>
      <c r="AO190" s="20" t="inlineStr">
        <is>
          <t>Revisar</t>
        </is>
      </c>
      <c r="AP190" s="13" t="inlineStr"/>
      <c r="AQ190" s="13" t="inlineStr"/>
      <c r="AR190" s="15" t="inlineStr"/>
      <c r="AS190" s="15" t="inlineStr">
        <is>
          <t>NOTAS FISCAIS DE COMPRA JANEIRO 2026.pdf - p. 189</t>
        </is>
      </c>
    </row>
    <row r="191">
      <c r="A191" s="13" t="inlineStr">
        <is>
          <t>JAN26-P190</t>
        </is>
      </c>
      <c r="B191" s="13" t="n">
        <v>190</v>
      </c>
      <c r="C191" s="13" t="inlineStr">
        <is>
          <t>NF-e</t>
        </is>
      </c>
      <c r="D191" s="13" t="inlineStr"/>
      <c r="E191" s="13" t="inlineStr"/>
      <c r="F191" s="13" t="inlineStr"/>
      <c r="G191" s="25" t="n">
        <v>46052</v>
      </c>
      <c r="H191" s="25" t="n"/>
      <c r="I191" s="13" t="inlineStr"/>
      <c r="J191" s="13" t="inlineStr">
        <is>
          <t>Praca Dora Tae DO TRS Teo DORA EE MEESTER | ve TOTAL BOUT” [WALGETOTALDA NTA</t>
        </is>
      </c>
      <c r="K191" s="13" t="inlineStr"/>
      <c r="L191" s="13" t="inlineStr">
        <is>
          <t>23.655.038/0002-89</t>
        </is>
      </c>
      <c r="M191" s="13" t="inlineStr">
        <is>
          <t>SKAL /0002</t>
        </is>
      </c>
      <c r="N191" s="13" t="inlineStr">
        <is>
          <t>Produtos</t>
        </is>
      </c>
      <c r="O191" s="13" t="inlineStr">
        <is>
          <t>Manutencao/pecas</t>
        </is>
      </c>
      <c r="P191" s="15" t="inlineStr"/>
      <c r="Q191" s="16" t="n"/>
      <c r="R191" s="16" t="n"/>
      <c r="S191" s="16" t="n"/>
      <c r="T191" s="16" t="n"/>
      <c r="U191" s="16" t="n"/>
      <c r="V191" s="17" t="n"/>
      <c r="W191" s="16" t="n"/>
      <c r="X191" s="16" t="n"/>
      <c r="Y191" s="16" t="n"/>
      <c r="Z191" s="16" t="n"/>
      <c r="AA191" s="16" t="n"/>
      <c r="AB191" s="16" t="n"/>
      <c r="AC191" s="16" t="n"/>
      <c r="AD191" s="17" t="n"/>
      <c r="AE191" s="16" t="n"/>
      <c r="AF191" s="16" t="n"/>
      <c r="AG191" s="16" t="n"/>
      <c r="AH191" s="16" t="n"/>
      <c r="AI191" s="16" t="n"/>
      <c r="AJ191" s="16" t="n"/>
      <c r="AK191" s="16" t="n"/>
      <c r="AL191" s="16" t="n"/>
      <c r="AM191" s="13" t="inlineStr">
        <is>
          <t>Baixa</t>
        </is>
      </c>
      <c r="AN191" s="21" t="inlineStr">
        <is>
          <t>Revisar documento</t>
        </is>
      </c>
      <c r="AO191" s="20" t="inlineStr">
        <is>
          <t>Revisar</t>
        </is>
      </c>
      <c r="AP191" s="13" t="inlineStr"/>
      <c r="AQ191" s="13" t="inlineStr"/>
      <c r="AR191" s="15" t="inlineStr"/>
      <c r="AS191" s="15" t="inlineStr">
        <is>
          <t>NOTAS FISCAIS DE COMPRA JANEIRO 2026.pdf - p. 190</t>
        </is>
      </c>
    </row>
    <row r="192">
      <c r="A192" s="13" t="inlineStr">
        <is>
          <t>JAN26-P191</t>
        </is>
      </c>
      <c r="B192" s="13" t="n">
        <v>191</v>
      </c>
      <c r="C192" s="13" t="inlineStr">
        <is>
          <t>NF-e</t>
        </is>
      </c>
      <c r="D192" s="13" t="inlineStr"/>
      <c r="E192" s="13" t="inlineStr"/>
      <c r="F192" s="13" t="inlineStr"/>
      <c r="G192" s="25" t="n">
        <v>46052</v>
      </c>
      <c r="H192" s="25" t="n"/>
      <c r="I192" s="13" t="inlineStr"/>
      <c r="J192" s="13" t="inlineStr">
        <is>
          <t>scan AL AIO“ DRSTINATARIO.SRALENGENIAWA INDUSTRIA E CONERCIOLTNA.-HODHR 40,3183 A -SAO RATMUNDO ~</t>
        </is>
      </c>
      <c r="K192" s="13" t="inlineStr"/>
      <c r="L192" s="13" t="inlineStr"/>
      <c r="M192" s="13" t="inlineStr"/>
      <c r="N192" s="13" t="inlineStr">
        <is>
          <t>Produtos</t>
        </is>
      </c>
      <c r="O192" s="13" t="inlineStr">
        <is>
          <t>Manutencao/pecas</t>
        </is>
      </c>
      <c r="P192" s="15" t="inlineStr"/>
      <c r="Q192" s="16" t="n"/>
      <c r="R192" s="16" t="n"/>
      <c r="S192" s="16" t="n"/>
      <c r="T192" s="16" t="n"/>
      <c r="U192" s="16" t="n"/>
      <c r="V192" s="17" t="n"/>
      <c r="W192" s="16" t="n"/>
      <c r="X192" s="16" t="n"/>
      <c r="Y192" s="16" t="n"/>
      <c r="Z192" s="16" t="n"/>
      <c r="AA192" s="16" t="n"/>
      <c r="AB192" s="16" t="n"/>
      <c r="AC192" s="16" t="n"/>
      <c r="AD192" s="17" t="n"/>
      <c r="AE192" s="16" t="n"/>
      <c r="AF192" s="16" t="n"/>
      <c r="AG192" s="16" t="n"/>
      <c r="AH192" s="16" t="n"/>
      <c r="AI192" s="16" t="n"/>
      <c r="AJ192" s="16" t="n"/>
      <c r="AK192" s="16" t="n"/>
      <c r="AL192" s="16" t="n"/>
      <c r="AM192" s="13" t="inlineStr">
        <is>
          <t>Baixa</t>
        </is>
      </c>
      <c r="AN192" s="21" t="inlineStr">
        <is>
          <t>Revisar documento</t>
        </is>
      </c>
      <c r="AO192" s="20" t="inlineStr">
        <is>
          <t>Revisar</t>
        </is>
      </c>
      <c r="AP192" s="13" t="inlineStr"/>
      <c r="AQ192" s="13" t="inlineStr"/>
      <c r="AR192" s="15" t="inlineStr"/>
      <c r="AS192" s="15" t="inlineStr">
        <is>
          <t>NOTAS FISCAIS DE COMPRA JANEIRO 2026.pdf - p. 191</t>
        </is>
      </c>
    </row>
    <row r="193">
      <c r="A193" s="13" t="inlineStr">
        <is>
          <t>JAN26-P192</t>
        </is>
      </c>
      <c r="B193" s="13" t="n">
        <v>192</v>
      </c>
      <c r="C193" s="13" t="inlineStr">
        <is>
          <t>Outros/Documento</t>
        </is>
      </c>
      <c r="D193" s="13" t="inlineStr"/>
      <c r="E193" s="13" t="inlineStr"/>
      <c r="F193" s="13" t="inlineStr"/>
      <c r="G193" s="25" t="n">
        <v>46052</v>
      </c>
      <c r="H193" s="25" t="n"/>
      <c r="I193" s="13" t="inlineStr"/>
      <c r="J193" s="13" t="inlineStr">
        <is>
          <t>VENDA DE MERCADORIA ADQUIRIDA OU RECEBIDA DE TERCE. ZTIIROGTITOSAS «30792006 07:48:53</t>
        </is>
      </c>
      <c r="K193" s="13" t="inlineStr"/>
      <c r="L193" s="13" t="inlineStr">
        <is>
          <t>23.655.038/0002-89</t>
        </is>
      </c>
      <c r="M193" s="13" t="inlineStr">
        <is>
          <t>SKAL /0002</t>
        </is>
      </c>
      <c r="N193" s="13" t="inlineStr">
        <is>
          <t>Apoio</t>
        </is>
      </c>
      <c r="O193" s="13" t="inlineStr">
        <is>
          <t>Documento de apoio</t>
        </is>
      </c>
      <c r="P193" s="15" t="inlineStr"/>
      <c r="Q193" s="16" t="n"/>
      <c r="R193" s="16" t="n"/>
      <c r="S193" s="16" t="n"/>
      <c r="T193" s="16" t="n"/>
      <c r="U193" s="16" t="n"/>
      <c r="V193" s="17" t="n"/>
      <c r="W193" s="16" t="n"/>
      <c r="X193" s="16" t="n"/>
      <c r="Y193" s="16" t="n"/>
      <c r="Z193" s="16" t="n"/>
      <c r="AA193" s="16" t="n"/>
      <c r="AB193" s="16" t="n"/>
      <c r="AC193" s="16" t="n"/>
      <c r="AD193" s="17" t="n"/>
      <c r="AE193" s="16" t="n"/>
      <c r="AF193" s="16" t="n"/>
      <c r="AG193" s="16" t="n"/>
      <c r="AH193" s="16" t="n"/>
      <c r="AI193" s="16" t="n"/>
      <c r="AJ193" s="16" t="n"/>
      <c r="AK193" s="16" t="n"/>
      <c r="AL193" s="16" t="n"/>
      <c r="AM193" s="13" t="inlineStr">
        <is>
          <t>Baixa</t>
        </is>
      </c>
      <c r="AN193" s="13" t="inlineStr"/>
      <c r="AO193" s="19" t="inlineStr">
        <is>
          <t>Não</t>
        </is>
      </c>
      <c r="AP193" s="13" t="inlineStr"/>
      <c r="AQ193" s="13" t="inlineStr"/>
      <c r="AR193" s="15" t="inlineStr"/>
      <c r="AS193" s="15" t="inlineStr">
        <is>
          <t>NOTAS FISCAIS DE COMPRA JANEIRO 2026.pdf - p. 192</t>
        </is>
      </c>
    </row>
    <row r="194">
      <c r="A194" s="13" t="inlineStr">
        <is>
          <t>JAN26-P193</t>
        </is>
      </c>
      <c r="B194" s="13" t="n">
        <v>193</v>
      </c>
      <c r="C194" s="13" t="inlineStr">
        <is>
          <t>NF-e</t>
        </is>
      </c>
      <c r="D194" s="13" t="inlineStr"/>
      <c r="E194" s="13" t="inlineStr"/>
      <c r="F194" s="13" t="inlineStr"/>
      <c r="G194" s="25" t="n">
        <v>46052</v>
      </c>
      <c r="H194" s="25" t="n"/>
      <c r="I194" s="13" t="inlineStr"/>
      <c r="J194" s="13" t="inlineStr">
        <is>
          <t>fae leemrncowmoneniet {souave ow [oamiow sacl —_tatol _raao] nonl aol cool — ovo! cool ano]</t>
        </is>
      </c>
      <c r="K194" s="13" t="inlineStr"/>
      <c r="L194" s="13" t="inlineStr"/>
      <c r="M194" s="13" t="inlineStr"/>
      <c r="N194" s="13" t="inlineStr">
        <is>
          <t>Produtos</t>
        </is>
      </c>
      <c r="O194" s="13" t="inlineStr">
        <is>
          <t>Manutencao/pecas</t>
        </is>
      </c>
      <c r="P194" s="15" t="inlineStr"/>
      <c r="Q194" s="16" t="n"/>
      <c r="R194" s="16" t="n"/>
      <c r="S194" s="16" t="n"/>
      <c r="T194" s="16" t="n"/>
      <c r="U194" s="16" t="n"/>
      <c r="V194" s="17" t="n"/>
      <c r="W194" s="16" t="n"/>
      <c r="X194" s="16" t="n"/>
      <c r="Y194" s="16" t="n"/>
      <c r="Z194" s="16" t="n"/>
      <c r="AA194" s="16" t="n"/>
      <c r="AB194" s="16" t="n"/>
      <c r="AC194" s="16" t="n"/>
      <c r="AD194" s="17" t="n"/>
      <c r="AE194" s="16" t="n"/>
      <c r="AF194" s="16" t="n"/>
      <c r="AG194" s="16" t="n"/>
      <c r="AH194" s="16" t="n"/>
      <c r="AI194" s="16" t="n"/>
      <c r="AJ194" s="16" t="n"/>
      <c r="AK194" s="16" t="n"/>
      <c r="AL194" s="16" t="n"/>
      <c r="AM194" s="13" t="inlineStr">
        <is>
          <t>Baixa</t>
        </is>
      </c>
      <c r="AN194" s="21" t="inlineStr">
        <is>
          <t>Revisar documento</t>
        </is>
      </c>
      <c r="AO194" s="20" t="inlineStr">
        <is>
          <t>Revisar</t>
        </is>
      </c>
      <c r="AP194" s="13" t="inlineStr"/>
      <c r="AQ194" s="13" t="inlineStr"/>
      <c r="AR194" s="15" t="inlineStr"/>
      <c r="AS194" s="15" t="inlineStr">
        <is>
          <t>NOTAS FISCAIS DE COMPRA JANEIRO 2026.pdf - p. 193</t>
        </is>
      </c>
    </row>
    <row r="195">
      <c r="A195" s="13" t="inlineStr">
        <is>
          <t>JAN26-P194</t>
        </is>
      </c>
      <c r="B195" s="13" t="n">
        <v>194</v>
      </c>
      <c r="C195" s="13" t="inlineStr">
        <is>
          <t>NF-e</t>
        </is>
      </c>
      <c r="D195" s="13" t="inlineStr"/>
      <c r="E195" s="13" t="inlineStr"/>
      <c r="F195" s="13" t="inlineStr"/>
      <c r="G195" s="25" t="n">
        <v>46051</v>
      </c>
      <c r="H195" s="25" t="n"/>
      <c r="I195" s="13" t="inlineStr"/>
      <c r="J195" s="13" t="inlineStr">
        <is>
          <t>TERESINA MANGUEIRAS E PARAFUSOS LTDA Ewrsds: © 12226 0157 9764 7798 9124 5506 1006 037 HG 1247 6751</t>
        </is>
      </c>
      <c r="K195" s="13" t="inlineStr"/>
      <c r="L195" s="13" t="inlineStr">
        <is>
          <t>23.655.038/0002-89</t>
        </is>
      </c>
      <c r="M195" s="13" t="inlineStr">
        <is>
          <t>SKAL /0002</t>
        </is>
      </c>
      <c r="N195" s="13" t="inlineStr">
        <is>
          <t>Produtos</t>
        </is>
      </c>
      <c r="O195" s="13" t="inlineStr">
        <is>
          <t>Manutencao/pecas</t>
        </is>
      </c>
      <c r="P195" s="15" t="inlineStr"/>
      <c r="Q195" s="16" t="n"/>
      <c r="R195" s="16" t="n"/>
      <c r="S195" s="16" t="n"/>
      <c r="T195" s="16" t="n"/>
      <c r="U195" s="16" t="n"/>
      <c r="V195" s="17" t="n"/>
      <c r="W195" s="16" t="n"/>
      <c r="X195" s="16" t="n"/>
      <c r="Y195" s="16" t="n"/>
      <c r="Z195" s="16" t="n"/>
      <c r="AA195" s="16" t="n"/>
      <c r="AB195" s="16" t="n"/>
      <c r="AC195" s="16" t="n"/>
      <c r="AD195" s="17" t="n"/>
      <c r="AE195" s="16" t="n"/>
      <c r="AF195" s="16" t="n"/>
      <c r="AG195" s="16" t="n"/>
      <c r="AH195" s="16" t="n"/>
      <c r="AI195" s="16" t="n"/>
      <c r="AJ195" s="16" t="n"/>
      <c r="AK195" s="16" t="n"/>
      <c r="AL195" s="16" t="n"/>
      <c r="AM195" s="13" t="inlineStr">
        <is>
          <t>Baixa</t>
        </is>
      </c>
      <c r="AN195" s="21" t="inlineStr">
        <is>
          <t>Revisar documento</t>
        </is>
      </c>
      <c r="AO195" s="20" t="inlineStr">
        <is>
          <t>Revisar</t>
        </is>
      </c>
      <c r="AP195" s="13" t="inlineStr"/>
      <c r="AQ195" s="13" t="inlineStr"/>
      <c r="AR195" s="15" t="inlineStr"/>
      <c r="AS195" s="15" t="inlineStr">
        <is>
          <t>NOTAS FISCAIS DE COMPRA JANEIRO 2026.pdf - p. 194</t>
        </is>
      </c>
    </row>
    <row r="196">
      <c r="A196" s="13" t="inlineStr">
        <is>
          <t>JAN26-P195</t>
        </is>
      </c>
      <c r="B196" s="13" t="n">
        <v>195</v>
      </c>
      <c r="C196" s="13" t="inlineStr">
        <is>
          <t>NF-e</t>
        </is>
      </c>
      <c r="D196" s="13" t="inlineStr"/>
      <c r="E196" s="13" t="inlineStr"/>
      <c r="F196" s="13" t="inlineStr"/>
      <c r="G196" s="25" t="n"/>
      <c r="H196" s="25" t="n"/>
      <c r="I196" s="13" t="inlineStr"/>
      <c r="J196" s="13" t="inlineStr">
        <is>
          <t>[Formenfesmctenomeor fro] wa [oon] [ anu: [namin] vr cco cai oevae[ oon] vr Feel</t>
        </is>
      </c>
      <c r="K196" s="13" t="inlineStr"/>
      <c r="L196" s="13" t="inlineStr"/>
      <c r="M196" s="13" t="inlineStr"/>
      <c r="N196" s="13" t="inlineStr">
        <is>
          <t>Produtos</t>
        </is>
      </c>
      <c r="O196" s="13" t="inlineStr">
        <is>
          <t>Outros produtos</t>
        </is>
      </c>
      <c r="P196" s="15" t="inlineStr"/>
      <c r="Q196" s="16" t="n"/>
      <c r="R196" s="16" t="n"/>
      <c r="S196" s="16" t="n"/>
      <c r="T196" s="16" t="n"/>
      <c r="U196" s="16" t="n"/>
      <c r="V196" s="17" t="n"/>
      <c r="W196" s="16" t="n"/>
      <c r="X196" s="16" t="n"/>
      <c r="Y196" s="16" t="n"/>
      <c r="Z196" s="16" t="n"/>
      <c r="AA196" s="16" t="n"/>
      <c r="AB196" s="16" t="n"/>
      <c r="AC196" s="16" t="n"/>
      <c r="AD196" s="17" t="n"/>
      <c r="AE196" s="16" t="n"/>
      <c r="AF196" s="16" t="n"/>
      <c r="AG196" s="16" t="n"/>
      <c r="AH196" s="16" t="n"/>
      <c r="AI196" s="16" t="n"/>
      <c r="AJ196" s="16" t="n"/>
      <c r="AK196" s="16" t="n"/>
      <c r="AL196" s="16" t="n"/>
      <c r="AM196" s="13" t="inlineStr">
        <is>
          <t>Baixa</t>
        </is>
      </c>
      <c r="AN196" s="21" t="inlineStr">
        <is>
          <t>Revisar documento</t>
        </is>
      </c>
      <c r="AO196" s="20" t="inlineStr">
        <is>
          <t>Revisar</t>
        </is>
      </c>
      <c r="AP196" s="13" t="inlineStr"/>
      <c r="AQ196" s="13" t="inlineStr"/>
      <c r="AR196" s="15" t="inlineStr"/>
      <c r="AS196" s="15" t="inlineStr">
        <is>
          <t>NOTAS FISCAIS DE COMPRA JANEIRO 2026.pdf - p. 195</t>
        </is>
      </c>
    </row>
    <row r="197">
      <c r="A197" s="13" t="inlineStr">
        <is>
          <t>JAN26-P196</t>
        </is>
      </c>
      <c r="B197" s="13" t="n">
        <v>196</v>
      </c>
      <c r="C197" s="13" t="inlineStr">
        <is>
          <t>NF-e</t>
        </is>
      </c>
      <c r="D197" s="13" t="inlineStr">
        <is>
          <t>55</t>
        </is>
      </c>
      <c r="E197" s="13" t="inlineStr">
        <is>
          <t>36789</t>
        </is>
      </c>
      <c r="F197" s="13" t="inlineStr">
        <is>
          <t>1</t>
        </is>
      </c>
      <c r="G197" s="25" t="n"/>
      <c r="H197" s="25" t="n"/>
      <c r="I197" s="13" t="inlineStr">
        <is>
          <t>22251227591360000161550010000367891000367901</t>
        </is>
      </c>
      <c r="J197" s="13" t="inlineStr">
        <is>
          <t>‘VENDA DE MERCADORIA ADQUIRIDA OU RECEBIDA DE TARCE 227250000217805 117122025 16:40:11 |</t>
        </is>
      </c>
      <c r="K197" s="13" t="inlineStr">
        <is>
          <t>27.591.360/0001-61</t>
        </is>
      </c>
      <c r="L197" s="13" t="inlineStr"/>
      <c r="M197" s="13" t="inlineStr"/>
      <c r="N197" s="13" t="inlineStr">
        <is>
          <t>Produtos</t>
        </is>
      </c>
      <c r="O197" s="13" t="inlineStr">
        <is>
          <t>Outros produtos</t>
        </is>
      </c>
      <c r="P197" s="15" t="inlineStr"/>
      <c r="Q197" s="16" t="n"/>
      <c r="R197" s="16" t="n"/>
      <c r="S197" s="16" t="n"/>
      <c r="T197" s="16" t="n"/>
      <c r="U197" s="16" t="n"/>
      <c r="V197" s="17" t="n"/>
      <c r="W197" s="16" t="n"/>
      <c r="X197" s="16" t="n"/>
      <c r="Y197" s="16" t="n"/>
      <c r="Z197" s="16" t="n"/>
      <c r="AA197" s="16" t="n"/>
      <c r="AB197" s="16" t="n"/>
      <c r="AC197" s="16" t="n"/>
      <c r="AD197" s="17" t="n"/>
      <c r="AE197" s="16" t="n"/>
      <c r="AF197" s="16" t="n"/>
      <c r="AG197" s="16" t="n"/>
      <c r="AH197" s="16" t="n"/>
      <c r="AI197" s="16" t="n"/>
      <c r="AJ197" s="16" t="n"/>
      <c r="AK197" s="16" t="n"/>
      <c r="AL197" s="16" t="n"/>
      <c r="AM197" s="13" t="inlineStr">
        <is>
          <t>Alta</t>
        </is>
      </c>
      <c r="AN197" s="21" t="inlineStr">
        <is>
          <t>Revisar documento</t>
        </is>
      </c>
      <c r="AO197" s="20" t="inlineStr">
        <is>
          <t>Revisar</t>
        </is>
      </c>
      <c r="AP197" s="13" t="inlineStr"/>
      <c r="AQ197" s="13" t="inlineStr"/>
      <c r="AR197" s="15" t="inlineStr"/>
      <c r="AS197" s="15" t="inlineStr">
        <is>
          <t>NOTAS FISCAIS DE COMPRA JANEIRO 2026.pdf - p. 196</t>
        </is>
      </c>
    </row>
    <row r="198">
      <c r="A198" s="13" t="inlineStr">
        <is>
          <t>JAN26-P197</t>
        </is>
      </c>
      <c r="B198" s="13" t="n">
        <v>197</v>
      </c>
      <c r="C198" s="13" t="inlineStr">
        <is>
          <t>Outros/Documento</t>
        </is>
      </c>
      <c r="D198" s="13" t="inlineStr"/>
      <c r="E198" s="13" t="inlineStr"/>
      <c r="F198" s="13" t="inlineStr"/>
      <c r="G198" s="25" t="n">
        <v>46029</v>
      </c>
      <c r="H198" s="25" t="n"/>
      <c r="I198" s="13" t="inlineStr"/>
      <c r="J198" s="13" t="inlineStr">
        <is>
          <t>RUA SAO FRANCISCO, 4000 TANCREDO NEVES 4976-038 Jo7/01/2026_</t>
        </is>
      </c>
      <c r="K198" s="13" t="inlineStr"/>
      <c r="L198" s="13" t="inlineStr"/>
      <c r="M198" s="13" t="inlineStr"/>
      <c r="N198" s="13" t="inlineStr">
        <is>
          <t>Apoio</t>
        </is>
      </c>
      <c r="O198" s="13" t="inlineStr">
        <is>
          <t>Documento de apoio</t>
        </is>
      </c>
      <c r="P198" s="15" t="inlineStr"/>
      <c r="Q198" s="16" t="n"/>
      <c r="R198" s="16" t="n"/>
      <c r="S198" s="16" t="n"/>
      <c r="T198" s="16" t="n"/>
      <c r="U198" s="16" t="n"/>
      <c r="V198" s="17" t="n"/>
      <c r="W198" s="16" t="n"/>
      <c r="X198" s="16" t="n"/>
      <c r="Y198" s="16" t="n"/>
      <c r="Z198" s="16" t="n"/>
      <c r="AA198" s="16" t="n"/>
      <c r="AB198" s="16" t="n"/>
      <c r="AC198" s="16" t="n"/>
      <c r="AD198" s="17" t="n"/>
      <c r="AE198" s="16" t="n"/>
      <c r="AF198" s="16" t="n"/>
      <c r="AG198" s="16" t="n"/>
      <c r="AH198" s="16" t="n"/>
      <c r="AI198" s="16" t="n"/>
      <c r="AJ198" s="16" t="n"/>
      <c r="AK198" s="16" t="n"/>
      <c r="AL198" s="16" t="n"/>
      <c r="AM198" s="13" t="inlineStr">
        <is>
          <t>Baixa</t>
        </is>
      </c>
      <c r="AN198" s="13" t="inlineStr"/>
      <c r="AO198" s="19" t="inlineStr">
        <is>
          <t>Não</t>
        </is>
      </c>
      <c r="AP198" s="13" t="inlineStr"/>
      <c r="AQ198" s="13" t="inlineStr"/>
      <c r="AR198" s="15" t="inlineStr"/>
      <c r="AS198" s="15" t="inlineStr">
        <is>
          <t>NOTAS FISCAIS DE COMPRA JANEIRO 2026.pdf - p. 197</t>
        </is>
      </c>
    </row>
    <row r="199">
      <c r="A199" s="13" t="inlineStr">
        <is>
          <t>JAN26-P198</t>
        </is>
      </c>
      <c r="B199" s="13" t="n">
        <v>198</v>
      </c>
      <c r="C199" s="13" t="inlineStr">
        <is>
          <t>Outros/Documento</t>
        </is>
      </c>
      <c r="D199" s="13" t="inlineStr"/>
      <c r="E199" s="13" t="inlineStr"/>
      <c r="F199" s="13" t="inlineStr"/>
      <c r="G199" s="25" t="n">
        <v>46029</v>
      </c>
      <c r="H199" s="25" t="n"/>
      <c r="I199" s="13" t="inlineStr"/>
      <c r="J199" s="13" t="inlineStr">
        <is>
          <t>RYAchaisr SAO PAINOWDO TERESTHA = f° 000.203.010 | COOeIs Zo ttea genuneipced oo a tate Ge So</t>
        </is>
      </c>
      <c r="K199" s="13" t="inlineStr">
        <is>
          <t>06.057.223/0342-38</t>
        </is>
      </c>
      <c r="L199" s="13" t="inlineStr"/>
      <c r="M199" s="13" t="inlineStr"/>
      <c r="N199" s="13" t="inlineStr">
        <is>
          <t>Apoio</t>
        </is>
      </c>
      <c r="O199" s="13" t="inlineStr">
        <is>
          <t>Documento de apoio</t>
        </is>
      </c>
      <c r="P199" s="15" t="inlineStr"/>
      <c r="Q199" s="16" t="n"/>
      <c r="R199" s="16" t="n"/>
      <c r="S199" s="16" t="n"/>
      <c r="T199" s="16" t="n"/>
      <c r="U199" s="16" t="n"/>
      <c r="V199" s="17" t="n"/>
      <c r="W199" s="16" t="n"/>
      <c r="X199" s="16" t="n"/>
      <c r="Y199" s="16" t="n"/>
      <c r="Z199" s="16" t="n"/>
      <c r="AA199" s="16" t="n"/>
      <c r="AB199" s="16" t="n"/>
      <c r="AC199" s="16" t="n"/>
      <c r="AD199" s="17" t="n"/>
      <c r="AE199" s="16" t="n"/>
      <c r="AF199" s="16" t="n"/>
      <c r="AG199" s="16" t="n"/>
      <c r="AH199" s="16" t="n"/>
      <c r="AI199" s="16" t="n"/>
      <c r="AJ199" s="16" t="n"/>
      <c r="AK199" s="16" t="n"/>
      <c r="AL199" s="16" t="n"/>
      <c r="AM199" s="13" t="inlineStr">
        <is>
          <t>Media</t>
        </is>
      </c>
      <c r="AN199" s="13" t="inlineStr"/>
      <c r="AO199" s="19" t="inlineStr">
        <is>
          <t>Não</t>
        </is>
      </c>
      <c r="AP199" s="13" t="inlineStr"/>
      <c r="AQ199" s="13" t="inlineStr"/>
      <c r="AR199" s="15" t="inlineStr"/>
      <c r="AS199" s="15" t="inlineStr">
        <is>
          <t>NOTAS FISCAIS DE COMPRA JANEIRO 2026.pdf - p. 198</t>
        </is>
      </c>
    </row>
    <row r="200">
      <c r="A200" s="13" t="inlineStr">
        <is>
          <t>JAN26-P199</t>
        </is>
      </c>
      <c r="B200" s="13" t="n">
        <v>199</v>
      </c>
      <c r="C200" s="13" t="inlineStr">
        <is>
          <t>NFS-e</t>
        </is>
      </c>
      <c r="D200" s="13" t="inlineStr"/>
      <c r="E200" s="13" t="inlineStr">
        <is>
          <t>9</t>
        </is>
      </c>
      <c r="F200" s="13" t="inlineStr">
        <is>
          <t>U</t>
        </is>
      </c>
      <c r="G200" s="25" t="n">
        <v>46030</v>
      </c>
      <c r="H200" s="25" t="n"/>
      <c r="I200" s="13" t="inlineStr"/>
      <c r="J200" s="13" t="inlineStr">
        <is>
          <t>Sack EXPLORACAO DE SALOES DE FESTAS, CENTRO DE CONVENCOES, ESCRITORIOS VIRTUNS. STANDS, QUADRAS ESPORTIVAS,ESTADIOS, GNASIOS,</t>
        </is>
      </c>
      <c r="K200" s="13" t="inlineStr">
        <is>
          <t>55.944.213/0001-63</t>
        </is>
      </c>
      <c r="L200" s="13" t="inlineStr">
        <is>
          <t>23.655.038/0002-89</t>
        </is>
      </c>
      <c r="M200" s="13" t="inlineStr">
        <is>
          <t>SKAL /0002</t>
        </is>
      </c>
      <c r="N200" s="13" t="inlineStr">
        <is>
          <t>Servicos</t>
        </is>
      </c>
      <c r="O200" s="13" t="inlineStr">
        <is>
          <t>Outros servicos</t>
        </is>
      </c>
      <c r="P200" s="15" t="inlineStr">
        <is>
          <t>PRESTACAO DE SERVICOS DE DIVULGACAO DE MARCA KALFIX</t>
        </is>
      </c>
      <c r="Q200" s="16" t="n">
        <v>3000</v>
      </c>
      <c r="R200" s="16" t="n"/>
      <c r="S200" s="16" t="n">
        <v>3000</v>
      </c>
      <c r="T200" s="16" t="n"/>
      <c r="U200" s="16" t="n"/>
      <c r="V200" s="17" t="n"/>
      <c r="W200" s="16" t="n"/>
      <c r="X200" s="16" t="n"/>
      <c r="Y200" s="16" t="n"/>
      <c r="Z200" s="16" t="n"/>
      <c r="AA200" s="16" t="n">
        <v>3000</v>
      </c>
      <c r="AB200" s="16" t="n"/>
      <c r="AC200" s="16" t="n">
        <v>3000</v>
      </c>
      <c r="AD200" s="17" t="n">
        <v>0.05</v>
      </c>
      <c r="AE200" s="16" t="n">
        <v>150</v>
      </c>
      <c r="AF200" s="16" t="n"/>
      <c r="AG200" s="16" t="n"/>
      <c r="AH200" s="16" t="n"/>
      <c r="AI200" s="16" t="n"/>
      <c r="AJ200" s="16" t="n"/>
      <c r="AK200" s="16" t="n"/>
      <c r="AL200" s="16" t="n"/>
      <c r="AM200" s="13" t="inlineStr">
        <is>
          <t>Media</t>
        </is>
      </c>
      <c r="AN200" s="13" t="inlineStr"/>
      <c r="AO200" s="19" t="inlineStr">
        <is>
          <t>Não</t>
        </is>
      </c>
      <c r="AP200" s="13" t="inlineStr">
        <is>
          <t>P145</t>
        </is>
      </c>
      <c r="AQ200" s="22" t="inlineStr">
        <is>
          <t>Duplicado exato</t>
        </is>
      </c>
      <c r="AR200" s="15" t="inlineStr">
        <is>
          <t>Página repetida do mesmo documento fiscal; excluída da soma para evitar dupla contabilização.</t>
        </is>
      </c>
      <c r="AS200" s="15" t="inlineStr">
        <is>
          <t>NOTAS FISCAIS DE COMPRA JANEIRO 2026.pdf - p. 199</t>
        </is>
      </c>
    </row>
    <row r="201">
      <c r="A201" s="13" t="inlineStr">
        <is>
          <t>JAN26-P200</t>
        </is>
      </c>
      <c r="B201" s="13" t="n">
        <v>200</v>
      </c>
      <c r="C201" s="13" t="inlineStr">
        <is>
          <t>NFS-e</t>
        </is>
      </c>
      <c r="D201" s="13" t="inlineStr"/>
      <c r="E201" s="13" t="inlineStr">
        <is>
          <t>3</t>
        </is>
      </c>
      <c r="F201" s="13" t="inlineStr">
        <is>
          <t>900</t>
        </is>
      </c>
      <c r="G201" s="25" t="n">
        <v>46030</v>
      </c>
      <c r="H201" s="25" t="n"/>
      <c r="I201" s="13" t="inlineStr"/>
      <c r="J201" s="13" t="inlineStr">
        <is>
          <t>‘aorde santee escort Conlonade Devcon cetera (SON Fedo</t>
        </is>
      </c>
      <c r="K201" s="13" t="inlineStr">
        <is>
          <t>07.352.685/0001-84</t>
        </is>
      </c>
      <c r="L201" s="13" t="inlineStr">
        <is>
          <t>23.655.038/0002-89</t>
        </is>
      </c>
      <c r="M201" s="13" t="inlineStr">
        <is>
          <t>SKAL /0002</t>
        </is>
      </c>
      <c r="N201" s="13" t="inlineStr">
        <is>
          <t>Servicos</t>
        </is>
      </c>
      <c r="O201" s="13" t="inlineStr">
        <is>
          <t>Outros servicos</t>
        </is>
      </c>
      <c r="P201" s="15" t="inlineStr">
        <is>
          <t>COMISSAO SOBRE VENDAS REFERENTE AO MES DE DEZEMBRO DE 2025.</t>
        </is>
      </c>
      <c r="Q201" s="16" t="n">
        <v>15662.93</v>
      </c>
      <c r="R201" s="16" t="n"/>
      <c r="S201" s="16" t="n">
        <v>15662.93</v>
      </c>
      <c r="T201" s="16" t="n"/>
      <c r="U201" s="16" t="n"/>
      <c r="V201" s="17" t="n"/>
      <c r="W201" s="16" t="n"/>
      <c r="X201" s="16" t="n"/>
      <c r="Y201" s="16" t="n"/>
      <c r="Z201" s="16" t="n"/>
      <c r="AA201" s="16" t="n">
        <v>15462.53</v>
      </c>
      <c r="AB201" s="16" t="n">
        <v>15.66</v>
      </c>
      <c r="AC201" s="16" t="n"/>
      <c r="AD201" s="17" t="n"/>
      <c r="AE201" s="16" t="n"/>
      <c r="AF201" s="16" t="n"/>
      <c r="AG201" s="16" t="n"/>
      <c r="AH201" s="16" t="n"/>
      <c r="AI201" s="16" t="n"/>
      <c r="AJ201" s="16" t="n"/>
      <c r="AK201" s="16" t="n"/>
      <c r="AL201" s="16" t="n"/>
      <c r="AM201" s="13" t="inlineStr">
        <is>
          <t>Media</t>
        </is>
      </c>
      <c r="AN201" s="13" t="inlineStr"/>
      <c r="AO201" s="19" t="inlineStr">
        <is>
          <t>Não</t>
        </is>
      </c>
      <c r="AP201" s="13" t="inlineStr">
        <is>
          <t>P70</t>
        </is>
      </c>
      <c r="AQ201" s="22" t="inlineStr">
        <is>
          <t>Duplicado exato</t>
        </is>
      </c>
      <c r="AR201" s="15" t="inlineStr">
        <is>
          <t>Página repetida do mesmo documento fiscal; excluída da soma para evitar dupla contabilização.</t>
        </is>
      </c>
      <c r="AS201" s="15" t="inlineStr">
        <is>
          <t>NOTAS FISCAIS DE COMPRA JANEIRO 2026.pdf - p. 200</t>
        </is>
      </c>
    </row>
    <row r="202">
      <c r="A202" s="13" t="inlineStr">
        <is>
          <t>JAN26-P201</t>
        </is>
      </c>
      <c r="B202" s="13" t="n">
        <v>201</v>
      </c>
      <c r="C202" s="13" t="inlineStr">
        <is>
          <t>NFS-e</t>
        </is>
      </c>
      <c r="D202" s="13" t="inlineStr"/>
      <c r="E202" s="13" t="inlineStr"/>
      <c r="F202" s="13" t="inlineStr"/>
      <c r="G202" s="25" t="n"/>
      <c r="H202" s="25" t="n"/>
      <c r="I202" s="13" t="inlineStr"/>
      <c r="J202" s="13" t="inlineStr">
        <is>
          <t>f'oe0 522 MICHELA MEDEIROS FRANCO MICHELAMEDEIROBZ3€2GMAILCOM</t>
        </is>
      </c>
      <c r="K202" s="13" t="inlineStr"/>
      <c r="L202" s="13" t="inlineStr"/>
      <c r="M202" s="13" t="inlineStr"/>
      <c r="N202" s="13" t="inlineStr">
        <is>
          <t>Servicos</t>
        </is>
      </c>
      <c r="O202" s="13" t="inlineStr">
        <is>
          <t>Outros servicos</t>
        </is>
      </c>
      <c r="P202" s="15" t="inlineStr"/>
      <c r="Q202" s="16" t="n"/>
      <c r="R202" s="16" t="n"/>
      <c r="S202" s="16" t="n"/>
      <c r="T202" s="16" t="n"/>
      <c r="U202" s="16" t="n"/>
      <c r="V202" s="17" t="n"/>
      <c r="W202" s="16" t="n"/>
      <c r="X202" s="16" t="n"/>
      <c r="Y202" s="16" t="n"/>
      <c r="Z202" s="16" t="n"/>
      <c r="AA202" s="16" t="n"/>
      <c r="AB202" s="16" t="n">
        <v>4800</v>
      </c>
      <c r="AC202" s="16" t="n"/>
      <c r="AD202" s="17" t="n"/>
      <c r="AE202" s="16" t="n"/>
      <c r="AF202" s="16" t="n"/>
      <c r="AG202" s="16" t="n"/>
      <c r="AH202" s="16" t="n"/>
      <c r="AI202" s="16" t="n"/>
      <c r="AJ202" s="16" t="n"/>
      <c r="AK202" s="16" t="n"/>
      <c r="AL202" s="16" t="n"/>
      <c r="AM202" s="13" t="inlineStr">
        <is>
          <t>Baixa</t>
        </is>
      </c>
      <c r="AN202" s="21" t="inlineStr">
        <is>
          <t>Revisar documento</t>
        </is>
      </c>
      <c r="AO202" s="20" t="inlineStr">
        <is>
          <t>Revisar</t>
        </is>
      </c>
      <c r="AP202" s="13" t="inlineStr"/>
      <c r="AQ202" s="13" t="inlineStr"/>
      <c r="AR202" s="15" t="inlineStr"/>
      <c r="AS202" s="15" t="inlineStr">
        <is>
          <t>NOTAS FISCAIS DE COMPRA JANEIRO 2026.pdf - p. 201</t>
        </is>
      </c>
    </row>
    <row r="203">
      <c r="A203" s="13" t="inlineStr">
        <is>
          <t>JAN26-P202</t>
        </is>
      </c>
      <c r="B203" s="13" t="n">
        <v>202</v>
      </c>
      <c r="C203" s="13" t="inlineStr">
        <is>
          <t>NF-e</t>
        </is>
      </c>
      <c r="D203" s="13" t="inlineStr"/>
      <c r="E203" s="13" t="inlineStr"/>
      <c r="F203" s="13" t="inlineStr"/>
      <c r="G203" s="25" t="n"/>
      <c r="H203" s="25" t="n"/>
      <c r="I203" s="13" t="inlineStr"/>
      <c r="J203" s="13" t="inlineStr">
        <is>
          <t>SUT _PRIVA CREPE 722 IND BMNIXSIM ADELDAA baie ia eB Sat) Feet Tap sep RY</t>
        </is>
      </c>
      <c r="K203" s="13" t="inlineStr"/>
      <c r="L203" s="13" t="inlineStr"/>
      <c r="M203" s="13" t="inlineStr"/>
      <c r="N203" s="13" t="inlineStr">
        <is>
          <t>Produtos</t>
        </is>
      </c>
      <c r="O203" s="13" t="inlineStr">
        <is>
          <t>Outros produtos</t>
        </is>
      </c>
      <c r="P203" s="15" t="inlineStr"/>
      <c r="Q203" s="16" t="n"/>
      <c r="R203" s="16" t="n"/>
      <c r="S203" s="16" t="n"/>
      <c r="T203" s="16" t="n"/>
      <c r="U203" s="16" t="n"/>
      <c r="V203" s="17" t="n"/>
      <c r="W203" s="16" t="n"/>
      <c r="X203" s="16" t="n"/>
      <c r="Y203" s="16" t="n"/>
      <c r="Z203" s="16" t="n"/>
      <c r="AA203" s="16" t="n"/>
      <c r="AB203" s="16" t="n"/>
      <c r="AC203" s="16" t="n"/>
      <c r="AD203" s="17" t="n"/>
      <c r="AE203" s="16" t="n"/>
      <c r="AF203" s="16" t="n"/>
      <c r="AG203" s="16" t="n"/>
      <c r="AH203" s="16" t="n"/>
      <c r="AI203" s="16" t="n"/>
      <c r="AJ203" s="16" t="n"/>
      <c r="AK203" s="16" t="n"/>
      <c r="AL203" s="16" t="n"/>
      <c r="AM203" s="13" t="inlineStr">
        <is>
          <t>Baixa</t>
        </is>
      </c>
      <c r="AN203" s="21" t="inlineStr">
        <is>
          <t>Revisar documento</t>
        </is>
      </c>
      <c r="AO203" s="20" t="inlineStr">
        <is>
          <t>Revisar</t>
        </is>
      </c>
      <c r="AP203" s="13" t="inlineStr"/>
      <c r="AQ203" s="13" t="inlineStr"/>
      <c r="AR203" s="15" t="inlineStr"/>
      <c r="AS203" s="15" t="inlineStr">
        <is>
          <t>NOTAS FISCAIS DE COMPRA JANEIRO 2026.pdf - p. 202</t>
        </is>
      </c>
    </row>
    <row r="204">
      <c r="A204" s="13" t="inlineStr">
        <is>
          <t>JAN26-P203</t>
        </is>
      </c>
      <c r="B204" s="13" t="n">
        <v>203</v>
      </c>
      <c r="C204" s="13" t="inlineStr">
        <is>
          <t>NF-e</t>
        </is>
      </c>
      <c r="D204" s="13" t="inlineStr"/>
      <c r="E204" s="13" t="inlineStr"/>
      <c r="F204" s="13" t="inlineStr"/>
      <c r="G204" s="25" t="n"/>
      <c r="H204" s="25" t="n"/>
      <c r="I204" s="13" t="inlineStr"/>
      <c r="J204" s="13" t="inlineStr">
        <is>
          <t>JAVENIDA SAG ERANCISCO- N 4000 EXTREMA cin76.150| 2010/2026</t>
        </is>
      </c>
      <c r="K204" s="13" t="inlineStr"/>
      <c r="L204" s="13" t="inlineStr"/>
      <c r="M204" s="13" t="inlineStr"/>
      <c r="N204" s="13" t="inlineStr">
        <is>
          <t>Produtos</t>
        </is>
      </c>
      <c r="O204" s="13" t="inlineStr">
        <is>
          <t>Outros produtos</t>
        </is>
      </c>
      <c r="P204" s="15" t="inlineStr"/>
      <c r="Q204" s="16" t="n"/>
      <c r="R204" s="16" t="n"/>
      <c r="S204" s="16" t="n"/>
      <c r="T204" s="16" t="n"/>
      <c r="U204" s="16" t="n"/>
      <c r="V204" s="17" t="n"/>
      <c r="W204" s="16" t="n"/>
      <c r="X204" s="16" t="n"/>
      <c r="Y204" s="16" t="n"/>
      <c r="Z204" s="16" t="n"/>
      <c r="AA204" s="16" t="n"/>
      <c r="AB204" s="16" t="n"/>
      <c r="AC204" s="16" t="n"/>
      <c r="AD204" s="17" t="n"/>
      <c r="AE204" s="16" t="n"/>
      <c r="AF204" s="16" t="n"/>
      <c r="AG204" s="16" t="n"/>
      <c r="AH204" s="16" t="n"/>
      <c r="AI204" s="16" t="n"/>
      <c r="AJ204" s="16" t="n"/>
      <c r="AK204" s="16" t="n"/>
      <c r="AL204" s="16" t="n"/>
      <c r="AM204" s="13" t="inlineStr">
        <is>
          <t>Baixa</t>
        </is>
      </c>
      <c r="AN204" s="21" t="inlineStr">
        <is>
          <t>Revisar documento</t>
        </is>
      </c>
      <c r="AO204" s="20" t="inlineStr">
        <is>
          <t>Revisar</t>
        </is>
      </c>
      <c r="AP204" s="13" t="inlineStr"/>
      <c r="AQ204" s="13" t="inlineStr"/>
      <c r="AR204" s="15" t="inlineStr"/>
      <c r="AS204" s="15" t="inlineStr">
        <is>
          <t>NOTAS FISCAIS DE COMPRA JANEIRO 2026.pdf - p. 203</t>
        </is>
      </c>
    </row>
    <row r="205">
      <c r="A205" s="13" t="inlineStr">
        <is>
          <t>JAN26-P204</t>
        </is>
      </c>
      <c r="B205" s="13" t="n">
        <v>204</v>
      </c>
      <c r="C205" s="13" t="inlineStr">
        <is>
          <t>Separador/Anotacao</t>
        </is>
      </c>
      <c r="D205" s="13" t="inlineStr"/>
      <c r="E205" s="13" t="inlineStr"/>
      <c r="F205" s="13" t="inlineStr"/>
      <c r="G205" s="25" t="n"/>
      <c r="H205" s="25" t="n"/>
      <c r="I205" s="13" t="inlineStr"/>
      <c r="J205" s="13" t="inlineStr"/>
      <c r="K205" s="13" t="inlineStr"/>
      <c r="L205" s="13" t="inlineStr"/>
      <c r="M205" s="13" t="inlineStr"/>
      <c r="N205" s="13" t="inlineStr">
        <is>
          <t>Apoio</t>
        </is>
      </c>
      <c r="O205" s="13" t="inlineStr">
        <is>
          <t>Documento de apoio</t>
        </is>
      </c>
      <c r="P205" s="15" t="inlineStr"/>
      <c r="Q205" s="16" t="n"/>
      <c r="R205" s="16" t="n"/>
      <c r="S205" s="16" t="n"/>
      <c r="T205" s="16" t="n"/>
      <c r="U205" s="16" t="n"/>
      <c r="V205" s="17" t="n"/>
      <c r="W205" s="16" t="n"/>
      <c r="X205" s="16" t="n"/>
      <c r="Y205" s="16" t="n"/>
      <c r="Z205" s="16" t="n"/>
      <c r="AA205" s="16" t="n"/>
      <c r="AB205" s="16" t="n"/>
      <c r="AC205" s="16" t="n"/>
      <c r="AD205" s="17" t="n"/>
      <c r="AE205" s="16" t="n"/>
      <c r="AF205" s="16" t="n"/>
      <c r="AG205" s="16" t="n"/>
      <c r="AH205" s="16" t="n"/>
      <c r="AI205" s="16" t="n"/>
      <c r="AJ205" s="16" t="n"/>
      <c r="AK205" s="16" t="n"/>
      <c r="AL205" s="16" t="n"/>
      <c r="AM205" s="13" t="inlineStr">
        <is>
          <t>Baixa</t>
        </is>
      </c>
      <c r="AN205" s="13" t="inlineStr"/>
      <c r="AO205" s="19" t="inlineStr">
        <is>
          <t>Não</t>
        </is>
      </c>
      <c r="AP205" s="13" t="inlineStr"/>
      <c r="AQ205" s="13" t="inlineStr"/>
      <c r="AR205" s="15" t="inlineStr"/>
      <c r="AS205" s="15" t="inlineStr">
        <is>
          <t>NOTAS FISCAIS DE COMPRA JANEIRO 2026.pdf - p. 204</t>
        </is>
      </c>
    </row>
    <row r="206">
      <c r="A206" s="13" t="inlineStr">
        <is>
          <t>JAN26-P205</t>
        </is>
      </c>
      <c r="B206" s="13" t="n">
        <v>205</v>
      </c>
      <c r="C206" s="13" t="inlineStr">
        <is>
          <t>NFS-e</t>
        </is>
      </c>
      <c r="D206" s="13" t="inlineStr"/>
      <c r="E206" s="13" t="inlineStr"/>
      <c r="F206" s="13" t="inlineStr"/>
      <c r="G206" s="25" t="n"/>
      <c r="H206" s="25" t="n"/>
      <c r="I206" s="13" t="inlineStr"/>
      <c r="J206" s="13" t="inlineStr">
        <is>
          <t>ErENDR Sho rNcRCO mom SAND EXTREMA Fences i aRAGL Srares80</t>
        </is>
      </c>
      <c r="K206" s="13" t="inlineStr"/>
      <c r="L206" s="13" t="inlineStr"/>
      <c r="M206" s="13" t="inlineStr"/>
      <c r="N206" s="13" t="inlineStr">
        <is>
          <t>Servicos</t>
        </is>
      </c>
      <c r="O206" s="13" t="inlineStr">
        <is>
          <t>Manutencao/reparacao</t>
        </is>
      </c>
      <c r="P206" s="15" t="inlineStr"/>
      <c r="Q206" s="16" t="n">
        <v>75</v>
      </c>
      <c r="R206" s="16" t="n"/>
      <c r="S206" s="16" t="n"/>
      <c r="T206" s="16" t="n"/>
      <c r="U206" s="16" t="n"/>
      <c r="V206" s="17" t="n"/>
      <c r="W206" s="16" t="n"/>
      <c r="X206" s="16" t="n"/>
      <c r="Y206" s="16" t="n"/>
      <c r="Z206" s="16" t="n"/>
      <c r="AA206" s="16" t="n"/>
      <c r="AB206" s="16" t="n"/>
      <c r="AC206" s="16" t="n"/>
      <c r="AD206" s="17" t="n"/>
      <c r="AE206" s="16" t="n"/>
      <c r="AF206" s="16" t="n"/>
      <c r="AG206" s="16" t="n"/>
      <c r="AH206" s="16" t="n"/>
      <c r="AI206" s="16" t="n"/>
      <c r="AJ206" s="16" t="n"/>
      <c r="AK206" s="16" t="n"/>
      <c r="AL206" s="16" t="n"/>
      <c r="AM206" s="13" t="inlineStr">
        <is>
          <t>Media</t>
        </is>
      </c>
      <c r="AN206" s="21" t="inlineStr">
        <is>
          <t>Revisar documento</t>
        </is>
      </c>
      <c r="AO206" s="20" t="inlineStr">
        <is>
          <t>Revisar</t>
        </is>
      </c>
      <c r="AP206" s="13" t="inlineStr"/>
      <c r="AQ206" s="13" t="inlineStr"/>
      <c r="AR206" s="15" t="inlineStr">
        <is>
          <t>Valor identificado; demais campos requerem conferência.</t>
        </is>
      </c>
      <c r="AS206" s="15" t="inlineStr">
        <is>
          <t>NOTAS FISCAIS DE COMPRA JANEIRO 2026.pdf - p. 205</t>
        </is>
      </c>
    </row>
    <row r="207">
      <c r="A207" s="13" t="inlineStr">
        <is>
          <t>JAN26-P206</t>
        </is>
      </c>
      <c r="B207" s="13" t="n">
        <v>206</v>
      </c>
      <c r="C207" s="13" t="inlineStr">
        <is>
          <t>Separador/Anotacao</t>
        </is>
      </c>
      <c r="D207" s="13" t="inlineStr"/>
      <c r="E207" s="13" t="inlineStr"/>
      <c r="F207" s="13" t="inlineStr"/>
      <c r="G207" s="25" t="n"/>
      <c r="H207" s="25" t="n"/>
      <c r="I207" s="13" t="inlineStr"/>
      <c r="J207" s="13" t="inlineStr"/>
      <c r="K207" s="13" t="inlineStr"/>
      <c r="L207" s="13" t="inlineStr"/>
      <c r="M207" s="13" t="inlineStr"/>
      <c r="N207" s="13" t="inlineStr">
        <is>
          <t>Apoio</t>
        </is>
      </c>
      <c r="O207" s="13" t="inlineStr">
        <is>
          <t>Documento de apoio</t>
        </is>
      </c>
      <c r="P207" s="15" t="inlineStr"/>
      <c r="Q207" s="16" t="n"/>
      <c r="R207" s="16" t="n"/>
      <c r="S207" s="16" t="n"/>
      <c r="T207" s="16" t="n"/>
      <c r="U207" s="16" t="n"/>
      <c r="V207" s="17" t="n"/>
      <c r="W207" s="16" t="n"/>
      <c r="X207" s="16" t="n"/>
      <c r="Y207" s="16" t="n"/>
      <c r="Z207" s="16" t="n"/>
      <c r="AA207" s="16" t="n"/>
      <c r="AB207" s="16" t="n"/>
      <c r="AC207" s="16" t="n"/>
      <c r="AD207" s="17" t="n"/>
      <c r="AE207" s="16" t="n"/>
      <c r="AF207" s="16" t="n"/>
      <c r="AG207" s="16" t="n"/>
      <c r="AH207" s="16" t="n"/>
      <c r="AI207" s="16" t="n"/>
      <c r="AJ207" s="16" t="n"/>
      <c r="AK207" s="16" t="n"/>
      <c r="AL207" s="16" t="n"/>
      <c r="AM207" s="13" t="inlineStr">
        <is>
          <t>Baixa</t>
        </is>
      </c>
      <c r="AN207" s="13" t="inlineStr"/>
      <c r="AO207" s="19" t="inlineStr">
        <is>
          <t>Não</t>
        </is>
      </c>
      <c r="AP207" s="13" t="inlineStr"/>
      <c r="AQ207" s="13" t="inlineStr"/>
      <c r="AR207" s="15" t="inlineStr"/>
      <c r="AS207" s="15" t="inlineStr">
        <is>
          <t>NOTAS FISCAIS DE COMPRA JANEIRO 2026.pdf - p. 206</t>
        </is>
      </c>
    </row>
    <row r="208">
      <c r="A208" s="13" t="inlineStr">
        <is>
          <t>JAN26-P207</t>
        </is>
      </c>
      <c r="B208" s="13" t="n">
        <v>207</v>
      </c>
      <c r="C208" s="13" t="inlineStr">
        <is>
          <t>Outros/Documento</t>
        </is>
      </c>
      <c r="D208" s="13" t="inlineStr"/>
      <c r="E208" s="13" t="inlineStr"/>
      <c r="F208" s="13" t="inlineStr"/>
      <c r="G208" s="25" t="n"/>
      <c r="H208" s="25" t="n"/>
      <c r="I208" s="13" t="inlineStr"/>
      <c r="J208" s="13" t="inlineStr">
        <is>
          <t>‘OATAE DORADA BORESSAG GT anBOORO HE “GoOeR PRO - dom Save ae</t>
        </is>
      </c>
      <c r="K208" s="13" t="inlineStr"/>
      <c r="L208" s="13" t="inlineStr"/>
      <c r="M208" s="13" t="inlineStr"/>
      <c r="N208" s="13" t="inlineStr">
        <is>
          <t>Apoio</t>
        </is>
      </c>
      <c r="O208" s="13" t="inlineStr">
        <is>
          <t>Documento de apoio</t>
        </is>
      </c>
      <c r="P208" s="15" t="inlineStr">
        <is>
          <t>enorme [vs [or [rene] om |i Jt] ct [tire er [Se sar | ean all al lS i i | = aes eee pepe eee eee eee | | eon —"eresopa cram rear aurea cfu |sen [om] ~ sma] spo] 5s] Tosa] toes ave] ae] aa | | woive —frobo east romtescwrounin och _c——__ [rere oo [5a [uNo|_~ amo] 2459] Ero] 3409] — .o| Ta] — am] opel] | ‘OATAE DORADA BORESSAG GT anBOORO HE “GoOeR PRO - dom Save ae</t>
        </is>
      </c>
      <c r="Q208" s="16" t="n"/>
      <c r="R208" s="16" t="n"/>
      <c r="S208" s="16" t="n"/>
      <c r="T208" s="16" t="n"/>
      <c r="U208" s="16" t="n"/>
      <c r="V208" s="17" t="n"/>
      <c r="W208" s="16" t="n"/>
      <c r="X208" s="16" t="n"/>
      <c r="Y208" s="16" t="n"/>
      <c r="Z208" s="16" t="n"/>
      <c r="AA208" s="16" t="n"/>
      <c r="AB208" s="16" t="n"/>
      <c r="AC208" s="16" t="n"/>
      <c r="AD208" s="17" t="n"/>
      <c r="AE208" s="16" t="n"/>
      <c r="AF208" s="16" t="n"/>
      <c r="AG208" s="16" t="n"/>
      <c r="AH208" s="16" t="n"/>
      <c r="AI208" s="16" t="n"/>
      <c r="AJ208" s="16" t="n"/>
      <c r="AK208" s="16" t="n"/>
      <c r="AL208" s="16" t="n"/>
      <c r="AM208" s="13" t="inlineStr">
        <is>
          <t>Baixa</t>
        </is>
      </c>
      <c r="AN208" s="13" t="inlineStr"/>
      <c r="AO208" s="19" t="inlineStr">
        <is>
          <t>Não</t>
        </is>
      </c>
      <c r="AP208" s="13" t="inlineStr"/>
      <c r="AQ208" s="13" t="inlineStr"/>
      <c r="AR208" s="15" t="inlineStr"/>
      <c r="AS208" s="15" t="inlineStr">
        <is>
          <t>NOTAS FISCAIS DE COMPRA JANEIRO 2026.pdf - p. 207</t>
        </is>
      </c>
    </row>
    <row r="209">
      <c r="A209" s="13" t="inlineStr">
        <is>
          <t>JAN26-P208</t>
        </is>
      </c>
      <c r="B209" s="13" t="n">
        <v>208</v>
      </c>
      <c r="C209" s="13" t="inlineStr">
        <is>
          <t>NF-e</t>
        </is>
      </c>
      <c r="D209" s="13" t="inlineStr"/>
      <c r="E209" s="13" t="inlineStr"/>
      <c r="F209" s="13" t="inlineStr"/>
      <c r="G209" s="25" t="n"/>
      <c r="H209" s="25" t="n"/>
      <c r="I209" s="13" t="inlineStr"/>
      <c r="J209" s="13" t="inlineStr">
        <is>
          <t>I NENIDA SA0 FRANCISCO, 4000, GALPOD FANCREDO NEVES Taatzoe8</t>
        </is>
      </c>
      <c r="K209" s="13" t="inlineStr"/>
      <c r="L209" s="13" t="inlineStr"/>
      <c r="M209" s="13" t="inlineStr"/>
      <c r="N209" s="13" t="inlineStr">
        <is>
          <t>Produtos</t>
        </is>
      </c>
      <c r="O209" s="13" t="inlineStr">
        <is>
          <t>Outros produtos</t>
        </is>
      </c>
      <c r="P209" s="15" t="inlineStr"/>
      <c r="Q209" s="16" t="n"/>
      <c r="R209" s="16" t="n"/>
      <c r="S209" s="16" t="n"/>
      <c r="T209" s="16" t="n"/>
      <c r="U209" s="16" t="n"/>
      <c r="V209" s="17" t="n"/>
      <c r="W209" s="16" t="n"/>
      <c r="X209" s="16" t="n"/>
      <c r="Y209" s="16" t="n"/>
      <c r="Z209" s="16" t="n"/>
      <c r="AA209" s="16" t="n"/>
      <c r="AB209" s="16" t="n"/>
      <c r="AC209" s="16" t="n"/>
      <c r="AD209" s="17" t="n"/>
      <c r="AE209" s="16" t="n"/>
      <c r="AF209" s="16" t="n"/>
      <c r="AG209" s="16" t="n"/>
      <c r="AH209" s="16" t="n"/>
      <c r="AI209" s="16" t="n"/>
      <c r="AJ209" s="16" t="n"/>
      <c r="AK209" s="16" t="n"/>
      <c r="AL209" s="16" t="n"/>
      <c r="AM209" s="13" t="inlineStr">
        <is>
          <t>Baixa</t>
        </is>
      </c>
      <c r="AN209" s="21" t="inlineStr">
        <is>
          <t>Revisar documento</t>
        </is>
      </c>
      <c r="AO209" s="20" t="inlineStr">
        <is>
          <t>Revisar</t>
        </is>
      </c>
      <c r="AP209" s="13" t="inlineStr"/>
      <c r="AQ209" s="13" t="inlineStr"/>
      <c r="AR209" s="15" t="inlineStr"/>
      <c r="AS209" s="15" t="inlineStr">
        <is>
          <t>NOTAS FISCAIS DE COMPRA JANEIRO 2026.pdf - p. 208</t>
        </is>
      </c>
    </row>
    <row r="210">
      <c r="A210" s="13" t="inlineStr">
        <is>
          <t>JAN26-P209</t>
        </is>
      </c>
      <c r="B210" s="13" t="n">
        <v>209</v>
      </c>
      <c r="C210" s="13" t="inlineStr">
        <is>
          <t>Separador/Anotacao</t>
        </is>
      </c>
      <c r="D210" s="13" t="inlineStr"/>
      <c r="E210" s="13" t="inlineStr"/>
      <c r="F210" s="13" t="inlineStr"/>
      <c r="G210" s="25" t="n"/>
      <c r="H210" s="25" t="n"/>
      <c r="I210" s="13" t="inlineStr"/>
      <c r="J210" s="13" t="inlineStr"/>
      <c r="K210" s="13" t="inlineStr"/>
      <c r="L210" s="13" t="inlineStr"/>
      <c r="M210" s="13" t="inlineStr"/>
      <c r="N210" s="13" t="inlineStr">
        <is>
          <t>Apoio</t>
        </is>
      </c>
      <c r="O210" s="13" t="inlineStr">
        <is>
          <t>Documento de apoio</t>
        </is>
      </c>
      <c r="P210" s="15" t="inlineStr"/>
      <c r="Q210" s="16" t="n"/>
      <c r="R210" s="16" t="n"/>
      <c r="S210" s="16" t="n"/>
      <c r="T210" s="16" t="n"/>
      <c r="U210" s="16" t="n"/>
      <c r="V210" s="17" t="n"/>
      <c r="W210" s="16" t="n"/>
      <c r="X210" s="16" t="n"/>
      <c r="Y210" s="16" t="n"/>
      <c r="Z210" s="16" t="n"/>
      <c r="AA210" s="16" t="n"/>
      <c r="AB210" s="16" t="n"/>
      <c r="AC210" s="16" t="n"/>
      <c r="AD210" s="17" t="n"/>
      <c r="AE210" s="16" t="n"/>
      <c r="AF210" s="16" t="n"/>
      <c r="AG210" s="16" t="n"/>
      <c r="AH210" s="16" t="n"/>
      <c r="AI210" s="16" t="n"/>
      <c r="AJ210" s="16" t="n"/>
      <c r="AK210" s="16" t="n"/>
      <c r="AL210" s="16" t="n"/>
      <c r="AM210" s="13" t="inlineStr">
        <is>
          <t>Baixa</t>
        </is>
      </c>
      <c r="AN210" s="13" t="inlineStr"/>
      <c r="AO210" s="19" t="inlineStr">
        <is>
          <t>Não</t>
        </is>
      </c>
      <c r="AP210" s="13" t="inlineStr"/>
      <c r="AQ210" s="13" t="inlineStr"/>
      <c r="AR210" s="15" t="inlineStr"/>
      <c r="AS210" s="15" t="inlineStr">
        <is>
          <t>NOTAS FISCAIS DE COMPRA JANEIRO 2026.pdf - p. 209</t>
        </is>
      </c>
    </row>
    <row r="211">
      <c r="A211" s="13" t="inlineStr">
        <is>
          <t>JAN26-P210</t>
        </is>
      </c>
      <c r="B211" s="13" t="n">
        <v>210</v>
      </c>
      <c r="C211" s="13" t="inlineStr">
        <is>
          <t>Outros/Documento</t>
        </is>
      </c>
      <c r="D211" s="13" t="inlineStr"/>
      <c r="E211" s="13" t="inlineStr"/>
      <c r="F211" s="13" t="inlineStr"/>
      <c r="G211" s="25" t="n">
        <v>46030</v>
      </c>
      <c r="H211" s="25" t="n"/>
      <c r="I211" s="13" t="inlineStr"/>
      <c r="J211" s="13" t="inlineStr">
        <is>
          <t>[ENDER SADRODETRTO</t>
        </is>
      </c>
      <c r="K211" s="13" t="inlineStr"/>
      <c r="L211" s="13" t="inlineStr">
        <is>
          <t>23.655.038/0002-89</t>
        </is>
      </c>
      <c r="M211" s="13" t="inlineStr">
        <is>
          <t>SKAL /0002</t>
        </is>
      </c>
      <c r="N211" s="13" t="inlineStr">
        <is>
          <t>Apoio</t>
        </is>
      </c>
      <c r="O211" s="13" t="inlineStr">
        <is>
          <t>Documento de apoio</t>
        </is>
      </c>
      <c r="P211" s="15" t="inlineStr"/>
      <c r="Q211" s="16" t="n"/>
      <c r="R211" s="16" t="n"/>
      <c r="S211" s="16" t="n"/>
      <c r="T211" s="16" t="n"/>
      <c r="U211" s="16" t="n"/>
      <c r="V211" s="17" t="n"/>
      <c r="W211" s="16" t="n"/>
      <c r="X211" s="16" t="n"/>
      <c r="Y211" s="16" t="n"/>
      <c r="Z211" s="16" t="n"/>
      <c r="AA211" s="16" t="n"/>
      <c r="AB211" s="16" t="n"/>
      <c r="AC211" s="16" t="n"/>
      <c r="AD211" s="17" t="n"/>
      <c r="AE211" s="16" t="n"/>
      <c r="AF211" s="16" t="n"/>
      <c r="AG211" s="16" t="n"/>
      <c r="AH211" s="16" t="n"/>
      <c r="AI211" s="16" t="n"/>
      <c r="AJ211" s="16" t="n"/>
      <c r="AK211" s="16" t="n"/>
      <c r="AL211" s="16" t="n"/>
      <c r="AM211" s="13" t="inlineStr">
        <is>
          <t>Baixa</t>
        </is>
      </c>
      <c r="AN211" s="13" t="inlineStr"/>
      <c r="AO211" s="19" t="inlineStr">
        <is>
          <t>Não</t>
        </is>
      </c>
      <c r="AP211" s="13" t="inlineStr"/>
      <c r="AQ211" s="13" t="inlineStr"/>
      <c r="AR211" s="15" t="inlineStr"/>
      <c r="AS211" s="15" t="inlineStr">
        <is>
          <t>NOTAS FISCAIS DE COMPRA JANEIRO 2026.pdf - p. 210</t>
        </is>
      </c>
    </row>
    <row r="212">
      <c r="A212" s="13" t="inlineStr">
        <is>
          <t>JAN26-P211</t>
        </is>
      </c>
      <c r="B212" s="13" t="n">
        <v>211</v>
      </c>
      <c r="C212" s="13" t="inlineStr">
        <is>
          <t>Separador/Anotacao</t>
        </is>
      </c>
      <c r="D212" s="13" t="inlineStr"/>
      <c r="E212" s="13" t="inlineStr"/>
      <c r="F212" s="13" t="inlineStr"/>
      <c r="G212" s="25" t="n"/>
      <c r="H212" s="25" t="n"/>
      <c r="I212" s="13" t="inlineStr"/>
      <c r="J212" s="13" t="inlineStr"/>
      <c r="K212" s="13" t="inlineStr"/>
      <c r="L212" s="13" t="inlineStr"/>
      <c r="M212" s="13" t="inlineStr"/>
      <c r="N212" s="13" t="inlineStr">
        <is>
          <t>Apoio</t>
        </is>
      </c>
      <c r="O212" s="13" t="inlineStr">
        <is>
          <t>Documento de apoio</t>
        </is>
      </c>
      <c r="P212" s="15" t="inlineStr"/>
      <c r="Q212" s="16" t="n"/>
      <c r="R212" s="16" t="n"/>
      <c r="S212" s="16" t="n"/>
      <c r="T212" s="16" t="n"/>
      <c r="U212" s="16" t="n"/>
      <c r="V212" s="17" t="n"/>
      <c r="W212" s="16" t="n"/>
      <c r="X212" s="16" t="n"/>
      <c r="Y212" s="16" t="n"/>
      <c r="Z212" s="16" t="n"/>
      <c r="AA212" s="16" t="n"/>
      <c r="AB212" s="16" t="n"/>
      <c r="AC212" s="16" t="n"/>
      <c r="AD212" s="17" t="n"/>
      <c r="AE212" s="16" t="n"/>
      <c r="AF212" s="16" t="n"/>
      <c r="AG212" s="16" t="n"/>
      <c r="AH212" s="16" t="n"/>
      <c r="AI212" s="16" t="n"/>
      <c r="AJ212" s="16" t="n"/>
      <c r="AK212" s="16" t="n"/>
      <c r="AL212" s="16" t="n"/>
      <c r="AM212" s="13" t="inlineStr">
        <is>
          <t>Baixa</t>
        </is>
      </c>
      <c r="AN212" s="13" t="inlineStr"/>
      <c r="AO212" s="19" t="inlineStr">
        <is>
          <t>Não</t>
        </is>
      </c>
      <c r="AP212" s="13" t="inlineStr"/>
      <c r="AQ212" s="13" t="inlineStr"/>
      <c r="AR212" s="15" t="inlineStr"/>
      <c r="AS212" s="15" t="inlineStr">
        <is>
          <t>NOTAS FISCAIS DE COMPRA JANEIRO 2026.pdf - p. 211</t>
        </is>
      </c>
    </row>
    <row r="213">
      <c r="A213" s="13" t="inlineStr">
        <is>
          <t>JAN26-P212</t>
        </is>
      </c>
      <c r="B213" s="13" t="n">
        <v>212</v>
      </c>
      <c r="C213" s="13" t="inlineStr">
        <is>
          <t>NF-e</t>
        </is>
      </c>
      <c r="D213" s="13" t="inlineStr"/>
      <c r="E213" s="13" t="inlineStr"/>
      <c r="F213" s="13" t="inlineStr"/>
      <c r="G213" s="25" t="n"/>
      <c r="H213" s="25" t="n"/>
      <c r="I213" s="13" t="inlineStr"/>
      <c r="J213" s="13" t="inlineStr">
        <is>
          <t>¥ H SOARES COM E SERVICOS [Pocumento Auxiliar ds Nota</t>
        </is>
      </c>
      <c r="K213" s="13" t="inlineStr">
        <is>
          <t>03.866.775/0001-32</t>
        </is>
      </c>
      <c r="L213" s="13" t="inlineStr"/>
      <c r="M213" s="13" t="inlineStr"/>
      <c r="N213" s="13" t="inlineStr">
        <is>
          <t>Produtos</t>
        </is>
      </c>
      <c r="O213" s="13" t="inlineStr">
        <is>
          <t>Outros produtos</t>
        </is>
      </c>
      <c r="P213" s="15" t="inlineStr"/>
      <c r="Q213" s="16" t="n"/>
      <c r="R213" s="16" t="n"/>
      <c r="S213" s="16" t="n"/>
      <c r="T213" s="16" t="n"/>
      <c r="U213" s="16" t="n"/>
      <c r="V213" s="17" t="n"/>
      <c r="W213" s="16" t="n"/>
      <c r="X213" s="16" t="n"/>
      <c r="Y213" s="16" t="n"/>
      <c r="Z213" s="16" t="n"/>
      <c r="AA213" s="16" t="n"/>
      <c r="AB213" s="16" t="n"/>
      <c r="AC213" s="16" t="n"/>
      <c r="AD213" s="17" t="n"/>
      <c r="AE213" s="16" t="n"/>
      <c r="AF213" s="16" t="n"/>
      <c r="AG213" s="16" t="n"/>
      <c r="AH213" s="16" t="n"/>
      <c r="AI213" s="16" t="n"/>
      <c r="AJ213" s="16" t="n"/>
      <c r="AK213" s="16" t="n"/>
      <c r="AL213" s="16" t="n"/>
      <c r="AM213" s="13" t="inlineStr">
        <is>
          <t>Media</t>
        </is>
      </c>
      <c r="AN213" s="21" t="inlineStr">
        <is>
          <t>Revisar documento</t>
        </is>
      </c>
      <c r="AO213" s="20" t="inlineStr">
        <is>
          <t>Revisar</t>
        </is>
      </c>
      <c r="AP213" s="13" t="inlineStr"/>
      <c r="AQ213" s="13" t="inlineStr"/>
      <c r="AR213" s="15" t="inlineStr"/>
      <c r="AS213" s="15" t="inlineStr">
        <is>
          <t>NOTAS FISCAIS DE COMPRA JANEIRO 2026.pdf - p. 212</t>
        </is>
      </c>
    </row>
    <row r="214">
      <c r="A214" s="13" t="inlineStr">
        <is>
          <t>JAN26-P213</t>
        </is>
      </c>
      <c r="B214" s="13" t="n">
        <v>213</v>
      </c>
      <c r="C214" s="13" t="inlineStr">
        <is>
          <t>Outros/Documento</t>
        </is>
      </c>
      <c r="D214" s="13" t="inlineStr"/>
      <c r="E214" s="13" t="inlineStr"/>
      <c r="F214" s="13" t="inlineStr"/>
      <c r="G214" s="25" t="n"/>
      <c r="H214" s="25" t="n"/>
      <c r="I214" s="13" t="inlineStr"/>
      <c r="J214" s="13" t="inlineStr">
        <is>
          <t>Saison sale 5] 2) tl Se) wa ia] te</t>
        </is>
      </c>
      <c r="K214" s="13" t="inlineStr"/>
      <c r="L214" s="13" t="inlineStr"/>
      <c r="M214" s="13" t="inlineStr"/>
      <c r="N214" s="13" t="inlineStr">
        <is>
          <t>Apoio</t>
        </is>
      </c>
      <c r="O214" s="13" t="inlineStr">
        <is>
          <t>Documento de apoio</t>
        </is>
      </c>
      <c r="P214" s="15" t="inlineStr"/>
      <c r="Q214" s="16" t="n"/>
      <c r="R214" s="16" t="n"/>
      <c r="S214" s="16" t="n"/>
      <c r="T214" s="16" t="n"/>
      <c r="U214" s="16" t="n"/>
      <c r="V214" s="17" t="n"/>
      <c r="W214" s="16" t="n"/>
      <c r="X214" s="16" t="n"/>
      <c r="Y214" s="16" t="n"/>
      <c r="Z214" s="16" t="n"/>
      <c r="AA214" s="16" t="n"/>
      <c r="AB214" s="16" t="n"/>
      <c r="AC214" s="16" t="n"/>
      <c r="AD214" s="17" t="n"/>
      <c r="AE214" s="16" t="n"/>
      <c r="AF214" s="16" t="n"/>
      <c r="AG214" s="16" t="n"/>
      <c r="AH214" s="16" t="n"/>
      <c r="AI214" s="16" t="n"/>
      <c r="AJ214" s="16" t="n"/>
      <c r="AK214" s="16" t="n"/>
      <c r="AL214" s="16" t="n"/>
      <c r="AM214" s="13" t="inlineStr">
        <is>
          <t>Baixa</t>
        </is>
      </c>
      <c r="AN214" s="13" t="inlineStr"/>
      <c r="AO214" s="19" t="inlineStr">
        <is>
          <t>Não</t>
        </is>
      </c>
      <c r="AP214" s="13" t="inlineStr"/>
      <c r="AQ214" s="13" t="inlineStr"/>
      <c r="AR214" s="15" t="inlineStr"/>
      <c r="AS214" s="15" t="inlineStr">
        <is>
          <t>NOTAS FISCAIS DE COMPRA JANEIRO 2026.pdf - p. 213</t>
        </is>
      </c>
    </row>
    <row r="215">
      <c r="A215" s="13" t="inlineStr">
        <is>
          <t>JAN26-P214</t>
        </is>
      </c>
      <c r="B215" s="13" t="n">
        <v>214</v>
      </c>
      <c r="C215" s="13" t="inlineStr">
        <is>
          <t>Outros/Documento</t>
        </is>
      </c>
      <c r="D215" s="13" t="inlineStr"/>
      <c r="E215" s="13" t="inlineStr"/>
      <c r="F215" s="13" t="inlineStr"/>
      <c r="G215" s="25" t="n"/>
      <c r="H215" s="25" t="n"/>
      <c r="I215" s="13" t="inlineStr"/>
      <c r="J215" s="13" t="inlineStr">
        <is>
          <t>‘VL Operagiio nfo Reslizada, manifestagdo do destinatério recanhecendo sua participagse na operagia descrita na NF-e, mas deciarando que 8 opera¢so</t>
        </is>
      </c>
      <c r="K215" s="13" t="inlineStr"/>
      <c r="L215" s="13" t="inlineStr"/>
      <c r="M215" s="13" t="inlineStr"/>
      <c r="N215" s="13" t="inlineStr">
        <is>
          <t>Apoio</t>
        </is>
      </c>
      <c r="O215" s="13" t="inlineStr">
        <is>
          <t>Documento de apoio</t>
        </is>
      </c>
      <c r="P215" s="15" t="inlineStr"/>
      <c r="Q215" s="16" t="n"/>
      <c r="R215" s="16" t="n"/>
      <c r="S215" s="16" t="n"/>
      <c r="T215" s="16" t="n"/>
      <c r="U215" s="16" t="n"/>
      <c r="V215" s="17" t="n"/>
      <c r="W215" s="16" t="n"/>
      <c r="X215" s="16" t="n"/>
      <c r="Y215" s="16" t="n"/>
      <c r="Z215" s="16" t="n"/>
      <c r="AA215" s="16" t="n"/>
      <c r="AB215" s="16" t="n"/>
      <c r="AC215" s="16" t="n"/>
      <c r="AD215" s="17" t="n"/>
      <c r="AE215" s="16" t="n"/>
      <c r="AF215" s="16" t="n"/>
      <c r="AG215" s="16" t="n"/>
      <c r="AH215" s="16" t="n"/>
      <c r="AI215" s="16" t="n"/>
      <c r="AJ215" s="16" t="n"/>
      <c r="AK215" s="16" t="n"/>
      <c r="AL215" s="16" t="n"/>
      <c r="AM215" s="13" t="inlineStr">
        <is>
          <t>Baixa</t>
        </is>
      </c>
      <c r="AN215" s="13" t="inlineStr"/>
      <c r="AO215" s="19" t="inlineStr">
        <is>
          <t>Não</t>
        </is>
      </c>
      <c r="AP215" s="13" t="inlineStr"/>
      <c r="AQ215" s="13" t="inlineStr"/>
      <c r="AR215" s="15" t="inlineStr"/>
      <c r="AS215" s="15" t="inlineStr">
        <is>
          <t>NOTAS FISCAIS DE COMPRA JANEIRO 2026.pdf - p. 214</t>
        </is>
      </c>
    </row>
    <row r="216">
      <c r="A216" s="13" t="inlineStr">
        <is>
          <t>JAN26-P215</t>
        </is>
      </c>
      <c r="B216" s="13" t="n">
        <v>215</v>
      </c>
      <c r="C216" s="13" t="inlineStr">
        <is>
          <t>NFS-e</t>
        </is>
      </c>
      <c r="D216" s="13" t="inlineStr"/>
      <c r="E216" s="13" t="inlineStr">
        <is>
          <t>1706/U</t>
        </is>
      </c>
      <c r="F216" s="13" t="inlineStr"/>
      <c r="G216" s="25" t="n">
        <v>46020</v>
      </c>
      <c r="H216" s="25" t="n"/>
      <c r="I216" s="13" t="inlineStr"/>
      <c r="J216" s="13" t="inlineStr">
        <is>
          <t>MILMAQ METALURGICA E MANUTENCAO INDUSTRIAL LTDA - ME</t>
        </is>
      </c>
      <c r="K216" s="13" t="inlineStr">
        <is>
          <t>03.800.995/0001-63</t>
        </is>
      </c>
      <c r="L216" s="13" t="inlineStr">
        <is>
          <t>23.655.038/0002-89</t>
        </is>
      </c>
      <c r="M216" s="13" t="inlineStr">
        <is>
          <t>SKAL /0002</t>
        </is>
      </c>
      <c r="N216" s="13" t="inlineStr">
        <is>
          <t>Serviços</t>
        </is>
      </c>
      <c r="O216" s="13" t="inlineStr">
        <is>
          <t>Manutenção industrial</t>
        </is>
      </c>
      <c r="P216" s="15" t="inlineStr">
        <is>
          <t>Recuperação da carambola do elevador.</t>
        </is>
      </c>
      <c r="Q216" s="16" t="n">
        <v>1500</v>
      </c>
      <c r="R216" s="16" t="n"/>
      <c r="S216" s="16" t="n"/>
      <c r="T216" s="16" t="n"/>
      <c r="U216" s="16" t="n"/>
      <c r="V216" s="17" t="n"/>
      <c r="W216" s="16" t="n"/>
      <c r="X216" s="16" t="n"/>
      <c r="Y216" s="16" t="n"/>
      <c r="Z216" s="16" t="n"/>
      <c r="AA216" s="16" t="n">
        <v>2</v>
      </c>
      <c r="AB216" s="16" t="n">
        <v>2</v>
      </c>
      <c r="AC216" s="16" t="n"/>
      <c r="AD216" s="17" t="n"/>
      <c r="AE216" s="16" t="n"/>
      <c r="AF216" s="16" t="n"/>
      <c r="AG216" s="16" t="n"/>
      <c r="AH216" s="16" t="n"/>
      <c r="AI216" s="16" t="n"/>
      <c r="AJ216" s="16" t="n"/>
      <c r="AK216" s="16" t="n"/>
      <c r="AL216" s="16" t="n"/>
      <c r="AM216" s="13" t="inlineStr">
        <is>
          <t>Media</t>
        </is>
      </c>
      <c r="AN216" s="13" t="inlineStr"/>
      <c r="AO216" s="18" t="inlineStr">
        <is>
          <t>Sim</t>
        </is>
      </c>
      <c r="AP216" s="13" t="inlineStr"/>
      <c r="AQ216" s="13" t="inlineStr"/>
      <c r="AR216" s="15" t="inlineStr"/>
      <c r="AS216" s="15" t="inlineStr">
        <is>
          <t>NOTAS FISCAIS DE COMPRA JANEIRO 2026.pdf - p. 215</t>
        </is>
      </c>
    </row>
    <row r="217">
      <c r="A217" s="13" t="inlineStr">
        <is>
          <t>JAN26-P216</t>
        </is>
      </c>
      <c r="B217" s="13" t="n">
        <v>216</v>
      </c>
      <c r="C217" s="13" t="inlineStr">
        <is>
          <t>Outros/Documento</t>
        </is>
      </c>
      <c r="D217" s="13" t="inlineStr"/>
      <c r="E217" s="13" t="inlineStr"/>
      <c r="F217" s="13" t="inlineStr"/>
      <c r="G217" s="25" t="n"/>
      <c r="H217" s="25" t="n"/>
      <c r="I217" s="13" t="inlineStr"/>
      <c r="J217" s="13" t="inlineStr">
        <is>
          <t>|SREGA prox ENGENVARIA NDUSTRIAE GOWEROID LTDA. AVENTONSAGFRANGIEGD, OUD “EXTREVA™ | BSEMINEPAL</t>
        </is>
      </c>
      <c r="K217" s="13" t="inlineStr"/>
      <c r="L217" s="13" t="inlineStr"/>
      <c r="M217" s="13" t="inlineStr"/>
      <c r="N217" s="13" t="inlineStr">
        <is>
          <t>Apoio</t>
        </is>
      </c>
      <c r="O217" s="13" t="inlineStr">
        <is>
          <t>Documento de apoio</t>
        </is>
      </c>
      <c r="P217" s="15" t="inlineStr"/>
      <c r="Q217" s="16" t="n"/>
      <c r="R217" s="16" t="n"/>
      <c r="S217" s="16" t="n"/>
      <c r="T217" s="16" t="n"/>
      <c r="U217" s="16" t="n"/>
      <c r="V217" s="17" t="n"/>
      <c r="W217" s="16" t="n"/>
      <c r="X217" s="16" t="n"/>
      <c r="Y217" s="16" t="n"/>
      <c r="Z217" s="16" t="n"/>
      <c r="AA217" s="16" t="n"/>
      <c r="AB217" s="16" t="n"/>
      <c r="AC217" s="16" t="n"/>
      <c r="AD217" s="17" t="n"/>
      <c r="AE217" s="16" t="n"/>
      <c r="AF217" s="16" t="n"/>
      <c r="AG217" s="16" t="n"/>
      <c r="AH217" s="16" t="n"/>
      <c r="AI217" s="16" t="n"/>
      <c r="AJ217" s="16" t="n"/>
      <c r="AK217" s="16" t="n"/>
      <c r="AL217" s="16" t="n"/>
      <c r="AM217" s="13" t="inlineStr">
        <is>
          <t>Baixa</t>
        </is>
      </c>
      <c r="AN217" s="13" t="inlineStr"/>
      <c r="AO217" s="19" t="inlineStr">
        <is>
          <t>Não</t>
        </is>
      </c>
      <c r="AP217" s="13" t="inlineStr"/>
      <c r="AQ217" s="13" t="inlineStr"/>
      <c r="AR217" s="15" t="inlineStr"/>
      <c r="AS217" s="15" t="inlineStr">
        <is>
          <t>NOTAS FISCAIS DE COMPRA JANEIRO 2026.pdf - p. 216</t>
        </is>
      </c>
    </row>
    <row r="218">
      <c r="A218" s="13" t="inlineStr">
        <is>
          <t>JAN26-P217</t>
        </is>
      </c>
      <c r="B218" s="13" t="n">
        <v>217</v>
      </c>
      <c r="C218" s="13" t="inlineStr">
        <is>
          <t>NF-e</t>
        </is>
      </c>
      <c r="D218" s="13" t="inlineStr"/>
      <c r="E218" s="13" t="inlineStr"/>
      <c r="F218" s="13" t="inlineStr"/>
      <c r="G218" s="25" t="n"/>
      <c r="H218" s="25" t="n"/>
      <c r="I218" s="13" t="inlineStr"/>
      <c r="J218" s="13">
        <f> 9 rors i Noni. — |</f>
        <v/>
      </c>
      <c r="K218" s="13" t="inlineStr"/>
      <c r="L218" s="13" t="inlineStr"/>
      <c r="M218" s="13" t="inlineStr"/>
      <c r="N218" s="13" t="inlineStr">
        <is>
          <t>Produtos</t>
        </is>
      </c>
      <c r="O218" s="13" t="inlineStr">
        <is>
          <t>Outros produtos</t>
        </is>
      </c>
      <c r="P218" s="15" t="inlineStr"/>
      <c r="Q218" s="16" t="n"/>
      <c r="R218" s="16" t="n"/>
      <c r="S218" s="16" t="n"/>
      <c r="T218" s="16" t="n"/>
      <c r="U218" s="16" t="n"/>
      <c r="V218" s="17" t="n"/>
      <c r="W218" s="16" t="n"/>
      <c r="X218" s="16" t="n"/>
      <c r="Y218" s="16" t="n"/>
      <c r="Z218" s="16" t="n"/>
      <c r="AA218" s="16" t="n"/>
      <c r="AB218" s="16" t="n"/>
      <c r="AC218" s="16" t="n"/>
      <c r="AD218" s="17" t="n"/>
      <c r="AE218" s="16" t="n"/>
      <c r="AF218" s="16" t="n"/>
      <c r="AG218" s="16" t="n"/>
      <c r="AH218" s="16" t="n"/>
      <c r="AI218" s="16" t="n"/>
      <c r="AJ218" s="16" t="n"/>
      <c r="AK218" s="16" t="n"/>
      <c r="AL218" s="16" t="n"/>
      <c r="AM218" s="13" t="inlineStr">
        <is>
          <t>Baixa</t>
        </is>
      </c>
      <c r="AN218" s="21" t="inlineStr">
        <is>
          <t>Revisar documento</t>
        </is>
      </c>
      <c r="AO218" s="20" t="inlineStr">
        <is>
          <t>Revisar</t>
        </is>
      </c>
      <c r="AP218" s="13" t="inlineStr"/>
      <c r="AQ218" s="13" t="inlineStr"/>
      <c r="AR218" s="15" t="inlineStr"/>
      <c r="AS218" s="15" t="inlineStr">
        <is>
          <t>NOTAS FISCAIS DE COMPRA JANEIRO 2026.pdf - p. 217</t>
        </is>
      </c>
    </row>
    <row r="219">
      <c r="A219" s="13" t="inlineStr">
        <is>
          <t>JAN26-P218</t>
        </is>
      </c>
      <c r="B219" s="13" t="n">
        <v>218</v>
      </c>
      <c r="C219" s="13" t="inlineStr">
        <is>
          <t>Outros/Documento</t>
        </is>
      </c>
      <c r="D219" s="13" t="inlineStr"/>
      <c r="E219" s="13" t="inlineStr"/>
      <c r="F219" s="13" t="inlineStr"/>
      <c r="G219" s="25" t="n"/>
      <c r="H219" s="25" t="n"/>
      <c r="I219" s="13" t="inlineStr"/>
      <c r="J219" s="13" t="inlineStr">
        <is>
          <t>frame cornu TOOT me TREATS</t>
        </is>
      </c>
      <c r="K219" s="13" t="inlineStr"/>
      <c r="L219" s="13" t="inlineStr"/>
      <c r="M219" s="13" t="inlineStr"/>
      <c r="N219" s="13" t="inlineStr">
        <is>
          <t>Apoio</t>
        </is>
      </c>
      <c r="O219" s="13" t="inlineStr">
        <is>
          <t>Documento de apoio</t>
        </is>
      </c>
      <c r="P219" s="15" t="inlineStr"/>
      <c r="Q219" s="16" t="n"/>
      <c r="R219" s="16" t="n"/>
      <c r="S219" s="16" t="n"/>
      <c r="T219" s="16" t="n"/>
      <c r="U219" s="16" t="n"/>
      <c r="V219" s="17" t="n"/>
      <c r="W219" s="16" t="n"/>
      <c r="X219" s="16" t="n"/>
      <c r="Y219" s="16" t="n"/>
      <c r="Z219" s="16" t="n"/>
      <c r="AA219" s="16" t="n"/>
      <c r="AB219" s="16" t="n"/>
      <c r="AC219" s="16" t="n"/>
      <c r="AD219" s="17" t="n"/>
      <c r="AE219" s="16" t="n"/>
      <c r="AF219" s="16" t="n"/>
      <c r="AG219" s="16" t="n"/>
      <c r="AH219" s="16" t="n"/>
      <c r="AI219" s="16" t="n"/>
      <c r="AJ219" s="16" t="n"/>
      <c r="AK219" s="16" t="n"/>
      <c r="AL219" s="16" t="n"/>
      <c r="AM219" s="13" t="inlineStr">
        <is>
          <t>Baixa</t>
        </is>
      </c>
      <c r="AN219" s="13" t="inlineStr"/>
      <c r="AO219" s="19" t="inlineStr">
        <is>
          <t>Não</t>
        </is>
      </c>
      <c r="AP219" s="13" t="inlineStr"/>
      <c r="AQ219" s="13" t="inlineStr"/>
      <c r="AR219" s="15" t="inlineStr"/>
      <c r="AS219" s="15" t="inlineStr">
        <is>
          <t>NOTAS FISCAIS DE COMPRA JANEIRO 2026.pdf - p. 218</t>
        </is>
      </c>
    </row>
    <row r="220">
      <c r="A220" s="13" t="inlineStr">
        <is>
          <t>JAN26-P219</t>
        </is>
      </c>
      <c r="B220" s="13" t="n">
        <v>219</v>
      </c>
      <c r="C220" s="13" t="inlineStr">
        <is>
          <t>Separador/Anotacao</t>
        </is>
      </c>
      <c r="D220" s="13" t="inlineStr"/>
      <c r="E220" s="13" t="inlineStr"/>
      <c r="F220" s="13" t="inlineStr"/>
      <c r="G220" s="25" t="n"/>
      <c r="H220" s="25" t="n"/>
      <c r="I220" s="13" t="inlineStr"/>
      <c r="J220" s="13" t="inlineStr"/>
      <c r="K220" s="13" t="inlineStr"/>
      <c r="L220" s="13" t="inlineStr"/>
      <c r="M220" s="13" t="inlineStr"/>
      <c r="N220" s="13" t="inlineStr">
        <is>
          <t>Apoio</t>
        </is>
      </c>
      <c r="O220" s="13" t="inlineStr">
        <is>
          <t>Documento de apoio</t>
        </is>
      </c>
      <c r="P220" s="15" t="inlineStr"/>
      <c r="Q220" s="16" t="n"/>
      <c r="R220" s="16" t="n"/>
      <c r="S220" s="16" t="n"/>
      <c r="T220" s="16" t="n"/>
      <c r="U220" s="16" t="n"/>
      <c r="V220" s="17" t="n"/>
      <c r="W220" s="16" t="n"/>
      <c r="X220" s="16" t="n"/>
      <c r="Y220" s="16" t="n"/>
      <c r="Z220" s="16" t="n"/>
      <c r="AA220" s="16" t="n"/>
      <c r="AB220" s="16" t="n"/>
      <c r="AC220" s="16" t="n"/>
      <c r="AD220" s="17" t="n"/>
      <c r="AE220" s="16" t="n"/>
      <c r="AF220" s="16" t="n"/>
      <c r="AG220" s="16" t="n"/>
      <c r="AH220" s="16" t="n"/>
      <c r="AI220" s="16" t="n"/>
      <c r="AJ220" s="16" t="n"/>
      <c r="AK220" s="16" t="n"/>
      <c r="AL220" s="16" t="n"/>
      <c r="AM220" s="13" t="inlineStr">
        <is>
          <t>Baixa</t>
        </is>
      </c>
      <c r="AN220" s="13" t="inlineStr"/>
      <c r="AO220" s="19" t="inlineStr">
        <is>
          <t>Não</t>
        </is>
      </c>
      <c r="AP220" s="13" t="inlineStr"/>
      <c r="AQ220" s="13" t="inlineStr"/>
      <c r="AR220" s="15" t="inlineStr"/>
      <c r="AS220" s="15" t="inlineStr">
        <is>
          <t>NOTAS FISCAIS DE COMPRA JANEIRO 2026.pdf - p. 219</t>
        </is>
      </c>
    </row>
    <row r="221">
      <c r="A221" s="13" t="inlineStr">
        <is>
          <t>JAN26-P220</t>
        </is>
      </c>
      <c r="B221" s="13" t="n">
        <v>220</v>
      </c>
      <c r="C221" s="13" t="inlineStr">
        <is>
          <t>NFS-e</t>
        </is>
      </c>
      <c r="D221" s="13" t="inlineStr"/>
      <c r="E221" s="13" t="inlineStr">
        <is>
          <t>0</t>
        </is>
      </c>
      <c r="F221" s="13" t="inlineStr"/>
      <c r="G221" s="25" t="n"/>
      <c r="H221" s="25" t="n"/>
      <c r="I221" s="13" t="inlineStr"/>
      <c r="J221" s="13" t="inlineStr">
        <is>
          <t>Local da preszagdo do sarvigo aia da prectagso do servigo</t>
        </is>
      </c>
      <c r="K221" s="13" t="inlineStr"/>
      <c r="L221" s="13" t="inlineStr"/>
      <c r="M221" s="13" t="inlineStr"/>
      <c r="N221" s="13" t="inlineStr">
        <is>
          <t>Servicos</t>
        </is>
      </c>
      <c r="O221" s="13" t="inlineStr">
        <is>
          <t>Outros servicos</t>
        </is>
      </c>
      <c r="P221" s="15" t="inlineStr"/>
      <c r="Q221" s="16" t="n">
        <v>4000</v>
      </c>
      <c r="R221" s="16" t="n"/>
      <c r="S221" s="16" t="n"/>
      <c r="T221" s="16" t="n"/>
      <c r="U221" s="16" t="n"/>
      <c r="V221" s="17" t="n"/>
      <c r="W221" s="16" t="n"/>
      <c r="X221" s="16" t="n"/>
      <c r="Y221" s="16" t="n"/>
      <c r="Z221" s="16" t="n"/>
      <c r="AA221" s="16" t="n"/>
      <c r="AB221" s="16" t="n"/>
      <c r="AC221" s="16" t="n"/>
      <c r="AD221" s="17" t="n"/>
      <c r="AE221" s="16" t="n">
        <v>170</v>
      </c>
      <c r="AF221" s="16" t="n"/>
      <c r="AG221" s="16" t="n"/>
      <c r="AH221" s="16" t="n"/>
      <c r="AI221" s="16" t="n"/>
      <c r="AJ221" s="16" t="n"/>
      <c r="AK221" s="16" t="n"/>
      <c r="AL221" s="16" t="n"/>
      <c r="AM221" s="13" t="inlineStr">
        <is>
          <t>Media</t>
        </is>
      </c>
      <c r="AN221" s="21" t="inlineStr">
        <is>
          <t>Revisar documento</t>
        </is>
      </c>
      <c r="AO221" s="20" t="inlineStr">
        <is>
          <t>Revisar</t>
        </is>
      </c>
      <c r="AP221" s="13" t="inlineStr"/>
      <c r="AQ221" s="13" t="inlineStr"/>
      <c r="AR221" s="15" t="inlineStr">
        <is>
          <t>Valor bruto R$ 4.000,00 e ISS R$ 170,00 identificados; demais campos requerem conferência visual.</t>
        </is>
      </c>
      <c r="AS221" s="15" t="inlineStr">
        <is>
          <t>NOTAS FISCAIS DE COMPRA JANEIRO 2026.pdf - p. 220</t>
        </is>
      </c>
    </row>
    <row r="222">
      <c r="A222" s="13" t="inlineStr">
        <is>
          <t>JAN26-P221</t>
        </is>
      </c>
      <c r="B222" s="13" t="n">
        <v>221</v>
      </c>
      <c r="C222" s="13" t="inlineStr">
        <is>
          <t>Outros/Documento</t>
        </is>
      </c>
      <c r="D222" s="13" t="inlineStr"/>
      <c r="E222" s="13" t="inlineStr"/>
      <c r="F222" s="13" t="inlineStr"/>
      <c r="G222" s="25" t="n">
        <v>46034</v>
      </c>
      <c r="H222" s="25" t="n"/>
      <c r="I222" s="13" t="inlineStr"/>
      <c r="J222" s="13" t="inlineStr">
        <is>
          <t>SERIE 001 | wonwate fazenda gov beponal ou oo sie da Sefaz Autorizadora</t>
        </is>
      </c>
      <c r="K222" s="13" t="inlineStr">
        <is>
          <t>12.504.653/0001-97</t>
        </is>
      </c>
      <c r="L222" s="13" t="inlineStr"/>
      <c r="M222" s="13" t="inlineStr"/>
      <c r="N222" s="13" t="inlineStr">
        <is>
          <t>Apoio</t>
        </is>
      </c>
      <c r="O222" s="13" t="inlineStr">
        <is>
          <t>Documento de apoio</t>
        </is>
      </c>
      <c r="P222" s="15" t="inlineStr"/>
      <c r="Q222" s="16" t="n"/>
      <c r="R222" s="16" t="n"/>
      <c r="S222" s="16" t="n"/>
      <c r="T222" s="16" t="n"/>
      <c r="U222" s="16" t="n"/>
      <c r="V222" s="17" t="n"/>
      <c r="W222" s="16" t="n"/>
      <c r="X222" s="16" t="n"/>
      <c r="Y222" s="16" t="n"/>
      <c r="Z222" s="16" t="n"/>
      <c r="AA222" s="16" t="n"/>
      <c r="AB222" s="16" t="n"/>
      <c r="AC222" s="16" t="n"/>
      <c r="AD222" s="17" t="n"/>
      <c r="AE222" s="16" t="n"/>
      <c r="AF222" s="16" t="n"/>
      <c r="AG222" s="16" t="n"/>
      <c r="AH222" s="16" t="n"/>
      <c r="AI222" s="16" t="n"/>
      <c r="AJ222" s="16" t="n"/>
      <c r="AK222" s="16" t="n"/>
      <c r="AL222" s="16" t="n"/>
      <c r="AM222" s="13" t="inlineStr">
        <is>
          <t>Media</t>
        </is>
      </c>
      <c r="AN222" s="13" t="inlineStr"/>
      <c r="AO222" s="19" t="inlineStr">
        <is>
          <t>Não</t>
        </is>
      </c>
      <c r="AP222" s="13" t="inlineStr"/>
      <c r="AQ222" s="13" t="inlineStr"/>
      <c r="AR222" s="15" t="inlineStr"/>
      <c r="AS222" s="15" t="inlineStr">
        <is>
          <t>NOTAS FISCAIS DE COMPRA JANEIRO 2026.pdf - p. 221</t>
        </is>
      </c>
    </row>
    <row r="223">
      <c r="A223" s="13" t="inlineStr">
        <is>
          <t>JAN26-P222</t>
        </is>
      </c>
      <c r="B223" s="13" t="n">
        <v>222</v>
      </c>
      <c r="C223" s="13" t="inlineStr">
        <is>
          <t>Outros/Documento</t>
        </is>
      </c>
      <c r="D223" s="13" t="inlineStr"/>
      <c r="E223" s="13" t="inlineStr"/>
      <c r="F223" s="13" t="inlineStr"/>
      <c r="G223" s="25" t="n">
        <v>46035</v>
      </c>
      <c r="H223" s="25" t="n"/>
      <c r="I223" s="13" t="inlineStr"/>
      <c r="J223" s="13" t="inlineStr">
        <is>
          <t>S| xxamioconconenno | St [or|omm] am | aor | Ga | Sat pewsmne] amcinn|ncenn | ace [oma</t>
        </is>
      </c>
      <c r="K223" s="13" t="inlineStr">
        <is>
          <t>08.318.541/0001-74</t>
        </is>
      </c>
      <c r="L223" s="13" t="inlineStr">
        <is>
          <t>23.655.038/0002-89</t>
        </is>
      </c>
      <c r="M223" s="13" t="inlineStr">
        <is>
          <t>SKAL /0002</t>
        </is>
      </c>
      <c r="N223" s="13" t="inlineStr">
        <is>
          <t>Apoio</t>
        </is>
      </c>
      <c r="O223" s="13" t="inlineStr">
        <is>
          <t>Documento de apoio</t>
        </is>
      </c>
      <c r="P223" s="15" t="inlineStr"/>
      <c r="Q223" s="16" t="n"/>
      <c r="R223" s="16" t="n"/>
      <c r="S223" s="16" t="n"/>
      <c r="T223" s="16" t="n"/>
      <c r="U223" s="16" t="n"/>
      <c r="V223" s="17" t="n"/>
      <c r="W223" s="16" t="n"/>
      <c r="X223" s="16" t="n"/>
      <c r="Y223" s="16" t="n"/>
      <c r="Z223" s="16" t="n"/>
      <c r="AA223" s="16" t="n"/>
      <c r="AB223" s="16" t="n"/>
      <c r="AC223" s="16" t="n"/>
      <c r="AD223" s="17" t="n"/>
      <c r="AE223" s="16" t="n"/>
      <c r="AF223" s="16" t="n"/>
      <c r="AG223" s="16" t="n"/>
      <c r="AH223" s="16" t="n"/>
      <c r="AI223" s="16" t="n"/>
      <c r="AJ223" s="16" t="n"/>
      <c r="AK223" s="16" t="n"/>
      <c r="AL223" s="16" t="n"/>
      <c r="AM223" s="13" t="inlineStr">
        <is>
          <t>Media</t>
        </is>
      </c>
      <c r="AN223" s="13" t="inlineStr"/>
      <c r="AO223" s="19" t="inlineStr">
        <is>
          <t>Não</t>
        </is>
      </c>
      <c r="AP223" s="13" t="inlineStr"/>
      <c r="AQ223" s="13" t="inlineStr"/>
      <c r="AR223" s="15" t="inlineStr"/>
      <c r="AS223" s="15" t="inlineStr">
        <is>
          <t>NOTAS FISCAIS DE COMPRA JANEIRO 2026.pdf - p. 222</t>
        </is>
      </c>
    </row>
    <row r="224">
      <c r="A224" s="13" t="inlineStr">
        <is>
          <t>JAN26-P223</t>
        </is>
      </c>
      <c r="B224" s="13" t="n">
        <v>223</v>
      </c>
      <c r="C224" s="13" t="inlineStr">
        <is>
          <t>NF-e</t>
        </is>
      </c>
      <c r="D224" s="13" t="inlineStr"/>
      <c r="E224" s="13" t="inlineStr"/>
      <c r="F224" s="13" t="inlineStr"/>
      <c r="G224" s="25" t="n">
        <v>46035</v>
      </c>
      <c r="H224" s="25" t="n"/>
      <c r="I224" s="13" t="inlineStr"/>
      <c r="J224" s="13" t="inlineStr">
        <is>
          <t>VENDA DE MERCADORIA ADQUIRIDA OU RECEBIDA DE TERCE</t>
        </is>
      </c>
      <c r="K224" s="13" t="inlineStr">
        <is>
          <t>08.318.541/0001-74</t>
        </is>
      </c>
      <c r="L224" s="13" t="inlineStr">
        <is>
          <t>23.655.038/0002-89</t>
        </is>
      </c>
      <c r="M224" s="13" t="inlineStr">
        <is>
          <t>SKAL /0002</t>
        </is>
      </c>
      <c r="N224" s="13" t="inlineStr">
        <is>
          <t>Produtos</t>
        </is>
      </c>
      <c r="O224" s="13" t="inlineStr">
        <is>
          <t>Manutencao/pecas</t>
        </is>
      </c>
      <c r="P224" s="15" t="inlineStr"/>
      <c r="Q224" s="16" t="n"/>
      <c r="R224" s="16" t="n"/>
      <c r="S224" s="16" t="n"/>
      <c r="T224" s="16" t="n"/>
      <c r="U224" s="16" t="n"/>
      <c r="V224" s="17" t="n"/>
      <c r="W224" s="16" t="n"/>
      <c r="X224" s="16" t="n"/>
      <c r="Y224" s="16" t="n"/>
      <c r="Z224" s="16" t="n"/>
      <c r="AA224" s="16" t="n"/>
      <c r="AB224" s="16" t="n"/>
      <c r="AC224" s="16" t="n"/>
      <c r="AD224" s="17" t="n"/>
      <c r="AE224" s="16" t="n"/>
      <c r="AF224" s="16" t="n"/>
      <c r="AG224" s="16" t="n"/>
      <c r="AH224" s="16" t="n"/>
      <c r="AI224" s="16" t="n"/>
      <c r="AJ224" s="16" t="n"/>
      <c r="AK224" s="16" t="n"/>
      <c r="AL224" s="16" t="n"/>
      <c r="AM224" s="13" t="inlineStr">
        <is>
          <t>Media</t>
        </is>
      </c>
      <c r="AN224" s="21" t="inlineStr">
        <is>
          <t>Revisar documento</t>
        </is>
      </c>
      <c r="AO224" s="20" t="inlineStr">
        <is>
          <t>Revisar</t>
        </is>
      </c>
      <c r="AP224" s="13" t="inlineStr"/>
      <c r="AQ224" s="13" t="inlineStr"/>
      <c r="AR224" s="15" t="inlineStr"/>
      <c r="AS224" s="15" t="inlineStr">
        <is>
          <t>NOTAS FISCAIS DE COMPRA JANEIRO 2026.pdf - p. 223</t>
        </is>
      </c>
    </row>
    <row r="225">
      <c r="A225" s="13" t="inlineStr">
        <is>
          <t>JAN26-P224</t>
        </is>
      </c>
      <c r="B225" s="13" t="n">
        <v>224</v>
      </c>
      <c r="C225" s="13" t="inlineStr">
        <is>
          <t>NF-e</t>
        </is>
      </c>
      <c r="D225" s="13" t="inlineStr"/>
      <c r="E225" s="13" t="inlineStr"/>
      <c r="F225" s="13" t="inlineStr"/>
      <c r="G225" s="25" t="n">
        <v>46035</v>
      </c>
      <c r="H225" s="25" t="n"/>
      <c r="I225" s="13" t="inlineStr"/>
      <c r="J225" s="13" t="inlineStr">
        <is>
          <t>SERIE 001 | nwwaniefazendagov beporul ou no site da Sefor Autorizadora</t>
        </is>
      </c>
      <c r="K225" s="13" t="inlineStr">
        <is>
          <t>00.384.377/0001-91</t>
        </is>
      </c>
      <c r="L225" s="13" t="inlineStr"/>
      <c r="M225" s="13" t="inlineStr"/>
      <c r="N225" s="13" t="inlineStr">
        <is>
          <t>Produtos</t>
        </is>
      </c>
      <c r="O225" s="13" t="inlineStr">
        <is>
          <t>Outros produtos</t>
        </is>
      </c>
      <c r="P225" s="15" t="inlineStr"/>
      <c r="Q225" s="16" t="n"/>
      <c r="R225" s="16" t="n"/>
      <c r="S225" s="16" t="n"/>
      <c r="T225" s="16" t="n"/>
      <c r="U225" s="16" t="n"/>
      <c r="V225" s="17" t="n"/>
      <c r="W225" s="16" t="n"/>
      <c r="X225" s="16" t="n"/>
      <c r="Y225" s="16" t="n"/>
      <c r="Z225" s="16" t="n"/>
      <c r="AA225" s="16" t="n"/>
      <c r="AB225" s="16" t="n"/>
      <c r="AC225" s="16" t="n"/>
      <c r="AD225" s="17" t="n"/>
      <c r="AE225" s="16" t="n"/>
      <c r="AF225" s="16" t="n"/>
      <c r="AG225" s="16" t="n"/>
      <c r="AH225" s="16" t="n"/>
      <c r="AI225" s="16" t="n"/>
      <c r="AJ225" s="16" t="n"/>
      <c r="AK225" s="16" t="n"/>
      <c r="AL225" s="16" t="n"/>
      <c r="AM225" s="13" t="inlineStr">
        <is>
          <t>Media</t>
        </is>
      </c>
      <c r="AN225" s="21" t="inlineStr">
        <is>
          <t>Revisar documento</t>
        </is>
      </c>
      <c r="AO225" s="20" t="inlineStr">
        <is>
          <t>Revisar</t>
        </is>
      </c>
      <c r="AP225" s="13" t="inlineStr"/>
      <c r="AQ225" s="13" t="inlineStr"/>
      <c r="AR225" s="15" t="inlineStr"/>
      <c r="AS225" s="15" t="inlineStr">
        <is>
          <t>NOTAS FISCAIS DE COMPRA JANEIRO 2026.pdf - p. 224</t>
        </is>
      </c>
    </row>
    <row r="226">
      <c r="A226" s="13" t="inlineStr">
        <is>
          <t>JAN26-P225</t>
        </is>
      </c>
      <c r="B226" s="13" t="n">
        <v>225</v>
      </c>
      <c r="C226" s="13" t="inlineStr">
        <is>
          <t>Outros/Documento</t>
        </is>
      </c>
      <c r="D226" s="13" t="inlineStr"/>
      <c r="E226" s="13" t="inlineStr"/>
      <c r="F226" s="13" t="inlineStr"/>
      <c r="G226" s="25" t="n">
        <v>46035</v>
      </c>
      <c r="H226" s="25" t="n"/>
      <c r="I226" s="13" t="inlineStr"/>
      <c r="J226" s="13" t="inlineStr">
        <is>
          <t>VENDA DE MERCADORIA (DENTRO DO ESTADO)</t>
        </is>
      </c>
      <c r="K226" s="13" t="inlineStr"/>
      <c r="L226" s="13" t="inlineStr">
        <is>
          <t>23.655.038/0002-89</t>
        </is>
      </c>
      <c r="M226" s="13" t="inlineStr">
        <is>
          <t>SKAL /0002</t>
        </is>
      </c>
      <c r="N226" s="13" t="inlineStr">
        <is>
          <t>Apoio</t>
        </is>
      </c>
      <c r="O226" s="13" t="inlineStr">
        <is>
          <t>Documento de apoio</t>
        </is>
      </c>
      <c r="P226" s="15" t="inlineStr"/>
      <c r="Q226" s="16" t="n"/>
      <c r="R226" s="16" t="n"/>
      <c r="S226" s="16" t="n"/>
      <c r="T226" s="16" t="n"/>
      <c r="U226" s="16" t="n"/>
      <c r="V226" s="17" t="n"/>
      <c r="W226" s="16" t="n"/>
      <c r="X226" s="16" t="n"/>
      <c r="Y226" s="16" t="n"/>
      <c r="Z226" s="16" t="n"/>
      <c r="AA226" s="16" t="n"/>
      <c r="AB226" s="16" t="n"/>
      <c r="AC226" s="16" t="n"/>
      <c r="AD226" s="17" t="n"/>
      <c r="AE226" s="16" t="n"/>
      <c r="AF226" s="16" t="n"/>
      <c r="AG226" s="16" t="n"/>
      <c r="AH226" s="16" t="n"/>
      <c r="AI226" s="16" t="n"/>
      <c r="AJ226" s="16" t="n"/>
      <c r="AK226" s="16" t="n"/>
      <c r="AL226" s="16" t="n"/>
      <c r="AM226" s="13" t="inlineStr">
        <is>
          <t>Baixa</t>
        </is>
      </c>
      <c r="AN226" s="13" t="inlineStr"/>
      <c r="AO226" s="19" t="inlineStr">
        <is>
          <t>Não</t>
        </is>
      </c>
      <c r="AP226" s="13" t="inlineStr"/>
      <c r="AQ226" s="13" t="inlineStr"/>
      <c r="AR226" s="15" t="inlineStr"/>
      <c r="AS226" s="15" t="inlineStr">
        <is>
          <t>NOTAS FISCAIS DE COMPRA JANEIRO 2026.pdf - p. 225</t>
        </is>
      </c>
    </row>
    <row r="227">
      <c r="A227" s="13" t="inlineStr">
        <is>
          <t>JAN26-P226</t>
        </is>
      </c>
      <c r="B227" s="13" t="n">
        <v>226</v>
      </c>
      <c r="C227" s="13" t="inlineStr">
        <is>
          <t>NF-e</t>
        </is>
      </c>
      <c r="D227" s="13" t="inlineStr"/>
      <c r="E227" s="13" t="inlineStr"/>
      <c r="F227" s="13" t="inlineStr"/>
      <c r="G227" s="25" t="n"/>
      <c r="H227" s="25" t="n"/>
      <c r="I227" s="13" t="inlineStr"/>
      <c r="J227" s="13" t="inlineStr">
        <is>
          <t>“ parzne 08 DE EAL ENDED NDONTIA BCOUERCO LTDA 08 PRADUTOS CONSTARTES HA NOTA HSCAL MOLADN? ] NF-e</t>
        </is>
      </c>
      <c r="K227" s="13" t="inlineStr"/>
      <c r="L227" s="13" t="inlineStr"/>
      <c r="M227" s="13" t="inlineStr"/>
      <c r="N227" s="13" t="inlineStr">
        <is>
          <t>Produtos</t>
        </is>
      </c>
      <c r="O227" s="13" t="inlineStr">
        <is>
          <t>Outros produtos</t>
        </is>
      </c>
      <c r="P227" s="15" t="inlineStr"/>
      <c r="Q227" s="16" t="n"/>
      <c r="R227" s="16" t="n"/>
      <c r="S227" s="16" t="n"/>
      <c r="T227" s="16" t="n"/>
      <c r="U227" s="16" t="n"/>
      <c r="V227" s="17" t="n"/>
      <c r="W227" s="16" t="n"/>
      <c r="X227" s="16" t="n"/>
      <c r="Y227" s="16" t="n"/>
      <c r="Z227" s="16" t="n"/>
      <c r="AA227" s="16" t="n"/>
      <c r="AB227" s="16" t="n"/>
      <c r="AC227" s="16" t="n"/>
      <c r="AD227" s="17" t="n"/>
      <c r="AE227" s="16" t="n"/>
      <c r="AF227" s="16" t="n"/>
      <c r="AG227" s="16" t="n"/>
      <c r="AH227" s="16" t="n"/>
      <c r="AI227" s="16" t="n"/>
      <c r="AJ227" s="16" t="n"/>
      <c r="AK227" s="16" t="n"/>
      <c r="AL227" s="16" t="n"/>
      <c r="AM227" s="13" t="inlineStr">
        <is>
          <t>Baixa</t>
        </is>
      </c>
      <c r="AN227" s="21" t="inlineStr">
        <is>
          <t>Revisar documento</t>
        </is>
      </c>
      <c r="AO227" s="20" t="inlineStr">
        <is>
          <t>Revisar</t>
        </is>
      </c>
      <c r="AP227" s="13" t="inlineStr"/>
      <c r="AQ227" s="13" t="inlineStr"/>
      <c r="AR227" s="15" t="inlineStr"/>
      <c r="AS227" s="15" t="inlineStr">
        <is>
          <t>NOTAS FISCAIS DE COMPRA JANEIRO 2026.pdf - p. 226</t>
        </is>
      </c>
    </row>
    <row r="228">
      <c r="A228" s="13" t="inlineStr">
        <is>
          <t>JAN26-P227</t>
        </is>
      </c>
      <c r="B228" s="13" t="n">
        <v>227</v>
      </c>
      <c r="C228" s="13" t="inlineStr">
        <is>
          <t>Outros/Documento</t>
        </is>
      </c>
      <c r="D228" s="13" t="inlineStr"/>
      <c r="E228" s="13" t="inlineStr"/>
      <c r="F228" s="13" t="inlineStr"/>
      <c r="G228" s="25" t="n"/>
      <c r="H228" s="25" t="n"/>
      <c r="I228" s="13" t="inlineStr"/>
      <c r="J228" s="13" t="inlineStr">
        <is>
          <t>[uns Barca de Menor. de Sevict ‘eziean 30058 19UN INDO: i</t>
        </is>
      </c>
      <c r="K228" s="13" t="inlineStr"/>
      <c r="L228" s="13" t="inlineStr"/>
      <c r="M228" s="13" t="inlineStr"/>
      <c r="N228" s="13" t="inlineStr">
        <is>
          <t>Apoio</t>
        </is>
      </c>
      <c r="O228" s="13" t="inlineStr">
        <is>
          <t>Documento de apoio</t>
        </is>
      </c>
      <c r="P228" s="15" t="inlineStr"/>
      <c r="Q228" s="16" t="n"/>
      <c r="R228" s="16" t="n"/>
      <c r="S228" s="16" t="n"/>
      <c r="T228" s="16" t="n"/>
      <c r="U228" s="16" t="n"/>
      <c r="V228" s="17" t="n"/>
      <c r="W228" s="16" t="n"/>
      <c r="X228" s="16" t="n"/>
      <c r="Y228" s="16" t="n"/>
      <c r="Z228" s="16" t="n"/>
      <c r="AA228" s="16" t="n"/>
      <c r="AB228" s="16" t="n"/>
      <c r="AC228" s="16" t="n"/>
      <c r="AD228" s="17" t="n"/>
      <c r="AE228" s="16" t="n"/>
      <c r="AF228" s="16" t="n"/>
      <c r="AG228" s="16" t="n"/>
      <c r="AH228" s="16" t="n"/>
      <c r="AI228" s="16" t="n"/>
      <c r="AJ228" s="16" t="n"/>
      <c r="AK228" s="16" t="n"/>
      <c r="AL228" s="16" t="n"/>
      <c r="AM228" s="13" t="inlineStr">
        <is>
          <t>Baixa</t>
        </is>
      </c>
      <c r="AN228" s="13" t="inlineStr"/>
      <c r="AO228" s="19" t="inlineStr">
        <is>
          <t>Não</t>
        </is>
      </c>
      <c r="AP228" s="13" t="inlineStr"/>
      <c r="AQ228" s="13" t="inlineStr"/>
      <c r="AR228" s="15" t="inlineStr"/>
      <c r="AS228" s="15" t="inlineStr">
        <is>
          <t>NOTAS FISCAIS DE COMPRA JANEIRO 2026.pdf - p. 227</t>
        </is>
      </c>
    </row>
    <row r="229">
      <c r="A229" s="13" t="inlineStr">
        <is>
          <t>JAN26-P228</t>
        </is>
      </c>
      <c r="B229" s="13" t="n">
        <v>228</v>
      </c>
      <c r="C229" s="13" t="inlineStr">
        <is>
          <t>NF-e</t>
        </is>
      </c>
      <c r="D229" s="13" t="inlineStr"/>
      <c r="E229" s="13" t="inlineStr"/>
      <c r="F229" s="13" t="inlineStr"/>
      <c r="G229" s="25" t="n"/>
      <c r="H229" s="25" t="n"/>
      <c r="I229" s="13" t="inlineStr"/>
      <c r="J229" s="13" t="inlineStr">
        <is>
          <t>‘Sicerreauc oc samen femme Powe</t>
        </is>
      </c>
      <c r="K229" s="13" t="inlineStr"/>
      <c r="L229" s="13" t="inlineStr"/>
      <c r="M229" s="13" t="inlineStr"/>
      <c r="N229" s="13" t="inlineStr">
        <is>
          <t>Produtos</t>
        </is>
      </c>
      <c r="O229" s="13" t="inlineStr">
        <is>
          <t>Outros produtos</t>
        </is>
      </c>
      <c r="P229" s="15" t="inlineStr"/>
      <c r="Q229" s="16" t="n"/>
      <c r="R229" s="16" t="n"/>
      <c r="S229" s="16" t="n"/>
      <c r="T229" s="16" t="n"/>
      <c r="U229" s="16" t="n"/>
      <c r="V229" s="17" t="n"/>
      <c r="W229" s="16" t="n"/>
      <c r="X229" s="16" t="n"/>
      <c r="Y229" s="16" t="n"/>
      <c r="Z229" s="16" t="n"/>
      <c r="AA229" s="16" t="n"/>
      <c r="AB229" s="16" t="n"/>
      <c r="AC229" s="16" t="n"/>
      <c r="AD229" s="17" t="n"/>
      <c r="AE229" s="16" t="n"/>
      <c r="AF229" s="16" t="n"/>
      <c r="AG229" s="16" t="n"/>
      <c r="AH229" s="16" t="n"/>
      <c r="AI229" s="16" t="n"/>
      <c r="AJ229" s="16" t="n"/>
      <c r="AK229" s="16" t="n"/>
      <c r="AL229" s="16" t="n"/>
      <c r="AM229" s="13" t="inlineStr">
        <is>
          <t>Baixa</t>
        </is>
      </c>
      <c r="AN229" s="21" t="inlineStr">
        <is>
          <t>Revisar documento</t>
        </is>
      </c>
      <c r="AO229" s="20" t="inlineStr">
        <is>
          <t>Revisar</t>
        </is>
      </c>
      <c r="AP229" s="13" t="inlineStr"/>
      <c r="AQ229" s="13" t="inlineStr"/>
      <c r="AR229" s="15" t="inlineStr"/>
      <c r="AS229" s="15" t="inlineStr">
        <is>
          <t>NOTAS FISCAIS DE COMPRA JANEIRO 2026.pdf - p. 228</t>
        </is>
      </c>
    </row>
    <row r="230">
      <c r="A230" s="13" t="inlineStr">
        <is>
          <t>JAN26-P229</t>
        </is>
      </c>
      <c r="B230" s="13" t="n">
        <v>229</v>
      </c>
      <c r="C230" s="13" t="inlineStr">
        <is>
          <t>Outros/Documento</t>
        </is>
      </c>
      <c r="D230" s="13" t="inlineStr"/>
      <c r="E230" s="13" t="inlineStr"/>
      <c r="F230" s="13" t="inlineStr"/>
      <c r="G230" s="25" t="n"/>
      <c r="H230" s="25" t="n"/>
      <c r="I230" s="13" t="inlineStr"/>
      <c r="J230" s="13" t="inlineStr">
        <is>
          <t>tren eee FP esween Pr bieaaioessemaascnens [ eameeewemvune |</t>
        </is>
      </c>
      <c r="K230" s="13" t="inlineStr"/>
      <c r="L230" s="13" t="inlineStr"/>
      <c r="M230" s="13" t="inlineStr"/>
      <c r="N230" s="13" t="inlineStr">
        <is>
          <t>Apoio</t>
        </is>
      </c>
      <c r="O230" s="13" t="inlineStr">
        <is>
          <t>Documento de apoio</t>
        </is>
      </c>
      <c r="P230" s="15" t="inlineStr"/>
      <c r="Q230" s="16" t="n"/>
      <c r="R230" s="16" t="n"/>
      <c r="S230" s="16" t="n"/>
      <c r="T230" s="16" t="n"/>
      <c r="U230" s="16" t="n"/>
      <c r="V230" s="17" t="n"/>
      <c r="W230" s="16" t="n"/>
      <c r="X230" s="16" t="n"/>
      <c r="Y230" s="16" t="n"/>
      <c r="Z230" s="16" t="n"/>
      <c r="AA230" s="16" t="n"/>
      <c r="AB230" s="16" t="n"/>
      <c r="AC230" s="16" t="n"/>
      <c r="AD230" s="17" t="n"/>
      <c r="AE230" s="16" t="n"/>
      <c r="AF230" s="16" t="n"/>
      <c r="AG230" s="16" t="n"/>
      <c r="AH230" s="16" t="n"/>
      <c r="AI230" s="16" t="n"/>
      <c r="AJ230" s="16" t="n"/>
      <c r="AK230" s="16" t="n"/>
      <c r="AL230" s="16" t="n"/>
      <c r="AM230" s="13" t="inlineStr">
        <is>
          <t>Baixa</t>
        </is>
      </c>
      <c r="AN230" s="13" t="inlineStr"/>
      <c r="AO230" s="19" t="inlineStr">
        <is>
          <t>Não</t>
        </is>
      </c>
      <c r="AP230" s="13" t="inlineStr"/>
      <c r="AQ230" s="13" t="inlineStr"/>
      <c r="AR230" s="15" t="inlineStr"/>
      <c r="AS230" s="15" t="inlineStr">
        <is>
          <t>NOTAS FISCAIS DE COMPRA JANEIRO 2026.pdf - p. 229</t>
        </is>
      </c>
    </row>
    <row r="231">
      <c r="A231" s="13" t="inlineStr">
        <is>
          <t>JAN26-P230</t>
        </is>
      </c>
      <c r="B231" s="13" t="n">
        <v>230</v>
      </c>
      <c r="C231" s="13" t="inlineStr">
        <is>
          <t>NFS-e</t>
        </is>
      </c>
      <c r="D231" s="13" t="inlineStr"/>
      <c r="E231" s="13" t="inlineStr"/>
      <c r="F231" s="13" t="inlineStr"/>
      <c r="G231" s="25" t="n"/>
      <c r="H231" s="25" t="n"/>
      <c r="I231" s="13" t="inlineStr"/>
      <c r="J231" s="13" t="inlineStr">
        <is>
          <t>INTERMEDIARIO DO SERVIC NAO IDENTIACADO NA NFE'S.</t>
        </is>
      </c>
      <c r="K231" s="13" t="inlineStr"/>
      <c r="L231" s="13" t="inlineStr"/>
      <c r="M231" s="13" t="inlineStr"/>
      <c r="N231" s="13" t="inlineStr">
        <is>
          <t>Servicos</t>
        </is>
      </c>
      <c r="O231" s="13" t="inlineStr">
        <is>
          <t>Outros servicos</t>
        </is>
      </c>
      <c r="P231" s="15" t="inlineStr"/>
      <c r="Q231" s="16" t="n">
        <v>1708.72</v>
      </c>
      <c r="R231" s="16" t="n"/>
      <c r="S231" s="16" t="n"/>
      <c r="T231" s="16" t="n"/>
      <c r="U231" s="16" t="n"/>
      <c r="V231" s="17" t="n"/>
      <c r="W231" s="16" t="n"/>
      <c r="X231" s="16" t="n"/>
      <c r="Y231" s="16" t="n"/>
      <c r="Z231" s="16" t="n"/>
      <c r="AA231" s="16" t="n">
        <v>1708.72</v>
      </c>
      <c r="AB231" s="16" t="n"/>
      <c r="AC231" s="16" t="n"/>
      <c r="AD231" s="17" t="n"/>
      <c r="AE231" s="16" t="n"/>
      <c r="AF231" s="16" t="n"/>
      <c r="AG231" s="16" t="n"/>
      <c r="AH231" s="16" t="n"/>
      <c r="AI231" s="16" t="n"/>
      <c r="AJ231" s="16" t="n"/>
      <c r="AK231" s="16" t="n"/>
      <c r="AL231" s="16" t="n"/>
      <c r="AM231" s="13" t="inlineStr">
        <is>
          <t>Media</t>
        </is>
      </c>
      <c r="AN231" s="21" t="inlineStr">
        <is>
          <t>Revisar documento</t>
        </is>
      </c>
      <c r="AO231" s="20" t="inlineStr">
        <is>
          <t>Revisar</t>
        </is>
      </c>
      <c r="AP231" s="13" t="inlineStr"/>
      <c r="AQ231" s="13" t="inlineStr"/>
      <c r="AR231" s="15" t="inlineStr">
        <is>
          <t>Total identificado por OCR/visual; validar prestador e retenções.</t>
        </is>
      </c>
      <c r="AS231" s="15" t="inlineStr">
        <is>
          <t>NOTAS FISCAIS DE COMPRA JANEIRO 2026.pdf - p. 230</t>
        </is>
      </c>
    </row>
    <row r="232">
      <c r="A232" s="13" t="inlineStr">
        <is>
          <t>JAN26-P231</t>
        </is>
      </c>
      <c r="B232" s="13" t="n">
        <v>231</v>
      </c>
      <c r="C232" s="13" t="inlineStr">
        <is>
          <t>NF-e</t>
        </is>
      </c>
      <c r="D232" s="13" t="inlineStr"/>
      <c r="E232" s="13" t="inlineStr"/>
      <c r="F232" s="13" t="inlineStr"/>
      <c r="G232" s="25" t="n">
        <v>46031</v>
      </c>
      <c r="H232" s="25" t="n"/>
      <c r="I232" s="13" t="inlineStr"/>
      <c r="J232" s="13" t="inlineStr">
        <is>
          <t>r:. LOURTVAL PARENTE - TERESINA - Pl- t TsaiDa SENG OUND agg) cnn nbd E88 Men ALS 12a ATTY SRA</t>
        </is>
      </c>
      <c r="K232" s="13" t="inlineStr"/>
      <c r="L232" s="13" t="inlineStr"/>
      <c r="M232" s="13" t="inlineStr"/>
      <c r="N232" s="13" t="inlineStr">
        <is>
          <t>Produtos</t>
        </is>
      </c>
      <c r="O232" s="13" t="inlineStr">
        <is>
          <t>Limpeza</t>
        </is>
      </c>
      <c r="P232" s="15" t="inlineStr">
        <is>
          <t>sere cxsencho mo racTo smc worn [co [oe on] oot | vate fetta] i [cdma] we pace | m peEa] | oa BERDO R ARE ara] om [aro] — Tana} Trai] — vane) — ae] — too =) =| arabs | 5 ncuas Lona</t>
        </is>
      </c>
      <c r="Q232" s="16" t="n"/>
      <c r="R232" s="16" t="n"/>
      <c r="S232" s="16" t="n"/>
      <c r="T232" s="16" t="n"/>
      <c r="U232" s="16" t="n"/>
      <c r="V232" s="17" t="n"/>
      <c r="W232" s="16" t="n"/>
      <c r="X232" s="16" t="n"/>
      <c r="Y232" s="16" t="n"/>
      <c r="Z232" s="16" t="n"/>
      <c r="AA232" s="16" t="n"/>
      <c r="AB232" s="16" t="n"/>
      <c r="AC232" s="16" t="n"/>
      <c r="AD232" s="17" t="n"/>
      <c r="AE232" s="16" t="n"/>
      <c r="AF232" s="16" t="n"/>
      <c r="AG232" s="16" t="n"/>
      <c r="AH232" s="16" t="n"/>
      <c r="AI232" s="16" t="n"/>
      <c r="AJ232" s="16" t="n"/>
      <c r="AK232" s="16" t="n"/>
      <c r="AL232" s="16" t="n"/>
      <c r="AM232" s="13" t="inlineStr">
        <is>
          <t>Baixa</t>
        </is>
      </c>
      <c r="AN232" s="21" t="inlineStr">
        <is>
          <t>Revisar documento</t>
        </is>
      </c>
      <c r="AO232" s="20" t="inlineStr">
        <is>
          <t>Revisar</t>
        </is>
      </c>
      <c r="AP232" s="13" t="inlineStr"/>
      <c r="AQ232" s="13" t="inlineStr"/>
      <c r="AR232" s="15" t="inlineStr"/>
      <c r="AS232" s="15" t="inlineStr">
        <is>
          <t>NOTAS FISCAIS DE COMPRA JANEIRO 2026.pdf - p. 231</t>
        </is>
      </c>
    </row>
    <row r="233">
      <c r="A233" s="13" t="inlineStr">
        <is>
          <t>JAN26-P232</t>
        </is>
      </c>
      <c r="B233" s="13" t="n">
        <v>232</v>
      </c>
      <c r="C233" s="13" t="inlineStr">
        <is>
          <t>Separador/Anotacao</t>
        </is>
      </c>
      <c r="D233" s="13" t="inlineStr"/>
      <c r="E233" s="13" t="inlineStr"/>
      <c r="F233" s="13" t="inlineStr"/>
      <c r="G233" s="25" t="n"/>
      <c r="H233" s="25" t="n"/>
      <c r="I233" s="13" t="inlineStr"/>
      <c r="J233" s="13" t="inlineStr"/>
      <c r="K233" s="13" t="inlineStr"/>
      <c r="L233" s="13" t="inlineStr"/>
      <c r="M233" s="13" t="inlineStr"/>
      <c r="N233" s="13" t="inlineStr">
        <is>
          <t>Apoio</t>
        </is>
      </c>
      <c r="O233" s="13" t="inlineStr">
        <is>
          <t>Documento de apoio</t>
        </is>
      </c>
      <c r="P233" s="15" t="inlineStr"/>
      <c r="Q233" s="16" t="n"/>
      <c r="R233" s="16" t="n"/>
      <c r="S233" s="16" t="n"/>
      <c r="T233" s="16" t="n"/>
      <c r="U233" s="16" t="n"/>
      <c r="V233" s="17" t="n"/>
      <c r="W233" s="16" t="n"/>
      <c r="X233" s="16" t="n"/>
      <c r="Y233" s="16" t="n"/>
      <c r="Z233" s="16" t="n"/>
      <c r="AA233" s="16" t="n"/>
      <c r="AB233" s="16" t="n"/>
      <c r="AC233" s="16" t="n"/>
      <c r="AD233" s="17" t="n"/>
      <c r="AE233" s="16" t="n"/>
      <c r="AF233" s="16" t="n"/>
      <c r="AG233" s="16" t="n"/>
      <c r="AH233" s="16" t="n"/>
      <c r="AI233" s="16" t="n"/>
      <c r="AJ233" s="16" t="n"/>
      <c r="AK233" s="16" t="n"/>
      <c r="AL233" s="16" t="n"/>
      <c r="AM233" s="13" t="inlineStr">
        <is>
          <t>Baixa</t>
        </is>
      </c>
      <c r="AN233" s="13" t="inlineStr"/>
      <c r="AO233" s="19" t="inlineStr">
        <is>
          <t>Não</t>
        </is>
      </c>
      <c r="AP233" s="13" t="inlineStr"/>
      <c r="AQ233" s="13" t="inlineStr"/>
      <c r="AR233" s="15" t="inlineStr"/>
      <c r="AS233" s="15" t="inlineStr">
        <is>
          <t>NOTAS FISCAIS DE COMPRA JANEIRO 2026.pdf - p. 232</t>
        </is>
      </c>
    </row>
    <row r="234">
      <c r="A234" s="13" t="inlineStr">
        <is>
          <t>JAN26-P233</t>
        </is>
      </c>
      <c r="B234" s="13" t="n">
        <v>233</v>
      </c>
      <c r="C234" s="13" t="inlineStr">
        <is>
          <t>Outros/Documento</t>
        </is>
      </c>
      <c r="D234" s="13" t="inlineStr"/>
      <c r="E234" s="13" t="inlineStr"/>
      <c r="F234" s="13" t="inlineStr"/>
      <c r="G234" s="25" t="n"/>
      <c r="H234" s="25" t="n"/>
      <c r="I234" s="13" t="inlineStr"/>
      <c r="J234" s="13" t="inlineStr">
        <is>
          <t>‘TERESINA DISTRIBUIDORA DE PROD DE LIMPEZ | oss sur</t>
        </is>
      </c>
      <c r="K234" s="13" t="inlineStr"/>
      <c r="L234" s="13" t="inlineStr"/>
      <c r="M234" s="13" t="inlineStr"/>
      <c r="N234" s="13" t="inlineStr">
        <is>
          <t>Apoio</t>
        </is>
      </c>
      <c r="O234" s="13" t="inlineStr">
        <is>
          <t>Documento de apoio</t>
        </is>
      </c>
      <c r="P234" s="15" t="inlineStr"/>
      <c r="Q234" s="16" t="n"/>
      <c r="R234" s="16" t="n"/>
      <c r="S234" s="16" t="n"/>
      <c r="T234" s="16" t="n"/>
      <c r="U234" s="16" t="n"/>
      <c r="V234" s="17" t="n"/>
      <c r="W234" s="16" t="n"/>
      <c r="X234" s="16" t="n"/>
      <c r="Y234" s="16" t="n"/>
      <c r="Z234" s="16" t="n"/>
      <c r="AA234" s="16" t="n"/>
      <c r="AB234" s="16" t="n"/>
      <c r="AC234" s="16" t="n"/>
      <c r="AD234" s="17" t="n"/>
      <c r="AE234" s="16" t="n"/>
      <c r="AF234" s="16" t="n"/>
      <c r="AG234" s="16" t="n"/>
      <c r="AH234" s="16" t="n"/>
      <c r="AI234" s="16" t="n"/>
      <c r="AJ234" s="16" t="n"/>
      <c r="AK234" s="16" t="n"/>
      <c r="AL234" s="16" t="n"/>
      <c r="AM234" s="13" t="inlineStr">
        <is>
          <t>Baixa</t>
        </is>
      </c>
      <c r="AN234" s="13" t="inlineStr"/>
      <c r="AO234" s="19" t="inlineStr">
        <is>
          <t>Não</t>
        </is>
      </c>
      <c r="AP234" s="13" t="inlineStr"/>
      <c r="AQ234" s="13" t="inlineStr"/>
      <c r="AR234" s="15" t="inlineStr"/>
      <c r="AS234" s="15" t="inlineStr">
        <is>
          <t>NOTAS FISCAIS DE COMPRA JANEIRO 2026.pdf - p. 233</t>
        </is>
      </c>
    </row>
    <row r="235">
      <c r="A235" s="13" t="inlineStr">
        <is>
          <t>JAN26-P234</t>
        </is>
      </c>
      <c r="B235" s="13" t="n">
        <v>234</v>
      </c>
      <c r="C235" s="13" t="inlineStr">
        <is>
          <t>Outros/Documento</t>
        </is>
      </c>
      <c r="D235" s="13" t="inlineStr"/>
      <c r="E235" s="13" t="inlineStr"/>
      <c r="F235" s="13" t="inlineStr"/>
      <c r="G235" s="25" t="n"/>
      <c r="H235" s="25" t="n"/>
      <c r="I235" s="13" t="inlineStr"/>
      <c r="J235" s="13" t="inlineStr">
        <is>
          <t>Faacationpls do mestaato</t>
        </is>
      </c>
      <c r="K235" s="13" t="inlineStr"/>
      <c r="L235" s="13" t="inlineStr"/>
      <c r="M235" s="13" t="inlineStr"/>
      <c r="N235" s="13" t="inlineStr">
        <is>
          <t>Apoio</t>
        </is>
      </c>
      <c r="O235" s="13" t="inlineStr">
        <is>
          <t>Documento de apoio</t>
        </is>
      </c>
      <c r="P235" s="15" t="inlineStr"/>
      <c r="Q235" s="16" t="n"/>
      <c r="R235" s="16" t="n"/>
      <c r="S235" s="16" t="n"/>
      <c r="T235" s="16" t="n"/>
      <c r="U235" s="16" t="n"/>
      <c r="V235" s="17" t="n"/>
      <c r="W235" s="16" t="n"/>
      <c r="X235" s="16" t="n"/>
      <c r="Y235" s="16" t="n"/>
      <c r="Z235" s="16" t="n"/>
      <c r="AA235" s="16" t="n"/>
      <c r="AB235" s="16" t="n"/>
      <c r="AC235" s="16" t="n"/>
      <c r="AD235" s="17" t="n"/>
      <c r="AE235" s="16" t="n"/>
      <c r="AF235" s="16" t="n"/>
      <c r="AG235" s="16" t="n"/>
      <c r="AH235" s="16" t="n"/>
      <c r="AI235" s="16" t="n"/>
      <c r="AJ235" s="16" t="n"/>
      <c r="AK235" s="16" t="n"/>
      <c r="AL235" s="16" t="n"/>
      <c r="AM235" s="13" t="inlineStr">
        <is>
          <t>Baixa</t>
        </is>
      </c>
      <c r="AN235" s="13" t="inlineStr"/>
      <c r="AO235" s="19" t="inlineStr">
        <is>
          <t>Não</t>
        </is>
      </c>
      <c r="AP235" s="13" t="inlineStr"/>
      <c r="AQ235" s="13" t="inlineStr"/>
      <c r="AR235" s="15" t="inlineStr"/>
      <c r="AS235" s="15" t="inlineStr">
        <is>
          <t>NOTAS FISCAIS DE COMPRA JANEIRO 2026.pdf - p. 234</t>
        </is>
      </c>
    </row>
    <row r="236">
      <c r="A236" s="13" t="inlineStr">
        <is>
          <t>JAN26-P235</t>
        </is>
      </c>
      <c r="B236" s="13" t="n">
        <v>235</v>
      </c>
      <c r="C236" s="13" t="inlineStr">
        <is>
          <t>Outros/Documento</t>
        </is>
      </c>
      <c r="D236" s="13" t="inlineStr"/>
      <c r="E236" s="13" t="inlineStr"/>
      <c r="F236" s="13" t="inlineStr"/>
      <c r="G236" s="25" t="n">
        <v>46036</v>
      </c>
      <c r="H236" s="25" t="n"/>
      <c r="I236" s="13" t="inlineStr"/>
      <c r="J236" s="13" t="inlineStr">
        <is>
          <t>VENDA DE MERCADORIA ADQUIRIDA OU RECEBIDA DE TERCE</t>
        </is>
      </c>
      <c r="K236" s="13" t="inlineStr">
        <is>
          <t>08.318.541/0001-74</t>
        </is>
      </c>
      <c r="L236" s="13" t="inlineStr"/>
      <c r="M236" s="13" t="inlineStr"/>
      <c r="N236" s="13" t="inlineStr">
        <is>
          <t>Apoio</t>
        </is>
      </c>
      <c r="O236" s="13" t="inlineStr">
        <is>
          <t>Documento de apoio</t>
        </is>
      </c>
      <c r="P236" s="15" t="inlineStr"/>
      <c r="Q236" s="16" t="n"/>
      <c r="R236" s="16" t="n"/>
      <c r="S236" s="16" t="n"/>
      <c r="T236" s="16" t="n"/>
      <c r="U236" s="16" t="n"/>
      <c r="V236" s="17" t="n"/>
      <c r="W236" s="16" t="n"/>
      <c r="X236" s="16" t="n"/>
      <c r="Y236" s="16" t="n"/>
      <c r="Z236" s="16" t="n"/>
      <c r="AA236" s="16" t="n"/>
      <c r="AB236" s="16" t="n"/>
      <c r="AC236" s="16" t="n"/>
      <c r="AD236" s="17" t="n"/>
      <c r="AE236" s="16" t="n"/>
      <c r="AF236" s="16" t="n"/>
      <c r="AG236" s="16" t="n"/>
      <c r="AH236" s="16" t="n"/>
      <c r="AI236" s="16" t="n"/>
      <c r="AJ236" s="16" t="n"/>
      <c r="AK236" s="16" t="n"/>
      <c r="AL236" s="16" t="n"/>
      <c r="AM236" s="13" t="inlineStr">
        <is>
          <t>Media</t>
        </is>
      </c>
      <c r="AN236" s="13" t="inlineStr"/>
      <c r="AO236" s="19" t="inlineStr">
        <is>
          <t>Não</t>
        </is>
      </c>
      <c r="AP236" s="13" t="inlineStr"/>
      <c r="AQ236" s="13" t="inlineStr"/>
      <c r="AR236" s="15" t="inlineStr"/>
      <c r="AS236" s="15" t="inlineStr">
        <is>
          <t>NOTAS FISCAIS DE COMPRA JANEIRO 2026.pdf - p. 235</t>
        </is>
      </c>
    </row>
    <row r="237">
      <c r="A237" s="13" t="inlineStr">
        <is>
          <t>JAN26-P236</t>
        </is>
      </c>
      <c r="B237" s="13" t="n">
        <v>236</v>
      </c>
      <c r="C237" s="13" t="inlineStr">
        <is>
          <t>NF-e</t>
        </is>
      </c>
      <c r="D237" s="13" t="inlineStr"/>
      <c r="E237" s="13" t="inlineStr"/>
      <c r="F237" s="13" t="inlineStr"/>
      <c r="G237" s="25" t="n"/>
      <c r="H237" s="25" t="n"/>
      <c r="I237" s="13" t="inlineStr"/>
      <c r="J237" s="13" t="inlineStr">
        <is>
          <t>Aageaso em mexin de fechar nota pelo Usearios 4 NANIMBA. Nota Flecal Emitide pelo; Usnario;</t>
        </is>
      </c>
      <c r="K237" s="13" t="inlineStr"/>
      <c r="L237" s="13" t="inlineStr"/>
      <c r="M237" s="13" t="inlineStr"/>
      <c r="N237" s="13" t="inlineStr">
        <is>
          <t>Produtos</t>
        </is>
      </c>
      <c r="O237" s="13" t="inlineStr">
        <is>
          <t>Outros produtos</t>
        </is>
      </c>
      <c r="P237" s="15" t="inlineStr"/>
      <c r="Q237" s="16" t="n"/>
      <c r="R237" s="16" t="n"/>
      <c r="S237" s="16" t="n"/>
      <c r="T237" s="16" t="n"/>
      <c r="U237" s="16" t="n"/>
      <c r="V237" s="17" t="n"/>
      <c r="W237" s="16" t="n"/>
      <c r="X237" s="16" t="n"/>
      <c r="Y237" s="16" t="n"/>
      <c r="Z237" s="16" t="n"/>
      <c r="AA237" s="16" t="n"/>
      <c r="AB237" s="16" t="n"/>
      <c r="AC237" s="16" t="n"/>
      <c r="AD237" s="17" t="n"/>
      <c r="AE237" s="16" t="n"/>
      <c r="AF237" s="16" t="n"/>
      <c r="AG237" s="16" t="n"/>
      <c r="AH237" s="16" t="n"/>
      <c r="AI237" s="16" t="n"/>
      <c r="AJ237" s="16" t="n"/>
      <c r="AK237" s="16" t="n"/>
      <c r="AL237" s="16" t="n"/>
      <c r="AM237" s="13" t="inlineStr">
        <is>
          <t>Baixa</t>
        </is>
      </c>
      <c r="AN237" s="21" t="inlineStr">
        <is>
          <t>Revisar documento</t>
        </is>
      </c>
      <c r="AO237" s="20" t="inlineStr">
        <is>
          <t>Revisar</t>
        </is>
      </c>
      <c r="AP237" s="13" t="inlineStr"/>
      <c r="AQ237" s="13" t="inlineStr"/>
      <c r="AR237" s="15" t="inlineStr"/>
      <c r="AS237" s="15" t="inlineStr">
        <is>
          <t>NOTAS FISCAIS DE COMPRA JANEIRO 2026.pdf - p. 236</t>
        </is>
      </c>
    </row>
    <row r="238">
      <c r="A238" s="13" t="inlineStr">
        <is>
          <t>JAN26-P237</t>
        </is>
      </c>
      <c r="B238" s="13" t="n">
        <v>237</v>
      </c>
      <c r="C238" s="13" t="inlineStr">
        <is>
          <t>NF-e</t>
        </is>
      </c>
      <c r="D238" s="13" t="inlineStr"/>
      <c r="E238" s="13" t="inlineStr"/>
      <c r="F238" s="13" t="inlineStr"/>
      <c r="G238" s="25" t="n"/>
      <c r="H238" s="25" t="n"/>
      <c r="I238" s="13" t="inlineStr"/>
      <c r="J238" s="13" t="inlineStr">
        <is>
          <t>[Reccbeans de RAIMUNDO PIEROTE FILAIO ME cx prodine ica trv contains du Nota Fac Eten Valea wo as. WF.</t>
        </is>
      </c>
      <c r="K238" s="13" t="inlineStr"/>
      <c r="L238" s="13" t="inlineStr"/>
      <c r="M238" s="13" t="inlineStr"/>
      <c r="N238" s="13" t="inlineStr">
        <is>
          <t>Produtos</t>
        </is>
      </c>
      <c r="O238" s="13" t="inlineStr">
        <is>
          <t>Outros produtos</t>
        </is>
      </c>
      <c r="P238" s="15" t="inlineStr"/>
      <c r="Q238" s="16" t="n"/>
      <c r="R238" s="16" t="n"/>
      <c r="S238" s="16" t="n"/>
      <c r="T238" s="16" t="n"/>
      <c r="U238" s="16" t="n"/>
      <c r="V238" s="17" t="n"/>
      <c r="W238" s="16" t="n"/>
      <c r="X238" s="16" t="n"/>
      <c r="Y238" s="16" t="n"/>
      <c r="Z238" s="16" t="n"/>
      <c r="AA238" s="16" t="n"/>
      <c r="AB238" s="16" t="n"/>
      <c r="AC238" s="16" t="n"/>
      <c r="AD238" s="17" t="n"/>
      <c r="AE238" s="16" t="n"/>
      <c r="AF238" s="16" t="n"/>
      <c r="AG238" s="16" t="n"/>
      <c r="AH238" s="16" t="n"/>
      <c r="AI238" s="16" t="n"/>
      <c r="AJ238" s="16" t="n"/>
      <c r="AK238" s="16" t="n"/>
      <c r="AL238" s="16" t="n"/>
      <c r="AM238" s="13" t="inlineStr">
        <is>
          <t>Baixa</t>
        </is>
      </c>
      <c r="AN238" s="21" t="inlineStr">
        <is>
          <t>Revisar documento</t>
        </is>
      </c>
      <c r="AO238" s="20" t="inlineStr">
        <is>
          <t>Revisar</t>
        </is>
      </c>
      <c r="AP238" s="13" t="inlineStr"/>
      <c r="AQ238" s="13" t="inlineStr"/>
      <c r="AR238" s="15" t="inlineStr"/>
      <c r="AS238" s="15" t="inlineStr">
        <is>
          <t>NOTAS FISCAIS DE COMPRA JANEIRO 2026.pdf - p. 237</t>
        </is>
      </c>
    </row>
    <row r="239">
      <c r="A239" s="13" t="inlineStr">
        <is>
          <t>JAN26-P238</t>
        </is>
      </c>
      <c r="B239" s="13" t="n">
        <v>238</v>
      </c>
      <c r="C239" s="13" t="inlineStr">
        <is>
          <t>Outros/Documento</t>
        </is>
      </c>
      <c r="D239" s="13" t="inlineStr"/>
      <c r="E239" s="13" t="inlineStr"/>
      <c r="F239" s="13" t="inlineStr"/>
      <c r="G239" s="25" t="n"/>
      <c r="H239" s="25" t="n"/>
      <c r="I239" s="13" t="inlineStr"/>
      <c r="J239" s="13" t="inlineStr">
        <is>
          <t>pmol FE 1 | conan de mutate ne prt nacona da a wn cnc gor 0000 oa Saas Atos</t>
        </is>
      </c>
      <c r="K239" s="13" t="inlineStr"/>
      <c r="L239" s="13" t="inlineStr"/>
      <c r="M239" s="13" t="inlineStr"/>
      <c r="N239" s="13" t="inlineStr">
        <is>
          <t>Apoio</t>
        </is>
      </c>
      <c r="O239" s="13" t="inlineStr">
        <is>
          <t>Documento de apoio</t>
        </is>
      </c>
      <c r="P239" s="15" t="inlineStr"/>
      <c r="Q239" s="16" t="n"/>
      <c r="R239" s="16" t="n"/>
      <c r="S239" s="16" t="n"/>
      <c r="T239" s="16" t="n"/>
      <c r="U239" s="16" t="n"/>
      <c r="V239" s="17" t="n"/>
      <c r="W239" s="16" t="n"/>
      <c r="X239" s="16" t="n"/>
      <c r="Y239" s="16" t="n"/>
      <c r="Z239" s="16" t="n"/>
      <c r="AA239" s="16" t="n"/>
      <c r="AB239" s="16" t="n"/>
      <c r="AC239" s="16" t="n"/>
      <c r="AD239" s="17" t="n"/>
      <c r="AE239" s="16" t="n"/>
      <c r="AF239" s="16" t="n"/>
      <c r="AG239" s="16" t="n"/>
      <c r="AH239" s="16" t="n"/>
      <c r="AI239" s="16" t="n"/>
      <c r="AJ239" s="16" t="n"/>
      <c r="AK239" s="16" t="n"/>
      <c r="AL239" s="16" t="n"/>
      <c r="AM239" s="13" t="inlineStr">
        <is>
          <t>Baixa</t>
        </is>
      </c>
      <c r="AN239" s="13" t="inlineStr"/>
      <c r="AO239" s="19" t="inlineStr">
        <is>
          <t>Não</t>
        </is>
      </c>
      <c r="AP239" s="13" t="inlineStr"/>
      <c r="AQ239" s="13" t="inlineStr"/>
      <c r="AR239" s="15" t="inlineStr"/>
      <c r="AS239" s="15" t="inlineStr">
        <is>
          <t>NOTAS FISCAIS DE COMPRA JANEIRO 2026.pdf - p. 238</t>
        </is>
      </c>
    </row>
    <row r="240">
      <c r="A240" s="13" t="inlineStr">
        <is>
          <t>JAN26-P239</t>
        </is>
      </c>
      <c r="B240" s="13" t="n">
        <v>239</v>
      </c>
      <c r="C240" s="13" t="inlineStr">
        <is>
          <t>Outros/Documento</t>
        </is>
      </c>
      <c r="D240" s="13" t="inlineStr"/>
      <c r="E240" s="13" t="inlineStr"/>
      <c r="F240" s="13" t="inlineStr"/>
      <c r="G240" s="25" t="n"/>
      <c r="H240" s="25" t="n"/>
      <c r="I240" s="13" t="inlineStr"/>
      <c r="J240" s="13" t="inlineStr">
        <is>
          <t>V1~ Operagio no Realizada, menifastagio do destinalério raconhecdndo sux partcipagSo na operagio desezka na NF-e, mus dectarando qua a operagto 4</t>
        </is>
      </c>
      <c r="K240" s="13" t="inlineStr"/>
      <c r="L240" s="13" t="inlineStr"/>
      <c r="M240" s="13" t="inlineStr"/>
      <c r="N240" s="13" t="inlineStr">
        <is>
          <t>Apoio</t>
        </is>
      </c>
      <c r="O240" s="13" t="inlineStr">
        <is>
          <t>Documento de apoio</t>
        </is>
      </c>
      <c r="P240" s="15" t="inlineStr"/>
      <c r="Q240" s="16" t="n"/>
      <c r="R240" s="16" t="n"/>
      <c r="S240" s="16" t="n"/>
      <c r="T240" s="16" t="n"/>
      <c r="U240" s="16" t="n"/>
      <c r="V240" s="17" t="n"/>
      <c r="W240" s="16" t="n"/>
      <c r="X240" s="16" t="n"/>
      <c r="Y240" s="16" t="n"/>
      <c r="Z240" s="16" t="n"/>
      <c r="AA240" s="16" t="n"/>
      <c r="AB240" s="16" t="n"/>
      <c r="AC240" s="16" t="n"/>
      <c r="AD240" s="17" t="n"/>
      <c r="AE240" s="16" t="n"/>
      <c r="AF240" s="16" t="n"/>
      <c r="AG240" s="16" t="n"/>
      <c r="AH240" s="16" t="n"/>
      <c r="AI240" s="16" t="n"/>
      <c r="AJ240" s="16" t="n"/>
      <c r="AK240" s="16" t="n"/>
      <c r="AL240" s="16" t="n"/>
      <c r="AM240" s="13" t="inlineStr">
        <is>
          <t>Baixa</t>
        </is>
      </c>
      <c r="AN240" s="13" t="inlineStr"/>
      <c r="AO240" s="19" t="inlineStr">
        <is>
          <t>Não</t>
        </is>
      </c>
      <c r="AP240" s="13" t="inlineStr"/>
      <c r="AQ240" s="13" t="inlineStr"/>
      <c r="AR240" s="15" t="inlineStr"/>
      <c r="AS240" s="15" t="inlineStr">
        <is>
          <t>NOTAS FISCAIS DE COMPRA JANEIRO 2026.pdf - p. 239</t>
        </is>
      </c>
    </row>
    <row r="241">
      <c r="A241" s="13" t="inlineStr">
        <is>
          <t>JAN26-P240</t>
        </is>
      </c>
      <c r="B241" s="13" t="n">
        <v>240</v>
      </c>
      <c r="C241" s="13" t="inlineStr">
        <is>
          <t>Outros/Documento</t>
        </is>
      </c>
      <c r="D241" s="13" t="inlineStr"/>
      <c r="E241" s="13" t="inlineStr"/>
      <c r="F241" s="13" t="inlineStr"/>
      <c r="G241" s="25" t="n"/>
      <c r="H241" s="25" t="n"/>
      <c r="I241" s="13" t="inlineStr"/>
      <c r="J241" s="13" t="inlineStr">
        <is>
          <t>Gecmmcvananovrncoourocogmn —atttooomeey mee</t>
        </is>
      </c>
      <c r="K241" s="13" t="inlineStr"/>
      <c r="L241" s="13" t="inlineStr"/>
      <c r="M241" s="13" t="inlineStr"/>
      <c r="N241" s="13" t="inlineStr">
        <is>
          <t>Apoio</t>
        </is>
      </c>
      <c r="O241" s="13" t="inlineStr">
        <is>
          <t>Documento de apoio</t>
        </is>
      </c>
      <c r="P241" s="15" t="inlineStr"/>
      <c r="Q241" s="16" t="n"/>
      <c r="R241" s="16" t="n"/>
      <c r="S241" s="16" t="n"/>
      <c r="T241" s="16" t="n"/>
      <c r="U241" s="16" t="n"/>
      <c r="V241" s="17" t="n"/>
      <c r="W241" s="16" t="n"/>
      <c r="X241" s="16" t="n"/>
      <c r="Y241" s="16" t="n"/>
      <c r="Z241" s="16" t="n"/>
      <c r="AA241" s="16" t="n"/>
      <c r="AB241" s="16" t="n"/>
      <c r="AC241" s="16" t="n"/>
      <c r="AD241" s="17" t="n"/>
      <c r="AE241" s="16" t="n"/>
      <c r="AF241" s="16" t="n"/>
      <c r="AG241" s="16" t="n"/>
      <c r="AH241" s="16" t="n"/>
      <c r="AI241" s="16" t="n"/>
      <c r="AJ241" s="16" t="n"/>
      <c r="AK241" s="16" t="n"/>
      <c r="AL241" s="16" t="n"/>
      <c r="AM241" s="13" t="inlineStr">
        <is>
          <t>Baixa</t>
        </is>
      </c>
      <c r="AN241" s="13" t="inlineStr"/>
      <c r="AO241" s="19" t="inlineStr">
        <is>
          <t>Não</t>
        </is>
      </c>
      <c r="AP241" s="13" t="inlineStr"/>
      <c r="AQ241" s="13" t="inlineStr"/>
      <c r="AR241" s="15" t="inlineStr"/>
      <c r="AS241" s="15" t="inlineStr">
        <is>
          <t>NOTAS FISCAIS DE COMPRA JANEIRO 2026.pdf - p. 240</t>
        </is>
      </c>
    </row>
    <row r="242">
      <c r="A242" s="13" t="inlineStr">
        <is>
          <t>JAN26-P241</t>
        </is>
      </c>
      <c r="B242" s="13" t="n">
        <v>241</v>
      </c>
      <c r="C242" s="13" t="inlineStr">
        <is>
          <t>Outros/Documento</t>
        </is>
      </c>
      <c r="D242" s="13" t="inlineStr"/>
      <c r="E242" s="13" t="inlineStr"/>
      <c r="F242" s="13" t="inlineStr"/>
      <c r="G242" s="25" t="n"/>
      <c r="H242" s="25" t="n"/>
      <c r="I242" s="13" t="inlineStr"/>
      <c r="J242" s="13" t="inlineStr">
        <is>
          <t>«| Ros termos do Ar. 77, Pardgrafo Unico, Areno 6 da RICMSSC, as trereedaras constantes nesta Nota sca davaram de sar entregues pelo moto abaiko</t>
        </is>
      </c>
      <c r="K242" s="13" t="inlineStr"/>
      <c r="L242" s="13" t="inlineStr"/>
      <c r="M242" s="13" t="inlineStr"/>
      <c r="N242" s="13" t="inlineStr">
        <is>
          <t>Apoio</t>
        </is>
      </c>
      <c r="O242" s="13" t="inlineStr">
        <is>
          <t>Documento de apoio</t>
        </is>
      </c>
      <c r="P242" s="15" t="inlineStr"/>
      <c r="Q242" s="16" t="n"/>
      <c r="R242" s="16" t="n"/>
      <c r="S242" s="16" t="n"/>
      <c r="T242" s="16" t="n"/>
      <c r="U242" s="16" t="n"/>
      <c r="V242" s="17" t="n"/>
      <c r="W242" s="16" t="n"/>
      <c r="X242" s="16" t="n"/>
      <c r="Y242" s="16" t="n"/>
      <c r="Z242" s="16" t="n"/>
      <c r="AA242" s="16" t="n"/>
      <c r="AB242" s="16" t="n"/>
      <c r="AC242" s="16" t="n"/>
      <c r="AD242" s="17" t="n"/>
      <c r="AE242" s="16" t="n"/>
      <c r="AF242" s="16" t="n"/>
      <c r="AG242" s="16" t="n"/>
      <c r="AH242" s="16" t="n"/>
      <c r="AI242" s="16" t="n"/>
      <c r="AJ242" s="16" t="n"/>
      <c r="AK242" s="16" t="n"/>
      <c r="AL242" s="16" t="n"/>
      <c r="AM242" s="13" t="inlineStr">
        <is>
          <t>Baixa</t>
        </is>
      </c>
      <c r="AN242" s="13" t="inlineStr"/>
      <c r="AO242" s="19" t="inlineStr">
        <is>
          <t>Não</t>
        </is>
      </c>
      <c r="AP242" s="13" t="inlineStr"/>
      <c r="AQ242" s="13" t="inlineStr"/>
      <c r="AR242" s="15" t="inlineStr"/>
      <c r="AS242" s="15" t="inlineStr">
        <is>
          <t>NOTAS FISCAIS DE COMPRA JANEIRO 2026.pdf - p. 241</t>
        </is>
      </c>
    </row>
    <row r="243">
      <c r="A243" s="13" t="inlineStr">
        <is>
          <t>JAN26-P242</t>
        </is>
      </c>
      <c r="B243" s="13" t="n">
        <v>242</v>
      </c>
      <c r="C243" s="13" t="inlineStr">
        <is>
          <t>NF-e</t>
        </is>
      </c>
      <c r="D243" s="13" t="inlineStr"/>
      <c r="E243" s="13" t="inlineStr"/>
      <c r="F243" s="13" t="inlineStr"/>
      <c r="G243" s="25" t="n">
        <v>46051</v>
      </c>
      <c r="H243" s="25" t="n"/>
      <c r="I243" s="13" t="inlineStr"/>
      <c r="J243" s="13" t="inlineStr">
        <is>
          <t>L ‘TERESINA-P| Fome/Fax: 4882202782 pain wwntatacendagevine/porta ou ne a da Sotex Autorizaéore</t>
        </is>
      </c>
      <c r="K243" s="13" t="inlineStr"/>
      <c r="L243" s="13" t="inlineStr"/>
      <c r="M243" s="13" t="inlineStr"/>
      <c r="N243" s="13" t="inlineStr">
        <is>
          <t>Produtos</t>
        </is>
      </c>
      <c r="O243" s="13" t="inlineStr">
        <is>
          <t>Outros produtos</t>
        </is>
      </c>
      <c r="P243" s="15" t="inlineStr"/>
      <c r="Q243" s="16" t="n"/>
      <c r="R243" s="16" t="n"/>
      <c r="S243" s="16" t="n"/>
      <c r="T243" s="16" t="n"/>
      <c r="U243" s="16" t="n"/>
      <c r="V243" s="17" t="n"/>
      <c r="W243" s="16" t="n"/>
      <c r="X243" s="16" t="n"/>
      <c r="Y243" s="16" t="n"/>
      <c r="Z243" s="16" t="n"/>
      <c r="AA243" s="16" t="n"/>
      <c r="AB243" s="16" t="n"/>
      <c r="AC243" s="16" t="n"/>
      <c r="AD243" s="17" t="n"/>
      <c r="AE243" s="16" t="n"/>
      <c r="AF243" s="16" t="n"/>
      <c r="AG243" s="16" t="n"/>
      <c r="AH243" s="16" t="n"/>
      <c r="AI243" s="16" t="n"/>
      <c r="AJ243" s="16" t="n"/>
      <c r="AK243" s="16" t="n"/>
      <c r="AL243" s="16" t="n"/>
      <c r="AM243" s="13" t="inlineStr">
        <is>
          <t>Baixa</t>
        </is>
      </c>
      <c r="AN243" s="21" t="inlineStr">
        <is>
          <t>Revisar documento</t>
        </is>
      </c>
      <c r="AO243" s="20" t="inlineStr">
        <is>
          <t>Revisar</t>
        </is>
      </c>
      <c r="AP243" s="13" t="inlineStr"/>
      <c r="AQ243" s="13" t="inlineStr"/>
      <c r="AR243" s="15" t="inlineStr"/>
      <c r="AS243" s="15" t="inlineStr">
        <is>
          <t>NOTAS FISCAIS DE COMPRA JANEIRO 2026.pdf - p. 242</t>
        </is>
      </c>
    </row>
    <row r="244">
      <c r="A244" s="13" t="inlineStr">
        <is>
          <t>JAN26-P243</t>
        </is>
      </c>
      <c r="B244" s="13" t="n">
        <v>243</v>
      </c>
      <c r="C244" s="13" t="inlineStr">
        <is>
          <t>Outros/Documento</t>
        </is>
      </c>
      <c r="D244" s="13" t="inlineStr"/>
      <c r="E244" s="13" t="inlineStr"/>
      <c r="F244" s="13" t="inlineStr"/>
      <c r="G244" s="25" t="n"/>
      <c r="H244" s="25" t="n"/>
      <c r="I244" s="13" t="inlineStr"/>
      <c r="J244" s="13" t="inlineStr">
        <is>
          <t>hercodots ceonsbaca na ombresn EBAZAR COMER LTDA tatabewsoas ta via Fartave, SI. Bao Baro Daa, Lavo</t>
        </is>
      </c>
      <c r="K244" s="13" t="inlineStr"/>
      <c r="L244" s="13" t="inlineStr"/>
      <c r="M244" s="13" t="inlineStr"/>
      <c r="N244" s="13" t="inlineStr">
        <is>
          <t>Apoio</t>
        </is>
      </c>
      <c r="O244" s="13" t="inlineStr">
        <is>
          <t>Documento de apoio</t>
        </is>
      </c>
      <c r="P244" s="15" t="inlineStr"/>
      <c r="Q244" s="16" t="n"/>
      <c r="R244" s="16" t="n"/>
      <c r="S244" s="16" t="n"/>
      <c r="T244" s="16" t="n"/>
      <c r="U244" s="16" t="n"/>
      <c r="V244" s="17" t="n"/>
      <c r="W244" s="16" t="n"/>
      <c r="X244" s="16" t="n"/>
      <c r="Y244" s="16" t="n"/>
      <c r="Z244" s="16" t="n"/>
      <c r="AA244" s="16" t="n"/>
      <c r="AB244" s="16" t="n"/>
      <c r="AC244" s="16" t="n"/>
      <c r="AD244" s="17" t="n"/>
      <c r="AE244" s="16" t="n"/>
      <c r="AF244" s="16" t="n"/>
      <c r="AG244" s="16" t="n"/>
      <c r="AH244" s="16" t="n"/>
      <c r="AI244" s="16" t="n"/>
      <c r="AJ244" s="16" t="n"/>
      <c r="AK244" s="16" t="n"/>
      <c r="AL244" s="16" t="n"/>
      <c r="AM244" s="13" t="inlineStr">
        <is>
          <t>Baixa</t>
        </is>
      </c>
      <c r="AN244" s="13" t="inlineStr"/>
      <c r="AO244" s="19" t="inlineStr">
        <is>
          <t>Não</t>
        </is>
      </c>
      <c r="AP244" s="13" t="inlineStr"/>
      <c r="AQ244" s="13" t="inlineStr"/>
      <c r="AR244" s="15" t="inlineStr"/>
      <c r="AS244" s="15" t="inlineStr">
        <is>
          <t>NOTAS FISCAIS DE COMPRA JANEIRO 2026.pdf - p. 243</t>
        </is>
      </c>
    </row>
    <row r="245">
      <c r="A245" s="13" t="inlineStr">
        <is>
          <t>JAN26-P244</t>
        </is>
      </c>
      <c r="B245" s="13" t="n">
        <v>244</v>
      </c>
      <c r="C245" s="13" t="inlineStr">
        <is>
          <t>Outros/Documento</t>
        </is>
      </c>
      <c r="D245" s="13" t="inlineStr"/>
      <c r="E245" s="13" t="inlineStr"/>
      <c r="F245" s="13" t="inlineStr"/>
      <c r="G245" s="25" t="n"/>
      <c r="H245" s="25" t="n"/>
      <c r="I245" s="13" t="inlineStr"/>
      <c r="J245" s="13" t="inlineStr">
        <is>
          <t>eRe pp woe me or oes rs one mn wo cm om</t>
        </is>
      </c>
      <c r="K245" s="13" t="inlineStr"/>
      <c r="L245" s="13" t="inlineStr"/>
      <c r="M245" s="13" t="inlineStr"/>
      <c r="N245" s="13" t="inlineStr">
        <is>
          <t>Apoio</t>
        </is>
      </c>
      <c r="O245" s="13" t="inlineStr">
        <is>
          <t>Documento de apoio</t>
        </is>
      </c>
      <c r="P245" s="15" t="inlineStr"/>
      <c r="Q245" s="16" t="n"/>
      <c r="R245" s="16" t="n"/>
      <c r="S245" s="16" t="n"/>
      <c r="T245" s="16" t="n"/>
      <c r="U245" s="16" t="n"/>
      <c r="V245" s="17" t="n"/>
      <c r="W245" s="16" t="n"/>
      <c r="X245" s="16" t="n"/>
      <c r="Y245" s="16" t="n"/>
      <c r="Z245" s="16" t="n"/>
      <c r="AA245" s="16" t="n"/>
      <c r="AB245" s="16" t="n"/>
      <c r="AC245" s="16" t="n"/>
      <c r="AD245" s="17" t="n"/>
      <c r="AE245" s="16" t="n"/>
      <c r="AF245" s="16" t="n"/>
      <c r="AG245" s="16" t="n"/>
      <c r="AH245" s="16" t="n"/>
      <c r="AI245" s="16" t="n"/>
      <c r="AJ245" s="16" t="n"/>
      <c r="AK245" s="16" t="n"/>
      <c r="AL245" s="16" t="n"/>
      <c r="AM245" s="13" t="inlineStr">
        <is>
          <t>Baixa</t>
        </is>
      </c>
      <c r="AN245" s="13" t="inlineStr"/>
      <c r="AO245" s="19" t="inlineStr">
        <is>
          <t>Não</t>
        </is>
      </c>
      <c r="AP245" s="13" t="inlineStr"/>
      <c r="AQ245" s="13" t="inlineStr"/>
      <c r="AR245" s="15" t="inlineStr"/>
      <c r="AS245" s="15" t="inlineStr">
        <is>
          <t>NOTAS FISCAIS DE COMPRA JANEIRO 2026.pdf - p. 244</t>
        </is>
      </c>
    </row>
    <row r="246">
      <c r="A246" s="13" t="inlineStr">
        <is>
          <t>JAN26-P245</t>
        </is>
      </c>
      <c r="B246" s="13" t="n">
        <v>245</v>
      </c>
      <c r="C246" s="13" t="inlineStr">
        <is>
          <t>Separador/Anotacao</t>
        </is>
      </c>
      <c r="D246" s="13" t="inlineStr"/>
      <c r="E246" s="13" t="inlineStr"/>
      <c r="F246" s="13" t="inlineStr"/>
      <c r="G246" s="25" t="n"/>
      <c r="H246" s="25" t="n"/>
      <c r="I246" s="13" t="inlineStr"/>
      <c r="J246" s="13" t="inlineStr"/>
      <c r="K246" s="13" t="inlineStr"/>
      <c r="L246" s="13" t="inlineStr"/>
      <c r="M246" s="13" t="inlineStr"/>
      <c r="N246" s="13" t="inlineStr">
        <is>
          <t>Apoio</t>
        </is>
      </c>
      <c r="O246" s="13" t="inlineStr">
        <is>
          <t>Documento de apoio</t>
        </is>
      </c>
      <c r="P246" s="15" t="inlineStr"/>
      <c r="Q246" s="16" t="n"/>
      <c r="R246" s="16" t="n"/>
      <c r="S246" s="16" t="n"/>
      <c r="T246" s="16" t="n"/>
      <c r="U246" s="16" t="n"/>
      <c r="V246" s="17" t="n"/>
      <c r="W246" s="16" t="n"/>
      <c r="X246" s="16" t="n"/>
      <c r="Y246" s="16" t="n"/>
      <c r="Z246" s="16" t="n"/>
      <c r="AA246" s="16" t="n"/>
      <c r="AB246" s="16" t="n"/>
      <c r="AC246" s="16" t="n"/>
      <c r="AD246" s="17" t="n"/>
      <c r="AE246" s="16" t="n"/>
      <c r="AF246" s="16" t="n"/>
      <c r="AG246" s="16" t="n"/>
      <c r="AH246" s="16" t="n"/>
      <c r="AI246" s="16" t="n"/>
      <c r="AJ246" s="16" t="n"/>
      <c r="AK246" s="16" t="n"/>
      <c r="AL246" s="16" t="n"/>
      <c r="AM246" s="13" t="inlineStr">
        <is>
          <t>Baixa</t>
        </is>
      </c>
      <c r="AN246" s="13" t="inlineStr"/>
      <c r="AO246" s="19" t="inlineStr">
        <is>
          <t>Não</t>
        </is>
      </c>
      <c r="AP246" s="13" t="inlineStr"/>
      <c r="AQ246" s="13" t="inlineStr"/>
      <c r="AR246" s="15" t="inlineStr"/>
      <c r="AS246" s="15" t="inlineStr">
        <is>
          <t>NOTAS FISCAIS DE COMPRA JANEIRO 2026.pdf - p. 245</t>
        </is>
      </c>
    </row>
    <row r="247">
      <c r="A247" s="13" t="inlineStr">
        <is>
          <t>JAN26-P246</t>
        </is>
      </c>
      <c r="B247" s="13" t="n">
        <v>246</v>
      </c>
      <c r="C247" s="13" t="inlineStr">
        <is>
          <t>NFS-e</t>
        </is>
      </c>
      <c r="D247" s="13" t="inlineStr"/>
      <c r="E247" s="13" t="inlineStr">
        <is>
          <t>97351/U</t>
        </is>
      </c>
      <c r="F247" s="13" t="inlineStr"/>
      <c r="G247" s="25" t="n">
        <v>46015</v>
      </c>
      <c r="H247" s="25" t="n"/>
      <c r="I247" s="13" t="inlineStr"/>
      <c r="J247" s="13" t="inlineStr">
        <is>
          <t>CACIQUE PNEUS INDUSTRIA E COMERCIO LTDA</t>
        </is>
      </c>
      <c r="K247" s="13" t="inlineStr"/>
      <c r="L247" s="13" t="inlineStr">
        <is>
          <t>23.655.038/0002-89</t>
        </is>
      </c>
      <c r="M247" s="13" t="inlineStr">
        <is>
          <t>SKAL /0002</t>
        </is>
      </c>
      <c r="N247" s="13" t="inlineStr">
        <is>
          <t>Serviços</t>
        </is>
      </c>
      <c r="O247" s="13" t="inlineStr">
        <is>
          <t>Recauchutagem de pneus</t>
        </is>
      </c>
      <c r="P247" s="15" t="inlineStr">
        <is>
          <t>Recauchutagem/regeneração de pneus.</t>
        </is>
      </c>
      <c r="Q247" s="16" t="n">
        <v>2104.68</v>
      </c>
      <c r="R247" s="16" t="n"/>
      <c r="S247" s="16" t="n"/>
      <c r="T247" s="16" t="n"/>
      <c r="U247" s="16" t="n"/>
      <c r="V247" s="17" t="n"/>
      <c r="W247" s="16" t="n"/>
      <c r="X247" s="16" t="n"/>
      <c r="Y247" s="16" t="n"/>
      <c r="Z247" s="16" t="n"/>
      <c r="AA247" s="16" t="n"/>
      <c r="AB247" s="16" t="n"/>
      <c r="AC247" s="16" t="n"/>
      <c r="AD247" s="17" t="n"/>
      <c r="AE247" s="16" t="n">
        <v>105.23</v>
      </c>
      <c r="AF247" s="16" t="n"/>
      <c r="AG247" s="16" t="n"/>
      <c r="AH247" s="16" t="n"/>
      <c r="AI247" s="16" t="n"/>
      <c r="AJ247" s="16" t="n"/>
      <c r="AK247" s="16" t="n"/>
      <c r="AL247" s="16" t="n"/>
      <c r="AM247" s="13" t="inlineStr">
        <is>
          <t>Baixa</t>
        </is>
      </c>
      <c r="AN247" s="13" t="inlineStr"/>
      <c r="AO247" s="18" t="inlineStr">
        <is>
          <t>Sim</t>
        </is>
      </c>
      <c r="AP247" s="13" t="inlineStr"/>
      <c r="AQ247" s="13" t="inlineStr"/>
      <c r="AR247" s="15" t="inlineStr"/>
      <c r="AS247" s="15" t="inlineStr">
        <is>
          <t>NOTAS FISCAIS DE COMPRA JANEIRO 2026.pdf - p. 246</t>
        </is>
      </c>
    </row>
    <row r="248">
      <c r="A248" s="13" t="inlineStr">
        <is>
          <t>JAN26-P247</t>
        </is>
      </c>
      <c r="B248" s="13" t="n">
        <v>247</v>
      </c>
      <c r="C248" s="13" t="inlineStr">
        <is>
          <t>NFS-e</t>
        </is>
      </c>
      <c r="D248" s="13" t="inlineStr"/>
      <c r="E248" s="13" t="inlineStr">
        <is>
          <t>35</t>
        </is>
      </c>
      <c r="F248" s="13" t="inlineStr"/>
      <c r="G248" s="25" t="n">
        <v>46044</v>
      </c>
      <c r="H248" s="25" t="n"/>
      <c r="I248" s="13" t="inlineStr"/>
      <c r="J248" s="13" t="inlineStr">
        <is>
          <t>MARCOS JOSE FONTANA HANUS</t>
        </is>
      </c>
      <c r="K248" s="13" t="inlineStr">
        <is>
          <t>57.460.869/0001-36</t>
        </is>
      </c>
      <c r="L248" s="13" t="inlineStr">
        <is>
          <t>23.655.038/0002-89</t>
        </is>
      </c>
      <c r="M248" s="13" t="inlineStr">
        <is>
          <t>SKAL /0002</t>
        </is>
      </c>
      <c r="N248" s="13" t="inlineStr">
        <is>
          <t>Serviços</t>
        </is>
      </c>
      <c r="O248" s="13" t="inlineStr">
        <is>
          <t>Hospedagem</t>
        </is>
      </c>
      <c r="P248" s="15" t="inlineStr">
        <is>
          <t>Hospedagem 21/01 a 23/01/2026.</t>
        </is>
      </c>
      <c r="Q248" s="16" t="n">
        <v>440</v>
      </c>
      <c r="R248" s="16" t="n"/>
      <c r="S248" s="16" t="n"/>
      <c r="T248" s="16" t="n"/>
      <c r="U248" s="16" t="n"/>
      <c r="V248" s="17" t="n"/>
      <c r="W248" s="16" t="n"/>
      <c r="X248" s="16" t="n"/>
      <c r="Y248" s="16" t="n"/>
      <c r="Z248" s="16" t="n"/>
      <c r="AA248" s="16" t="n"/>
      <c r="AB248" s="16" t="n"/>
      <c r="AC248" s="16" t="n"/>
      <c r="AD248" s="17" t="n"/>
      <c r="AE248" s="16" t="n"/>
      <c r="AF248" s="16" t="n"/>
      <c r="AG248" s="16" t="n"/>
      <c r="AH248" s="16" t="n"/>
      <c r="AI248" s="16" t="n"/>
      <c r="AJ248" s="16" t="n"/>
      <c r="AK248" s="16" t="n"/>
      <c r="AL248" s="16" t="n"/>
      <c r="AM248" s="13" t="inlineStr">
        <is>
          <t>Media</t>
        </is>
      </c>
      <c r="AN248" s="13" t="inlineStr"/>
      <c r="AO248" s="18" t="inlineStr">
        <is>
          <t>Sim</t>
        </is>
      </c>
      <c r="AP248" s="13" t="inlineStr"/>
      <c r="AQ248" s="13" t="inlineStr"/>
      <c r="AR248" s="15" t="inlineStr"/>
      <c r="AS248" s="15" t="inlineStr">
        <is>
          <t>NOTAS FISCAIS DE COMPRA JANEIRO 2026.pdf - p. 247</t>
        </is>
      </c>
    </row>
    <row r="249">
      <c r="A249" s="13" t="inlineStr">
        <is>
          <t>JAN26-P248</t>
        </is>
      </c>
      <c r="B249" s="13" t="n">
        <v>248</v>
      </c>
      <c r="C249" s="13" t="inlineStr">
        <is>
          <t>Outros/Documento</t>
        </is>
      </c>
      <c r="D249" s="13" t="inlineStr"/>
      <c r="E249" s="13" t="inlineStr"/>
      <c r="F249" s="13" t="inlineStr"/>
      <c r="G249" s="25" t="n">
        <v>46002</v>
      </c>
      <c r="H249" s="25" t="n"/>
      <c r="I249" s="13" t="inlineStr"/>
      <c r="J249" s="13" t="inlineStr">
        <is>
          <t>REFERENTS A SERVIQOS DE PUBLICIOABE PRESTADOS PARA A SEAL ENGENMARTA INDIESTRIA E-COMERCIO LTDA.</t>
        </is>
      </c>
      <c r="K249" s="13" t="inlineStr">
        <is>
          <t>01.612.587/0001-52</t>
        </is>
      </c>
      <c r="L249" s="13" t="inlineStr"/>
      <c r="M249" s="13" t="inlineStr"/>
      <c r="N249" s="13" t="inlineStr">
        <is>
          <t>Apoio</t>
        </is>
      </c>
      <c r="O249" s="13" t="inlineStr">
        <is>
          <t>Documento de apoio</t>
        </is>
      </c>
      <c r="P249" s="15" t="inlineStr"/>
      <c r="Q249" s="16" t="n"/>
      <c r="R249" s="16" t="n"/>
      <c r="S249" s="16" t="n"/>
      <c r="T249" s="16" t="n"/>
      <c r="U249" s="16" t="n"/>
      <c r="V249" s="17" t="n"/>
      <c r="W249" s="16" t="n"/>
      <c r="X249" s="16" t="n"/>
      <c r="Y249" s="16" t="n"/>
      <c r="Z249" s="16" t="n"/>
      <c r="AA249" s="16" t="n"/>
      <c r="AB249" s="16" t="n"/>
      <c r="AC249" s="16" t="n"/>
      <c r="AD249" s="17" t="n"/>
      <c r="AE249" s="16" t="n"/>
      <c r="AF249" s="16" t="n"/>
      <c r="AG249" s="16" t="n"/>
      <c r="AH249" s="16" t="n"/>
      <c r="AI249" s="16" t="n"/>
      <c r="AJ249" s="16" t="n"/>
      <c r="AK249" s="16" t="n"/>
      <c r="AL249" s="16" t="n"/>
      <c r="AM249" s="13" t="inlineStr">
        <is>
          <t>Media</t>
        </is>
      </c>
      <c r="AN249" s="13" t="inlineStr"/>
      <c r="AO249" s="19" t="inlineStr">
        <is>
          <t>Não</t>
        </is>
      </c>
      <c r="AP249" s="13" t="inlineStr"/>
      <c r="AQ249" s="13" t="inlineStr"/>
      <c r="AR249" s="15" t="inlineStr"/>
      <c r="AS249" s="15" t="inlineStr">
        <is>
          <t>NOTAS FISCAIS DE COMPRA JANEIRO 2026.pdf - p. 248</t>
        </is>
      </c>
    </row>
    <row r="250">
      <c r="A250" s="13" t="inlineStr">
        <is>
          <t>JAN26-P249</t>
        </is>
      </c>
      <c r="B250" s="13" t="n">
        <v>249</v>
      </c>
      <c r="C250" s="13" t="inlineStr">
        <is>
          <t>NFS-e</t>
        </is>
      </c>
      <c r="D250" s="13" t="inlineStr"/>
      <c r="E250" s="13" t="inlineStr">
        <is>
          <t>382/U</t>
        </is>
      </c>
      <c r="F250" s="13" t="inlineStr"/>
      <c r="G250" s="25" t="n">
        <v>46041</v>
      </c>
      <c r="H250" s="25" t="n"/>
      <c r="I250" s="13" t="inlineStr"/>
      <c r="J250" s="13" t="inlineStr">
        <is>
          <t>FRANCISCO DAS CHAGAS BISPO DE ARAUJO JUNIOR</t>
        </is>
      </c>
      <c r="K250" s="13" t="inlineStr">
        <is>
          <t>30.729.559/0001-18</t>
        </is>
      </c>
      <c r="L250" s="13" t="inlineStr">
        <is>
          <t>23.655.038/0002-89</t>
        </is>
      </c>
      <c r="M250" s="13" t="inlineStr">
        <is>
          <t>SKAL /0002</t>
        </is>
      </c>
      <c r="N250" s="13" t="inlineStr">
        <is>
          <t>Serviços</t>
        </is>
      </c>
      <c r="O250" s="13" t="inlineStr">
        <is>
          <t>Manutenção/retífica</t>
        </is>
      </c>
      <c r="P250" s="15" t="inlineStr">
        <is>
          <t>Manutenção/reparo motor Cummins / retífica.</t>
        </is>
      </c>
      <c r="Q250" s="16" t="n">
        <v>14000</v>
      </c>
      <c r="R250" s="16" t="n"/>
      <c r="S250" s="16" t="n"/>
      <c r="T250" s="16" t="n"/>
      <c r="U250" s="16" t="n"/>
      <c r="V250" s="17" t="n"/>
      <c r="W250" s="16" t="n"/>
      <c r="X250" s="16" t="n"/>
      <c r="Y250" s="16" t="n"/>
      <c r="Z250" s="16" t="n"/>
      <c r="AA250" s="16" t="n"/>
      <c r="AB250" s="16" t="n"/>
      <c r="AC250" s="16" t="n"/>
      <c r="AD250" s="17" t="n"/>
      <c r="AE250" s="16" t="n">
        <v>700</v>
      </c>
      <c r="AF250" s="16" t="n"/>
      <c r="AG250" s="16" t="n"/>
      <c r="AH250" s="16" t="n"/>
      <c r="AI250" s="16" t="n"/>
      <c r="AJ250" s="16" t="n"/>
      <c r="AK250" s="16" t="n"/>
      <c r="AL250" s="16" t="n"/>
      <c r="AM250" s="13" t="inlineStr">
        <is>
          <t>Media</t>
        </is>
      </c>
      <c r="AN250" s="13" t="inlineStr"/>
      <c r="AO250" s="18" t="inlineStr">
        <is>
          <t>Sim</t>
        </is>
      </c>
      <c r="AP250" s="13" t="inlineStr"/>
      <c r="AQ250" s="13" t="inlineStr"/>
      <c r="AR250" s="15" t="inlineStr"/>
      <c r="AS250" s="15" t="inlineStr">
        <is>
          <t>NOTAS FISCAIS DE COMPRA JANEIRO 2026.pdf - p. 249</t>
        </is>
      </c>
    </row>
    <row r="251">
      <c r="A251" s="13" t="inlineStr">
        <is>
          <t>JAN26-P250</t>
        </is>
      </c>
      <c r="B251" s="13" t="n">
        <v>250</v>
      </c>
      <c r="C251" s="13" t="inlineStr">
        <is>
          <t>NFS-e</t>
        </is>
      </c>
      <c r="D251" s="13" t="inlineStr"/>
      <c r="E251" s="13" t="inlineStr">
        <is>
          <t>383/U</t>
        </is>
      </c>
      <c r="F251" s="13" t="inlineStr"/>
      <c r="G251" s="25" t="n">
        <v>46041</v>
      </c>
      <c r="H251" s="25" t="n"/>
      <c r="I251" s="13" t="inlineStr"/>
      <c r="J251" s="13" t="inlineStr">
        <is>
          <t>FRANCISCO DAS CHAGAS BISPO DE ARAUJO JUNIOR</t>
        </is>
      </c>
      <c r="K251" s="13" t="inlineStr">
        <is>
          <t>30.729.559/0001-18</t>
        </is>
      </c>
      <c r="L251" s="13" t="inlineStr">
        <is>
          <t>23.655.038/0002-89</t>
        </is>
      </c>
      <c r="M251" s="13" t="inlineStr">
        <is>
          <t>SKAL /0002</t>
        </is>
      </c>
      <c r="N251" s="13" t="inlineStr">
        <is>
          <t>Serviços</t>
        </is>
      </c>
      <c r="O251" s="13" t="inlineStr">
        <is>
          <t>Manutenção/retífica</t>
        </is>
      </c>
      <c r="P251" s="15" t="inlineStr">
        <is>
          <t>Serviço do cabeçote.</t>
        </is>
      </c>
      <c r="Q251" s="16" t="n">
        <v>800</v>
      </c>
      <c r="R251" s="16" t="n"/>
      <c r="S251" s="16" t="n"/>
      <c r="T251" s="16" t="n"/>
      <c r="U251" s="16" t="n"/>
      <c r="V251" s="17" t="n"/>
      <c r="W251" s="16" t="n"/>
      <c r="X251" s="16" t="n"/>
      <c r="Y251" s="16" t="n"/>
      <c r="Z251" s="16" t="n"/>
      <c r="AA251" s="16" t="n">
        <v>0.5</v>
      </c>
      <c r="AB251" s="16" t="n">
        <v>0.5</v>
      </c>
      <c r="AC251" s="16" t="n"/>
      <c r="AD251" s="17" t="n"/>
      <c r="AE251" s="16" t="n">
        <v>40</v>
      </c>
      <c r="AF251" s="16" t="n"/>
      <c r="AG251" s="16" t="n"/>
      <c r="AH251" s="16" t="n"/>
      <c r="AI251" s="16" t="n"/>
      <c r="AJ251" s="16" t="n"/>
      <c r="AK251" s="16" t="n"/>
      <c r="AL251" s="16" t="n"/>
      <c r="AM251" s="13" t="inlineStr">
        <is>
          <t>Media</t>
        </is>
      </c>
      <c r="AN251" s="13" t="inlineStr"/>
      <c r="AO251" s="18" t="inlineStr">
        <is>
          <t>Sim</t>
        </is>
      </c>
      <c r="AP251" s="13" t="inlineStr"/>
      <c r="AQ251" s="13" t="inlineStr"/>
      <c r="AR251" s="15" t="inlineStr"/>
      <c r="AS251" s="15" t="inlineStr">
        <is>
          <t>NOTAS FISCAIS DE COMPRA JANEIRO 2026.pdf - p. 250</t>
        </is>
      </c>
    </row>
    <row r="252">
      <c r="A252" s="13" t="inlineStr">
        <is>
          <t>JAN26-P251</t>
        </is>
      </c>
      <c r="B252" s="13" t="n">
        <v>251</v>
      </c>
      <c r="C252" s="13" t="inlineStr">
        <is>
          <t>NFS-e</t>
        </is>
      </c>
      <c r="D252" s="13" t="inlineStr"/>
      <c r="E252" s="13" t="inlineStr">
        <is>
          <t>26589/U</t>
        </is>
      </c>
      <c r="F252" s="13" t="inlineStr"/>
      <c r="G252" s="25" t="n">
        <v>46041</v>
      </c>
      <c r="H252" s="25" t="n"/>
      <c r="I252" s="13" t="inlineStr"/>
      <c r="J252" s="13" t="inlineStr">
        <is>
          <t>ATHOS MED SERVICOS EM SAUDE - LTDA</t>
        </is>
      </c>
      <c r="K252" s="13" t="inlineStr">
        <is>
          <t>19.480.050/0001-41</t>
        </is>
      </c>
      <c r="L252" s="13" t="inlineStr">
        <is>
          <t>23.655.038/0002-89</t>
        </is>
      </c>
      <c r="M252" s="13" t="inlineStr">
        <is>
          <t>SKAL /0002</t>
        </is>
      </c>
      <c r="N252" s="13" t="inlineStr">
        <is>
          <t>Serviços</t>
        </is>
      </c>
      <c r="O252" s="13" t="inlineStr">
        <is>
          <t>Saúde ocupacional</t>
        </is>
      </c>
      <c r="P252" s="15" t="inlineStr">
        <is>
          <t>Exames complementares de saúde ocupacional.</t>
        </is>
      </c>
      <c r="Q252" s="16" t="n">
        <v>5922</v>
      </c>
      <c r="R252" s="16" t="n"/>
      <c r="S252" s="16" t="n"/>
      <c r="T252" s="16" t="n"/>
      <c r="U252" s="16" t="n"/>
      <c r="V252" s="17" t="n"/>
      <c r="W252" s="16" t="n"/>
      <c r="X252" s="16" t="n"/>
      <c r="Y252" s="16" t="n"/>
      <c r="Z252" s="16" t="n"/>
      <c r="AA252" s="16" t="n"/>
      <c r="AB252" s="16" t="n"/>
      <c r="AC252" s="16" t="n"/>
      <c r="AD252" s="17" t="n"/>
      <c r="AE252" s="16" t="n">
        <v>177.66</v>
      </c>
      <c r="AF252" s="16" t="n">
        <v>88.83</v>
      </c>
      <c r="AG252" s="16" t="n">
        <v>59.22</v>
      </c>
      <c r="AH252" s="16" t="n">
        <v>38.49</v>
      </c>
      <c r="AI252" s="16" t="n">
        <v>177.66</v>
      </c>
      <c r="AJ252" s="16" t="n"/>
      <c r="AK252" s="16" t="n">
        <v>5557.8</v>
      </c>
      <c r="AL252" s="16" t="n"/>
      <c r="AM252" s="13" t="inlineStr">
        <is>
          <t>Media</t>
        </is>
      </c>
      <c r="AN252" s="13" t="inlineStr"/>
      <c r="AO252" s="18" t="inlineStr">
        <is>
          <t>Sim</t>
        </is>
      </c>
      <c r="AP252" s="13" t="inlineStr"/>
      <c r="AQ252" s="13" t="inlineStr"/>
      <c r="AR252" s="15" t="inlineStr"/>
      <c r="AS252" s="15" t="inlineStr">
        <is>
          <t>NOTAS FISCAIS DE COMPRA JANEIRO 2026.pdf - p. 251</t>
        </is>
      </c>
    </row>
    <row r="253">
      <c r="A253" s="13" t="inlineStr">
        <is>
          <t>JAN26-P252</t>
        </is>
      </c>
      <c r="B253" s="13" t="n">
        <v>252</v>
      </c>
      <c r="C253" s="13" t="inlineStr">
        <is>
          <t>NFS-e</t>
        </is>
      </c>
      <c r="D253" s="13" t="inlineStr"/>
      <c r="E253" s="13" t="inlineStr"/>
      <c r="F253" s="13" t="inlineStr"/>
      <c r="G253" s="25" t="n"/>
      <c r="H253" s="25" t="n"/>
      <c r="I253" s="13" t="inlineStr"/>
      <c r="J253" s="13" t="inlineStr">
        <is>
          <t>jlorentea autora de 2" Siperisto Gini ¢ .)</t>
        </is>
      </c>
      <c r="K253" s="13" t="inlineStr"/>
      <c r="L253" s="13" t="inlineStr"/>
      <c r="M253" s="13" t="inlineStr"/>
      <c r="N253" s="13" t="inlineStr">
        <is>
          <t>Servicos</t>
        </is>
      </c>
      <c r="O253" s="13" t="inlineStr">
        <is>
          <t>Outros servicos</t>
        </is>
      </c>
      <c r="P253" s="15" t="inlineStr"/>
      <c r="Q253" s="16" t="n"/>
      <c r="R253" s="16" t="n"/>
      <c r="S253" s="16" t="n"/>
      <c r="T253" s="16" t="n"/>
      <c r="U253" s="16" t="n"/>
      <c r="V253" s="17" t="n"/>
      <c r="W253" s="16" t="n"/>
      <c r="X253" s="16" t="n"/>
      <c r="Y253" s="16" t="n"/>
      <c r="Z253" s="16" t="n"/>
      <c r="AA253" s="16" t="n"/>
      <c r="AB253" s="16" t="n"/>
      <c r="AC253" s="16" t="n"/>
      <c r="AD253" s="17" t="n"/>
      <c r="AE253" s="16" t="n"/>
      <c r="AF253" s="16" t="n"/>
      <c r="AG253" s="16" t="n"/>
      <c r="AH253" s="16" t="n"/>
      <c r="AI253" s="16" t="n"/>
      <c r="AJ253" s="16" t="n"/>
      <c r="AK253" s="16" t="n"/>
      <c r="AL253" s="16" t="n"/>
      <c r="AM253" s="13" t="inlineStr">
        <is>
          <t>Baixa</t>
        </is>
      </c>
      <c r="AN253" s="21" t="inlineStr">
        <is>
          <t>Revisar documento</t>
        </is>
      </c>
      <c r="AO253" s="20" t="inlineStr">
        <is>
          <t>Revisar</t>
        </is>
      </c>
      <c r="AP253" s="13" t="inlineStr"/>
      <c r="AQ253" s="13" t="inlineStr"/>
      <c r="AR253" s="15" t="inlineStr"/>
      <c r="AS253" s="15" t="inlineStr">
        <is>
          <t>NOTAS FISCAIS DE COMPRA JANEIRO 2026.pdf - p. 252</t>
        </is>
      </c>
    </row>
    <row r="254">
      <c r="A254" s="13" t="inlineStr">
        <is>
          <t>JAN26-P253</t>
        </is>
      </c>
      <c r="B254" s="13" t="n">
        <v>253</v>
      </c>
      <c r="C254" s="13" t="inlineStr">
        <is>
          <t>NFS-e</t>
        </is>
      </c>
      <c r="D254" s="13" t="inlineStr"/>
      <c r="E254" s="13" t="inlineStr">
        <is>
          <t>23</t>
        </is>
      </c>
      <c r="F254" s="13" t="inlineStr"/>
      <c r="G254" s="25" t="n">
        <v>46042</v>
      </c>
      <c r="H254" s="25" t="n"/>
      <c r="I254" s="13" t="inlineStr"/>
      <c r="J254" s="13" t="inlineStr">
        <is>
          <t>MARCOS JOSE FONTANA HANUS</t>
        </is>
      </c>
      <c r="K254" s="13" t="inlineStr">
        <is>
          <t>57.460.869/0001-36</t>
        </is>
      </c>
      <c r="L254" s="13" t="inlineStr">
        <is>
          <t>23.655.038/0002-89</t>
        </is>
      </c>
      <c r="M254" s="13" t="inlineStr">
        <is>
          <t>SKAL /0002</t>
        </is>
      </c>
      <c r="N254" s="13" t="inlineStr">
        <is>
          <t>Serviços</t>
        </is>
      </c>
      <c r="O254" s="13" t="inlineStr">
        <is>
          <t>Hospedagem</t>
        </is>
      </c>
      <c r="P254" s="15" t="inlineStr">
        <is>
          <t>Hospedagem 19/01 a 21/01/2026.</t>
        </is>
      </c>
      <c r="Q254" s="16" t="n">
        <v>440</v>
      </c>
      <c r="R254" s="16" t="n"/>
      <c r="S254" s="16" t="n"/>
      <c r="T254" s="16" t="n"/>
      <c r="U254" s="16" t="n"/>
      <c r="V254" s="17" t="n"/>
      <c r="W254" s="16" t="n"/>
      <c r="X254" s="16" t="n"/>
      <c r="Y254" s="16" t="n"/>
      <c r="Z254" s="16" t="n"/>
      <c r="AA254" s="16" t="n">
        <v>440</v>
      </c>
      <c r="AB254" s="16" t="n"/>
      <c r="AC254" s="16" t="n"/>
      <c r="AD254" s="17" t="n"/>
      <c r="AE254" s="16" t="n"/>
      <c r="AF254" s="16" t="n"/>
      <c r="AG254" s="16" t="n"/>
      <c r="AH254" s="16" t="n"/>
      <c r="AI254" s="16" t="n"/>
      <c r="AJ254" s="16" t="n"/>
      <c r="AK254" s="16" t="n"/>
      <c r="AL254" s="16" t="n"/>
      <c r="AM254" s="13" t="inlineStr">
        <is>
          <t>Media</t>
        </is>
      </c>
      <c r="AN254" s="13" t="inlineStr"/>
      <c r="AO254" s="18" t="inlineStr">
        <is>
          <t>Sim</t>
        </is>
      </c>
      <c r="AP254" s="13" t="inlineStr"/>
      <c r="AQ254" s="13" t="inlineStr"/>
      <c r="AR254" s="15" t="inlineStr"/>
      <c r="AS254" s="15" t="inlineStr">
        <is>
          <t>NOTAS FISCAIS DE COMPRA JANEIRO 2026.pdf - p. 253</t>
        </is>
      </c>
    </row>
    <row r="255">
      <c r="A255" s="13" t="inlineStr">
        <is>
          <t>JAN26-P254</t>
        </is>
      </c>
      <c r="B255" s="13" t="n">
        <v>254</v>
      </c>
      <c r="C255" s="13" t="inlineStr">
        <is>
          <t>Separador/Anotacao</t>
        </is>
      </c>
      <c r="D255" s="13" t="inlineStr"/>
      <c r="E255" s="13" t="inlineStr"/>
      <c r="F255" s="13" t="inlineStr"/>
      <c r="G255" s="25" t="n"/>
      <c r="H255" s="25" t="n"/>
      <c r="I255" s="13" t="inlineStr"/>
      <c r="J255" s="13" t="inlineStr"/>
      <c r="K255" s="13" t="inlineStr"/>
      <c r="L255" s="13" t="inlineStr"/>
      <c r="M255" s="13" t="inlineStr"/>
      <c r="N255" s="13" t="inlineStr">
        <is>
          <t>Apoio</t>
        </is>
      </c>
      <c r="O255" s="13" t="inlineStr">
        <is>
          <t>Documento de apoio</t>
        </is>
      </c>
      <c r="P255" s="15" t="inlineStr"/>
      <c r="Q255" s="16" t="n"/>
      <c r="R255" s="16" t="n"/>
      <c r="S255" s="16" t="n"/>
      <c r="T255" s="16" t="n"/>
      <c r="U255" s="16" t="n"/>
      <c r="V255" s="17" t="n"/>
      <c r="W255" s="16" t="n"/>
      <c r="X255" s="16" t="n"/>
      <c r="Y255" s="16" t="n"/>
      <c r="Z255" s="16" t="n"/>
      <c r="AA255" s="16" t="n"/>
      <c r="AB255" s="16" t="n"/>
      <c r="AC255" s="16" t="n"/>
      <c r="AD255" s="17" t="n"/>
      <c r="AE255" s="16" t="n"/>
      <c r="AF255" s="16" t="n"/>
      <c r="AG255" s="16" t="n"/>
      <c r="AH255" s="16" t="n"/>
      <c r="AI255" s="16" t="n"/>
      <c r="AJ255" s="16" t="n"/>
      <c r="AK255" s="16" t="n"/>
      <c r="AL255" s="16" t="n"/>
      <c r="AM255" s="13" t="inlineStr">
        <is>
          <t>Baixa</t>
        </is>
      </c>
      <c r="AN255" s="13" t="inlineStr"/>
      <c r="AO255" s="19" t="inlineStr">
        <is>
          <t>Não</t>
        </is>
      </c>
      <c r="AP255" s="13" t="inlineStr"/>
      <c r="AQ255" s="13" t="inlineStr"/>
      <c r="AR255" s="15" t="inlineStr"/>
      <c r="AS255" s="15" t="inlineStr">
        <is>
          <t>NOTAS FISCAIS DE COMPRA JANEIRO 2026.pdf - p. 254</t>
        </is>
      </c>
    </row>
    <row r="256">
      <c r="A256" s="13" t="inlineStr">
        <is>
          <t>JAN26-P255</t>
        </is>
      </c>
      <c r="B256" s="13" t="n">
        <v>255</v>
      </c>
      <c r="C256" s="13" t="inlineStr">
        <is>
          <t>NF-e</t>
        </is>
      </c>
      <c r="D256" s="13" t="inlineStr"/>
      <c r="E256" s="13" t="inlineStr"/>
      <c r="F256" s="13" t="inlineStr"/>
      <c r="G256" s="25" t="n"/>
      <c r="H256" s="25" t="n"/>
      <c r="I256" s="13" t="inlineStr"/>
      <c r="J256" s="13" t="inlineStr">
        <is>
          <t>seo. vimass! VEN. 104 OP:2088 COND: SABOAGAMENTOPRE FANT: Bk MFEREABRICAC/[——</t>
        </is>
      </c>
      <c r="K256" s="13" t="inlineStr"/>
      <c r="L256" s="13" t="inlineStr"/>
      <c r="M256" s="13" t="inlineStr"/>
      <c r="N256" s="13" t="inlineStr">
        <is>
          <t>Produtos</t>
        </is>
      </c>
      <c r="O256" s="13" t="inlineStr">
        <is>
          <t>Outros produtos</t>
        </is>
      </c>
      <c r="P256" s="15" t="inlineStr"/>
      <c r="Q256" s="16" t="n"/>
      <c r="R256" s="16" t="n"/>
      <c r="S256" s="16" t="n"/>
      <c r="T256" s="16" t="n"/>
      <c r="U256" s="16" t="n"/>
      <c r="V256" s="17" t="n"/>
      <c r="W256" s="16" t="n"/>
      <c r="X256" s="16" t="n"/>
      <c r="Y256" s="16" t="n"/>
      <c r="Z256" s="16" t="n"/>
      <c r="AA256" s="16" t="n"/>
      <c r="AB256" s="16" t="n"/>
      <c r="AC256" s="16" t="n"/>
      <c r="AD256" s="17" t="n"/>
      <c r="AE256" s="16" t="n"/>
      <c r="AF256" s="16" t="n"/>
      <c r="AG256" s="16" t="n"/>
      <c r="AH256" s="16" t="n"/>
      <c r="AI256" s="16" t="n"/>
      <c r="AJ256" s="16" t="n"/>
      <c r="AK256" s="16" t="n"/>
      <c r="AL256" s="16" t="n"/>
      <c r="AM256" s="13" t="inlineStr">
        <is>
          <t>Baixa</t>
        </is>
      </c>
      <c r="AN256" s="21" t="inlineStr">
        <is>
          <t>Revisar documento</t>
        </is>
      </c>
      <c r="AO256" s="20" t="inlineStr">
        <is>
          <t>Revisar</t>
        </is>
      </c>
      <c r="AP256" s="13" t="inlineStr"/>
      <c r="AQ256" s="13" t="inlineStr"/>
      <c r="AR256" s="15" t="inlineStr"/>
      <c r="AS256" s="15" t="inlineStr">
        <is>
          <t>NOTAS FISCAIS DE COMPRA JANEIRO 2026.pdf - p. 255</t>
        </is>
      </c>
    </row>
    <row r="257">
      <c r="A257" s="13" t="inlineStr">
        <is>
          <t>JAN26-P256</t>
        </is>
      </c>
      <c r="B257" s="13" t="n">
        <v>256</v>
      </c>
      <c r="C257" s="13" t="inlineStr">
        <is>
          <t>Separador/Anotacao</t>
        </is>
      </c>
      <c r="D257" s="13" t="inlineStr"/>
      <c r="E257" s="13" t="inlineStr"/>
      <c r="F257" s="13" t="inlineStr"/>
      <c r="G257" s="25" t="n"/>
      <c r="H257" s="25" t="n"/>
      <c r="I257" s="13" t="inlineStr"/>
      <c r="J257" s="13" t="inlineStr"/>
      <c r="K257" s="13" t="inlineStr"/>
      <c r="L257" s="13" t="inlineStr"/>
      <c r="M257" s="13" t="inlineStr"/>
      <c r="N257" s="13" t="inlineStr">
        <is>
          <t>Apoio</t>
        </is>
      </c>
      <c r="O257" s="13" t="inlineStr">
        <is>
          <t>Documento de apoio</t>
        </is>
      </c>
      <c r="P257" s="15" t="inlineStr"/>
      <c r="Q257" s="16" t="n"/>
      <c r="R257" s="16" t="n"/>
      <c r="S257" s="16" t="n"/>
      <c r="T257" s="16" t="n"/>
      <c r="U257" s="16" t="n"/>
      <c r="V257" s="17" t="n"/>
      <c r="W257" s="16" t="n"/>
      <c r="X257" s="16" t="n"/>
      <c r="Y257" s="16" t="n"/>
      <c r="Z257" s="16" t="n"/>
      <c r="AA257" s="16" t="n"/>
      <c r="AB257" s="16" t="n"/>
      <c r="AC257" s="16" t="n"/>
      <c r="AD257" s="17" t="n"/>
      <c r="AE257" s="16" t="n"/>
      <c r="AF257" s="16" t="n"/>
      <c r="AG257" s="16" t="n"/>
      <c r="AH257" s="16" t="n"/>
      <c r="AI257" s="16" t="n"/>
      <c r="AJ257" s="16" t="n"/>
      <c r="AK257" s="16" t="n"/>
      <c r="AL257" s="16" t="n"/>
      <c r="AM257" s="13" t="inlineStr">
        <is>
          <t>Baixa</t>
        </is>
      </c>
      <c r="AN257" s="13" t="inlineStr"/>
      <c r="AO257" s="19" t="inlineStr">
        <is>
          <t>Não</t>
        </is>
      </c>
      <c r="AP257" s="13" t="inlineStr"/>
      <c r="AQ257" s="13" t="inlineStr"/>
      <c r="AR257" s="15" t="inlineStr"/>
      <c r="AS257" s="15" t="inlineStr">
        <is>
          <t>NOTAS FISCAIS DE COMPRA JANEIRO 2026.pdf - p. 256</t>
        </is>
      </c>
    </row>
    <row r="258">
      <c r="A258" s="13" t="inlineStr">
        <is>
          <t>JAN26-P257</t>
        </is>
      </c>
      <c r="B258" s="13" t="n">
        <v>257</v>
      </c>
      <c r="C258" s="13" t="inlineStr">
        <is>
          <t>Outros/Documento</t>
        </is>
      </c>
      <c r="D258" s="13" t="inlineStr"/>
      <c r="E258" s="13" t="inlineStr"/>
      <c r="F258" s="13" t="inlineStr"/>
      <c r="G258" s="25" t="n">
        <v>46037</v>
      </c>
      <c r="H258" s="25" t="n"/>
      <c r="I258" s="13" t="inlineStr"/>
      <c r="J258" s="13" t="inlineStr">
        <is>
          <t>VENDA DE MERCADORIA ADQUIRIDA OU RECEBIDA DE TERCE</t>
        </is>
      </c>
      <c r="K258" s="13" t="inlineStr"/>
      <c r="L258" s="13" t="inlineStr">
        <is>
          <t>23.655.038/0002-89</t>
        </is>
      </c>
      <c r="M258" s="13" t="inlineStr">
        <is>
          <t>SKAL /0002</t>
        </is>
      </c>
      <c r="N258" s="13" t="inlineStr">
        <is>
          <t>Apoio</t>
        </is>
      </c>
      <c r="O258" s="13" t="inlineStr">
        <is>
          <t>Documento de apoio</t>
        </is>
      </c>
      <c r="P258" s="15" t="inlineStr">
        <is>
          <t>TARTS SE | 0,00 | ‘SAGs ABICTONAIS, | ‘ORDAQUES CcRNLEMENTARES | go suka Seaerta A CAEEITE FESOR, GE TORE, OE IS © O€ IPL. 16zt8. | etn’ GBs vent a tetbtos Fooeral se AY M20 CFE, WOMT crhburiw aacarealse HE 40,01 selon areaitenseneTicor | RESERVADO AO FICO</t>
        </is>
      </c>
      <c r="Q258" s="16" t="n"/>
      <c r="R258" s="16" t="n"/>
      <c r="S258" s="16" t="n"/>
      <c r="T258" s="16" t="n"/>
      <c r="U258" s="16" t="n"/>
      <c r="V258" s="17" t="n"/>
      <c r="W258" s="16" t="n"/>
      <c r="X258" s="16" t="n"/>
      <c r="Y258" s="16" t="n"/>
      <c r="Z258" s="16" t="n"/>
      <c r="AA258" s="16" t="n"/>
      <c r="AB258" s="16" t="n"/>
      <c r="AC258" s="16" t="n"/>
      <c r="AD258" s="17" t="n"/>
      <c r="AE258" s="16" t="n"/>
      <c r="AF258" s="16" t="n"/>
      <c r="AG258" s="16" t="n"/>
      <c r="AH258" s="16" t="n"/>
      <c r="AI258" s="16" t="n"/>
      <c r="AJ258" s="16" t="n"/>
      <c r="AK258" s="16" t="n"/>
      <c r="AL258" s="16" t="n"/>
      <c r="AM258" s="13" t="inlineStr">
        <is>
          <t>Baixa</t>
        </is>
      </c>
      <c r="AN258" s="13" t="inlineStr"/>
      <c r="AO258" s="19" t="inlineStr">
        <is>
          <t>Não</t>
        </is>
      </c>
      <c r="AP258" s="13" t="inlineStr"/>
      <c r="AQ258" s="13" t="inlineStr"/>
      <c r="AR258" s="15" t="inlineStr"/>
      <c r="AS258" s="15" t="inlineStr">
        <is>
          <t>NOTAS FISCAIS DE COMPRA JANEIRO 2026.pdf - p. 257</t>
        </is>
      </c>
    </row>
    <row r="259">
      <c r="A259" s="13" t="inlineStr">
        <is>
          <t>JAN26-P258</t>
        </is>
      </c>
      <c r="B259" s="13" t="n">
        <v>258</v>
      </c>
      <c r="C259" s="13" t="inlineStr">
        <is>
          <t>Outros/Documento</t>
        </is>
      </c>
      <c r="D259" s="13" t="inlineStr"/>
      <c r="E259" s="13" t="inlineStr"/>
      <c r="F259" s="13" t="inlineStr"/>
      <c r="G259" s="25" t="n"/>
      <c r="H259" s="25" t="n"/>
      <c r="I259" s="13" t="inlineStr"/>
      <c r="J259" s="13" t="inlineStr">
        <is>
          <t>&lt;arnag SERPEG TRATORES LTDA) oles | AMIDA ANIRNMN ETE</t>
        </is>
      </c>
      <c r="K259" s="13" t="inlineStr"/>
      <c r="L259" s="13" t="inlineStr"/>
      <c r="M259" s="13" t="inlineStr"/>
      <c r="N259" s="13" t="inlineStr">
        <is>
          <t>Apoio</t>
        </is>
      </c>
      <c r="O259" s="13" t="inlineStr">
        <is>
          <t>Documento de apoio</t>
        </is>
      </c>
      <c r="P259" s="15" t="inlineStr"/>
      <c r="Q259" s="16" t="n"/>
      <c r="R259" s="16" t="n"/>
      <c r="S259" s="16" t="n"/>
      <c r="T259" s="16" t="n"/>
      <c r="U259" s="16" t="n"/>
      <c r="V259" s="17" t="n"/>
      <c r="W259" s="16" t="n"/>
      <c r="X259" s="16" t="n"/>
      <c r="Y259" s="16" t="n"/>
      <c r="Z259" s="16" t="n"/>
      <c r="AA259" s="16" t="n"/>
      <c r="AB259" s="16" t="n"/>
      <c r="AC259" s="16" t="n"/>
      <c r="AD259" s="17" t="n"/>
      <c r="AE259" s="16" t="n"/>
      <c r="AF259" s="16" t="n"/>
      <c r="AG259" s="16" t="n"/>
      <c r="AH259" s="16" t="n"/>
      <c r="AI259" s="16" t="n"/>
      <c r="AJ259" s="16" t="n"/>
      <c r="AK259" s="16" t="n"/>
      <c r="AL259" s="16" t="n"/>
      <c r="AM259" s="13" t="inlineStr">
        <is>
          <t>Baixa</t>
        </is>
      </c>
      <c r="AN259" s="13" t="inlineStr"/>
      <c r="AO259" s="19" t="inlineStr">
        <is>
          <t>Não</t>
        </is>
      </c>
      <c r="AP259" s="13" t="inlineStr"/>
      <c r="AQ259" s="13" t="inlineStr"/>
      <c r="AR259" s="15" t="inlineStr"/>
      <c r="AS259" s="15" t="inlineStr">
        <is>
          <t>NOTAS FISCAIS DE COMPRA JANEIRO 2026.pdf - p. 258</t>
        </is>
      </c>
    </row>
    <row r="260">
      <c r="A260" s="13" t="inlineStr">
        <is>
          <t>JAN26-P259</t>
        </is>
      </c>
      <c r="B260" s="13" t="n">
        <v>259</v>
      </c>
      <c r="C260" s="13" t="inlineStr">
        <is>
          <t>NF-e</t>
        </is>
      </c>
      <c r="D260" s="13" t="inlineStr"/>
      <c r="E260" s="13" t="inlineStr"/>
      <c r="F260" s="13" t="inlineStr"/>
      <c r="G260" s="25" t="n"/>
      <c r="H260" s="25" t="n"/>
      <c r="I260" s="13" t="inlineStr"/>
      <c r="J260" s="13" t="inlineStr">
        <is>
          <t>|S1e2/405 VENDA MERC. DENT. ESTADO ___trmaevoparecses 1201026 145057</t>
        </is>
      </c>
      <c r="K260" s="13" t="inlineStr"/>
      <c r="L260" s="13" t="inlineStr"/>
      <c r="M260" s="13" t="inlineStr"/>
      <c r="N260" s="13" t="inlineStr">
        <is>
          <t>Produtos</t>
        </is>
      </c>
      <c r="O260" s="13" t="inlineStr">
        <is>
          <t>Materia-prima - cimento</t>
        </is>
      </c>
      <c r="P260" s="15" t="inlineStr"/>
      <c r="Q260" s="16" t="n"/>
      <c r="R260" s="16" t="n"/>
      <c r="S260" s="16" t="n"/>
      <c r="T260" s="16" t="n"/>
      <c r="U260" s="16" t="n"/>
      <c r="V260" s="17" t="n"/>
      <c r="W260" s="16" t="n"/>
      <c r="X260" s="16" t="n"/>
      <c r="Y260" s="16" t="n"/>
      <c r="Z260" s="16" t="n"/>
      <c r="AA260" s="16" t="n"/>
      <c r="AB260" s="16" t="n"/>
      <c r="AC260" s="16" t="n"/>
      <c r="AD260" s="17" t="n"/>
      <c r="AE260" s="16" t="n"/>
      <c r="AF260" s="16" t="n"/>
      <c r="AG260" s="16" t="n"/>
      <c r="AH260" s="16" t="n"/>
      <c r="AI260" s="16" t="n"/>
      <c r="AJ260" s="16" t="n"/>
      <c r="AK260" s="16" t="n"/>
      <c r="AL260" s="16" t="n"/>
      <c r="AM260" s="13" t="inlineStr">
        <is>
          <t>Baixa</t>
        </is>
      </c>
      <c r="AN260" s="21" t="inlineStr">
        <is>
          <t>Revisar documento</t>
        </is>
      </c>
      <c r="AO260" s="20" t="inlineStr">
        <is>
          <t>Revisar</t>
        </is>
      </c>
      <c r="AP260" s="13" t="inlineStr"/>
      <c r="AQ260" s="13" t="inlineStr"/>
      <c r="AR260" s="15" t="inlineStr"/>
      <c r="AS260" s="15" t="inlineStr">
        <is>
          <t>NOTAS FISCAIS DE COMPRA JANEIRO 2026.pdf - p. 259</t>
        </is>
      </c>
    </row>
    <row r="261">
      <c r="A261" s="13" t="inlineStr">
        <is>
          <t>JAN26-P260</t>
        </is>
      </c>
      <c r="B261" s="13" t="n">
        <v>260</v>
      </c>
      <c r="C261" s="13" t="inlineStr">
        <is>
          <t>Outros/Documento</t>
        </is>
      </c>
      <c r="D261" s="13" t="inlineStr"/>
      <c r="E261" s="13" t="inlineStr"/>
      <c r="F261" s="13" t="inlineStr"/>
      <c r="G261" s="25" t="n"/>
      <c r="H261" s="25" t="n"/>
      <c r="I261" s="13" t="inlineStr"/>
      <c r="J261" s="13" t="inlineStr">
        <is>
          <t>VENDA DE MERC. ADQURIDA OU RECEBIDA DE TERCEIROS.</t>
        </is>
      </c>
      <c r="K261" s="13" t="inlineStr"/>
      <c r="L261" s="13" t="inlineStr"/>
      <c r="M261" s="13" t="inlineStr"/>
      <c r="N261" s="13" t="inlineStr">
        <is>
          <t>Apoio</t>
        </is>
      </c>
      <c r="O261" s="13" t="inlineStr">
        <is>
          <t>Documento de apoio</t>
        </is>
      </c>
      <c r="P261" s="15" t="inlineStr"/>
      <c r="Q261" s="16" t="n"/>
      <c r="R261" s="16" t="n"/>
      <c r="S261" s="16" t="n"/>
      <c r="T261" s="16" t="n"/>
      <c r="U261" s="16" t="n"/>
      <c r="V261" s="17" t="n"/>
      <c r="W261" s="16" t="n"/>
      <c r="X261" s="16" t="n"/>
      <c r="Y261" s="16" t="n"/>
      <c r="Z261" s="16" t="n"/>
      <c r="AA261" s="16" t="n"/>
      <c r="AB261" s="16" t="n"/>
      <c r="AC261" s="16" t="n"/>
      <c r="AD261" s="17" t="n"/>
      <c r="AE261" s="16" t="n"/>
      <c r="AF261" s="16" t="n"/>
      <c r="AG261" s="16" t="n"/>
      <c r="AH261" s="16" t="n"/>
      <c r="AI261" s="16" t="n"/>
      <c r="AJ261" s="16" t="n"/>
      <c r="AK261" s="16" t="n"/>
      <c r="AL261" s="16" t="n"/>
      <c r="AM261" s="13" t="inlineStr">
        <is>
          <t>Baixa</t>
        </is>
      </c>
      <c r="AN261" s="13" t="inlineStr"/>
      <c r="AO261" s="19" t="inlineStr">
        <is>
          <t>Não</t>
        </is>
      </c>
      <c r="AP261" s="13" t="inlineStr"/>
      <c r="AQ261" s="13" t="inlineStr"/>
      <c r="AR261" s="15" t="inlineStr"/>
      <c r="AS261" s="15" t="inlineStr">
        <is>
          <t>NOTAS FISCAIS DE COMPRA JANEIRO 2026.pdf - p. 260</t>
        </is>
      </c>
    </row>
    <row r="262">
      <c r="A262" s="13" t="inlineStr">
        <is>
          <t>JAN26-P261</t>
        </is>
      </c>
      <c r="B262" s="13" t="n">
        <v>261</v>
      </c>
      <c r="C262" s="13" t="inlineStr">
        <is>
          <t>NFS-e</t>
        </is>
      </c>
      <c r="D262" s="13" t="inlineStr"/>
      <c r="E262" s="13" t="inlineStr"/>
      <c r="F262" s="13" t="inlineStr"/>
      <c r="G262" s="25" t="n">
        <v>46048</v>
      </c>
      <c r="H262" s="25" t="n"/>
      <c r="I262" s="13" t="inlineStr"/>
      <c r="J262" s="13" t="inlineStr">
        <is>
          <t>ANDRE VIANA VIEIRA ME</t>
        </is>
      </c>
      <c r="K262" s="13" t="inlineStr"/>
      <c r="L262" s="13" t="inlineStr"/>
      <c r="M262" s="13" t="inlineStr"/>
      <c r="N262" s="13" t="inlineStr">
        <is>
          <t>Servicos</t>
        </is>
      </c>
      <c r="O262" s="13" t="inlineStr">
        <is>
          <t>Outros servicos</t>
        </is>
      </c>
      <c r="P262" s="15" t="inlineStr"/>
      <c r="Q262" s="16" t="n"/>
      <c r="R262" s="16" t="n"/>
      <c r="S262" s="16" t="n"/>
      <c r="T262" s="16" t="n"/>
      <c r="U262" s="16" t="n"/>
      <c r="V262" s="17" t="n"/>
      <c r="W262" s="16" t="n"/>
      <c r="X262" s="16" t="n"/>
      <c r="Y262" s="16" t="n"/>
      <c r="Z262" s="16" t="n"/>
      <c r="AA262" s="16" t="n"/>
      <c r="AB262" s="16" t="n"/>
      <c r="AC262" s="16" t="n"/>
      <c r="AD262" s="17" t="n"/>
      <c r="AE262" s="16" t="n"/>
      <c r="AF262" s="16" t="n"/>
      <c r="AG262" s="16" t="n"/>
      <c r="AH262" s="16" t="n"/>
      <c r="AI262" s="16" t="n"/>
      <c r="AJ262" s="16" t="n"/>
      <c r="AK262" s="16" t="n"/>
      <c r="AL262" s="16" t="n"/>
      <c r="AM262" s="13" t="inlineStr">
        <is>
          <t>Baixa</t>
        </is>
      </c>
      <c r="AN262" s="21" t="inlineStr">
        <is>
          <t>Revisar documento</t>
        </is>
      </c>
      <c r="AO262" s="20" t="inlineStr">
        <is>
          <t>Revisar</t>
        </is>
      </c>
      <c r="AP262" s="13" t="inlineStr"/>
      <c r="AQ262" s="13" t="inlineStr"/>
      <c r="AR262" s="15" t="inlineStr"/>
      <c r="AS262" s="15" t="inlineStr">
        <is>
          <t>NOTAS FISCAIS DE COMPRA JANEIRO 2026.pdf - p. 261</t>
        </is>
      </c>
    </row>
    <row r="263">
      <c r="A263" s="13" t="inlineStr">
        <is>
          <t>JAN26-P262</t>
        </is>
      </c>
      <c r="B263" s="13" t="n">
        <v>262</v>
      </c>
      <c r="C263" s="13" t="inlineStr">
        <is>
          <t>Outros/Documento</t>
        </is>
      </c>
      <c r="D263" s="13" t="inlineStr"/>
      <c r="E263" s="13" t="inlineStr"/>
      <c r="F263" s="13" t="inlineStr"/>
      <c r="G263" s="25" t="n">
        <v>46050</v>
      </c>
      <c r="H263" s="25" t="n"/>
      <c r="I263" s="13" t="inlineStr"/>
      <c r="J263" s="13" t="inlineStr">
        <is>
          <t>Beer ees Svat cenro #0 LTOAA E COMERCI AVENIDA SAD FRANCISCO, 4000 - EXTREMA - Teresi</t>
        </is>
      </c>
      <c r="K263" s="13" t="inlineStr">
        <is>
          <t>16.637.583/0001-04</t>
        </is>
      </c>
      <c r="L263" s="13" t="inlineStr"/>
      <c r="M263" s="13" t="inlineStr"/>
      <c r="N263" s="13" t="inlineStr">
        <is>
          <t>Apoio</t>
        </is>
      </c>
      <c r="O263" s="13" t="inlineStr">
        <is>
          <t>Documento de apoio</t>
        </is>
      </c>
      <c r="P263" s="15" t="inlineStr"/>
      <c r="Q263" s="16" t="n"/>
      <c r="R263" s="16" t="n"/>
      <c r="S263" s="16" t="n"/>
      <c r="T263" s="16" t="n"/>
      <c r="U263" s="16" t="n"/>
      <c r="V263" s="17" t="n"/>
      <c r="W263" s="16" t="n"/>
      <c r="X263" s="16" t="n"/>
      <c r="Y263" s="16" t="n"/>
      <c r="Z263" s="16" t="n"/>
      <c r="AA263" s="16" t="n"/>
      <c r="AB263" s="16" t="n"/>
      <c r="AC263" s="16" t="n"/>
      <c r="AD263" s="17" t="n"/>
      <c r="AE263" s="16" t="n"/>
      <c r="AF263" s="16" t="n"/>
      <c r="AG263" s="16" t="n"/>
      <c r="AH263" s="16" t="n"/>
      <c r="AI263" s="16" t="n"/>
      <c r="AJ263" s="16" t="n"/>
      <c r="AK263" s="16" t="n"/>
      <c r="AL263" s="16" t="n"/>
      <c r="AM263" s="13" t="inlineStr">
        <is>
          <t>Media</t>
        </is>
      </c>
      <c r="AN263" s="13" t="inlineStr"/>
      <c r="AO263" s="19" t="inlineStr">
        <is>
          <t>Não</t>
        </is>
      </c>
      <c r="AP263" s="13" t="inlineStr"/>
      <c r="AQ263" s="13" t="inlineStr"/>
      <c r="AR263" s="15" t="inlineStr"/>
      <c r="AS263" s="15" t="inlineStr">
        <is>
          <t>NOTAS FISCAIS DE COMPRA JANEIRO 2026.pdf - p. 262</t>
        </is>
      </c>
    </row>
    <row r="264">
      <c r="A264" s="13" t="inlineStr">
        <is>
          <t>JAN26-P263</t>
        </is>
      </c>
      <c r="B264" s="13" t="n">
        <v>263</v>
      </c>
      <c r="C264" s="13" t="inlineStr">
        <is>
          <t>Outros/Documento</t>
        </is>
      </c>
      <c r="D264" s="13" t="inlineStr"/>
      <c r="E264" s="13" t="inlineStr"/>
      <c r="F264" s="13" t="inlineStr"/>
      <c r="G264" s="25" t="n"/>
      <c r="H264" s="25" t="n"/>
      <c r="I264" s="13" t="inlineStr"/>
      <c r="J264" s="13" t="inlineStr">
        <is>
          <t>i + aot lll mala lai hneemeenaliemiaaal</t>
        </is>
      </c>
      <c r="K264" s="13" t="inlineStr"/>
      <c r="L264" s="13" t="inlineStr"/>
      <c r="M264" s="13" t="inlineStr"/>
      <c r="N264" s="13" t="inlineStr">
        <is>
          <t>Apoio</t>
        </is>
      </c>
      <c r="O264" s="13" t="inlineStr">
        <is>
          <t>Documento de apoio</t>
        </is>
      </c>
      <c r="P264" s="15" t="inlineStr"/>
      <c r="Q264" s="16" t="n"/>
      <c r="R264" s="16" t="n"/>
      <c r="S264" s="16" t="n"/>
      <c r="T264" s="16" t="n"/>
      <c r="U264" s="16" t="n"/>
      <c r="V264" s="17" t="n"/>
      <c r="W264" s="16" t="n"/>
      <c r="X264" s="16" t="n"/>
      <c r="Y264" s="16" t="n"/>
      <c r="Z264" s="16" t="n"/>
      <c r="AA264" s="16" t="n"/>
      <c r="AB264" s="16" t="n"/>
      <c r="AC264" s="16" t="n"/>
      <c r="AD264" s="17" t="n"/>
      <c r="AE264" s="16" t="n"/>
      <c r="AF264" s="16" t="n"/>
      <c r="AG264" s="16" t="n"/>
      <c r="AH264" s="16" t="n"/>
      <c r="AI264" s="16" t="n"/>
      <c r="AJ264" s="16" t="n"/>
      <c r="AK264" s="16" t="n"/>
      <c r="AL264" s="16" t="n"/>
      <c r="AM264" s="13" t="inlineStr">
        <is>
          <t>Baixa</t>
        </is>
      </c>
      <c r="AN264" s="13" t="inlineStr"/>
      <c r="AO264" s="19" t="inlineStr">
        <is>
          <t>Não</t>
        </is>
      </c>
      <c r="AP264" s="13" t="inlineStr"/>
      <c r="AQ264" s="13" t="inlineStr"/>
      <c r="AR264" s="15" t="inlineStr"/>
      <c r="AS264" s="15" t="inlineStr">
        <is>
          <t>NOTAS FISCAIS DE COMPRA JANEIRO 2026.pdf - p. 263</t>
        </is>
      </c>
    </row>
    <row r="265">
      <c r="A265" s="13" t="inlineStr">
        <is>
          <t>JAN26-P264</t>
        </is>
      </c>
      <c r="B265" s="13" t="n">
        <v>264</v>
      </c>
      <c r="C265" s="13" t="inlineStr">
        <is>
          <t>NFS-e</t>
        </is>
      </c>
      <c r="D265" s="13" t="inlineStr"/>
      <c r="E265" s="13" t="inlineStr">
        <is>
          <t>4</t>
        </is>
      </c>
      <c r="F265" s="13" t="inlineStr"/>
      <c r="G265" s="25" t="n">
        <v>46045</v>
      </c>
      <c r="H265" s="25" t="n"/>
      <c r="I265" s="13" t="inlineStr"/>
      <c r="J265" s="13" t="inlineStr">
        <is>
          <t>G R DE MORAES CONSTRUCOES</t>
        </is>
      </c>
      <c r="K265" s="13" t="inlineStr">
        <is>
          <t>15.563.146/0001-12</t>
        </is>
      </c>
      <c r="L265" s="13" t="inlineStr">
        <is>
          <t>23.655.038/0002-89</t>
        </is>
      </c>
      <c r="M265" s="13" t="inlineStr">
        <is>
          <t>SKAL /0002</t>
        </is>
      </c>
      <c r="N265" s="13" t="inlineStr">
        <is>
          <t>Serviços</t>
        </is>
      </c>
      <c r="O265" s="13" t="inlineStr">
        <is>
          <t>Obra / calçamento</t>
        </is>
      </c>
      <c r="P265" s="15" t="inlineStr">
        <is>
          <t>Serviço de calçamento; CNO 90.025.09883/73.</t>
        </is>
      </c>
      <c r="Q265" s="16" t="n">
        <v>40000</v>
      </c>
      <c r="R265" s="16" t="n"/>
      <c r="S265" s="16" t="n"/>
      <c r="T265" s="16" t="n"/>
      <c r="U265" s="16" t="n"/>
      <c r="V265" s="17" t="n"/>
      <c r="W265" s="16" t="n"/>
      <c r="X265" s="16" t="n"/>
      <c r="Y265" s="16" t="n"/>
      <c r="Z265" s="16" t="n"/>
      <c r="AA265" s="16" t="n">
        <v>40600</v>
      </c>
      <c r="AB265" s="16" t="n"/>
      <c r="AC265" s="16" t="n"/>
      <c r="AD265" s="17" t="n"/>
      <c r="AE265" s="16" t="n"/>
      <c r="AF265" s="16" t="n"/>
      <c r="AG265" s="16" t="n"/>
      <c r="AH265" s="16" t="n"/>
      <c r="AI265" s="16" t="n"/>
      <c r="AJ265" s="16" t="n"/>
      <c r="AK265" s="16" t="n"/>
      <c r="AL265" s="16" t="n"/>
      <c r="AM265" s="13" t="inlineStr">
        <is>
          <t>Media</t>
        </is>
      </c>
      <c r="AN265" s="13" t="inlineStr"/>
      <c r="AO265" s="18" t="inlineStr">
        <is>
          <t>Sim</t>
        </is>
      </c>
      <c r="AP265" s="13" t="inlineStr"/>
      <c r="AQ265" s="13" t="inlineStr"/>
      <c r="AR265" s="15" t="inlineStr"/>
      <c r="AS265" s="15" t="inlineStr">
        <is>
          <t>NOTAS FISCAIS DE COMPRA JANEIRO 2026.pdf - p. 264</t>
        </is>
      </c>
    </row>
    <row r="266">
      <c r="A266" s="13" t="inlineStr">
        <is>
          <t>JAN26-P265</t>
        </is>
      </c>
      <c r="B266" s="13" t="n">
        <v>265</v>
      </c>
      <c r="C266" s="13" t="inlineStr">
        <is>
          <t>NF-e</t>
        </is>
      </c>
      <c r="D266" s="13" t="inlineStr"/>
      <c r="E266" s="13" t="inlineStr"/>
      <c r="F266" s="13" t="inlineStr"/>
      <c r="G266" s="25" t="n">
        <v>46050</v>
      </c>
      <c r="H266" s="25" t="n"/>
      <c r="I266" s="13" t="inlineStr"/>
      <c r="J266" s="13" t="inlineStr">
        <is>
          <t>IVeuda de mercadoria sdquirida au receblda de teretivex em op. 22I269002 591389 - 18/01/1026 40:85</t>
        </is>
      </c>
      <c r="K266" s="13" t="inlineStr"/>
      <c r="L266" s="13" t="inlineStr">
        <is>
          <t>23.655.038/0002-89</t>
        </is>
      </c>
      <c r="M266" s="13" t="inlineStr">
        <is>
          <t>SKAL /0002</t>
        </is>
      </c>
      <c r="N266" s="13" t="inlineStr">
        <is>
          <t>Produtos</t>
        </is>
      </c>
      <c r="O266" s="13" t="inlineStr">
        <is>
          <t>Outros produtos</t>
        </is>
      </c>
      <c r="P266" s="15" t="inlineStr"/>
      <c r="Q266" s="16" t="n"/>
      <c r="R266" s="16" t="n"/>
      <c r="S266" s="16" t="n"/>
      <c r="T266" s="16" t="n"/>
      <c r="U266" s="16" t="n"/>
      <c r="V266" s="17" t="n"/>
      <c r="W266" s="16" t="n"/>
      <c r="X266" s="16" t="n"/>
      <c r="Y266" s="16" t="n"/>
      <c r="Z266" s="16" t="n"/>
      <c r="AA266" s="16" t="n"/>
      <c r="AB266" s="16" t="n"/>
      <c r="AC266" s="16" t="n"/>
      <c r="AD266" s="17" t="n"/>
      <c r="AE266" s="16" t="n"/>
      <c r="AF266" s="16" t="n"/>
      <c r="AG266" s="16" t="n"/>
      <c r="AH266" s="16" t="n"/>
      <c r="AI266" s="16" t="n"/>
      <c r="AJ266" s="16" t="n"/>
      <c r="AK266" s="16" t="n"/>
      <c r="AL266" s="16" t="n"/>
      <c r="AM266" s="13" t="inlineStr">
        <is>
          <t>Baixa</t>
        </is>
      </c>
      <c r="AN266" s="21" t="inlineStr">
        <is>
          <t>Revisar documento</t>
        </is>
      </c>
      <c r="AO266" s="20" t="inlineStr">
        <is>
          <t>Revisar</t>
        </is>
      </c>
      <c r="AP266" s="13" t="inlineStr"/>
      <c r="AQ266" s="13" t="inlineStr"/>
      <c r="AR266" s="15" t="inlineStr"/>
      <c r="AS266" s="15" t="inlineStr">
        <is>
          <t>NOTAS FISCAIS DE COMPRA JANEIRO 2026.pdf - p. 265</t>
        </is>
      </c>
    </row>
    <row r="267">
      <c r="A267" s="13" t="inlineStr">
        <is>
          <t>JAN26-P266</t>
        </is>
      </c>
      <c r="B267" s="13" t="n">
        <v>266</v>
      </c>
      <c r="C267" s="13" t="inlineStr">
        <is>
          <t>NF-e</t>
        </is>
      </c>
      <c r="D267" s="13" t="inlineStr">
        <is>
          <t>55</t>
        </is>
      </c>
      <c r="E267" s="13" t="inlineStr">
        <is>
          <t>12579206</t>
        </is>
      </c>
      <c r="F267" s="13" t="inlineStr">
        <is>
          <t>1</t>
        </is>
      </c>
      <c r="G267" s="25" t="n"/>
      <c r="H267" s="25" t="n"/>
      <c r="I267" s="13" t="inlineStr">
        <is>
          <t>22260120422108000180550010125792061001003534</t>
        </is>
      </c>
      <c r="J267" s="13" t="inlineStr">
        <is>
          <t>‘VENDA DE MERCADORIA ADQUIRIDA OU RECEBIDA DE TERCE 722260001897073 21012026 10:08:54</t>
        </is>
      </c>
      <c r="K267" s="13" t="inlineStr">
        <is>
          <t>20.422.108/0001-80</t>
        </is>
      </c>
      <c r="L267" s="13" t="inlineStr"/>
      <c r="M267" s="13" t="inlineStr"/>
      <c r="N267" s="13" t="inlineStr">
        <is>
          <t>Produtos</t>
        </is>
      </c>
      <c r="O267" s="13" t="inlineStr">
        <is>
          <t>Outros produtos</t>
        </is>
      </c>
      <c r="P267" s="15" t="inlineStr"/>
      <c r="Q267" s="16" t="n"/>
      <c r="R267" s="16" t="n"/>
      <c r="S267" s="16" t="n"/>
      <c r="T267" s="16" t="n"/>
      <c r="U267" s="16" t="n"/>
      <c r="V267" s="17" t="n"/>
      <c r="W267" s="16" t="n"/>
      <c r="X267" s="16" t="n"/>
      <c r="Y267" s="16" t="n"/>
      <c r="Z267" s="16" t="n"/>
      <c r="AA267" s="16" t="n"/>
      <c r="AB267" s="16" t="n"/>
      <c r="AC267" s="16" t="n"/>
      <c r="AD267" s="17" t="n"/>
      <c r="AE267" s="16" t="n"/>
      <c r="AF267" s="16" t="n"/>
      <c r="AG267" s="16" t="n"/>
      <c r="AH267" s="16" t="n"/>
      <c r="AI267" s="16" t="n"/>
      <c r="AJ267" s="16" t="n"/>
      <c r="AK267" s="16" t="n"/>
      <c r="AL267" s="16" t="n"/>
      <c r="AM267" s="13" t="inlineStr">
        <is>
          <t>Alta</t>
        </is>
      </c>
      <c r="AN267" s="21" t="inlineStr">
        <is>
          <t>Revisar documento</t>
        </is>
      </c>
      <c r="AO267" s="20" t="inlineStr">
        <is>
          <t>Revisar</t>
        </is>
      </c>
      <c r="AP267" s="13" t="inlineStr"/>
      <c r="AQ267" s="13" t="inlineStr"/>
      <c r="AR267" s="15" t="inlineStr"/>
      <c r="AS267" s="15" t="inlineStr">
        <is>
          <t>NOTAS FISCAIS DE COMPRA JANEIRO 2026.pdf - p. 266</t>
        </is>
      </c>
    </row>
    <row r="268">
      <c r="A268" s="13" t="inlineStr">
        <is>
          <t>JAN26-P267</t>
        </is>
      </c>
      <c r="B268" s="13" t="n">
        <v>267</v>
      </c>
      <c r="C268" s="13" t="inlineStr">
        <is>
          <t>Outros/Documento</t>
        </is>
      </c>
      <c r="D268" s="13" t="inlineStr"/>
      <c r="E268" s="13" t="inlineStr"/>
      <c r="F268" s="13" t="inlineStr"/>
      <c r="G268" s="25" t="n"/>
      <c r="H268" s="25" t="n"/>
      <c r="I268" s="13" t="inlineStr"/>
      <c r="J268" s="13" t="inlineStr">
        <is>
          <t>‘VENDA OF MER. ADQUIIDA OU RECEBIDA DE TERCEROS ZEOOUNTADT a1 r2028 on 6t:80</t>
        </is>
      </c>
      <c r="K268" s="13" t="inlineStr"/>
      <c r="L268" s="13" t="inlineStr"/>
      <c r="M268" s="13" t="inlineStr"/>
      <c r="N268" s="13" t="inlineStr">
        <is>
          <t>Apoio</t>
        </is>
      </c>
      <c r="O268" s="13" t="inlineStr">
        <is>
          <t>Documento de apoio</t>
        </is>
      </c>
      <c r="P268" s="15" t="inlineStr"/>
      <c r="Q268" s="16" t="n"/>
      <c r="R268" s="16" t="n"/>
      <c r="S268" s="16" t="n"/>
      <c r="T268" s="16" t="n"/>
      <c r="U268" s="16" t="n"/>
      <c r="V268" s="17" t="n"/>
      <c r="W268" s="16" t="n"/>
      <c r="X268" s="16" t="n"/>
      <c r="Y268" s="16" t="n"/>
      <c r="Z268" s="16" t="n"/>
      <c r="AA268" s="16" t="n"/>
      <c r="AB268" s="16" t="n"/>
      <c r="AC268" s="16" t="n"/>
      <c r="AD268" s="17" t="n"/>
      <c r="AE268" s="16" t="n"/>
      <c r="AF268" s="16" t="n"/>
      <c r="AG268" s="16" t="n"/>
      <c r="AH268" s="16" t="n"/>
      <c r="AI268" s="16" t="n"/>
      <c r="AJ268" s="16" t="n"/>
      <c r="AK268" s="16" t="n"/>
      <c r="AL268" s="16" t="n"/>
      <c r="AM268" s="13" t="inlineStr">
        <is>
          <t>Baixa</t>
        </is>
      </c>
      <c r="AN268" s="13" t="inlineStr"/>
      <c r="AO268" s="19" t="inlineStr">
        <is>
          <t>Não</t>
        </is>
      </c>
      <c r="AP268" s="13" t="inlineStr"/>
      <c r="AQ268" s="13" t="inlineStr"/>
      <c r="AR268" s="15" t="inlineStr"/>
      <c r="AS268" s="15" t="inlineStr">
        <is>
          <t>NOTAS FISCAIS DE COMPRA JANEIRO 2026.pdf - p. 267</t>
        </is>
      </c>
    </row>
    <row r="269">
      <c r="A269" s="13" t="inlineStr">
        <is>
          <t>JAN26-P268</t>
        </is>
      </c>
      <c r="B269" s="13" t="n">
        <v>268</v>
      </c>
      <c r="C269" s="13" t="inlineStr">
        <is>
          <t>Outros/Documento</t>
        </is>
      </c>
      <c r="D269" s="13" t="inlineStr"/>
      <c r="E269" s="13" t="inlineStr"/>
      <c r="F269" s="13" t="inlineStr"/>
      <c r="G269" s="25" t="n"/>
      <c r="H269" s="25" t="n"/>
      <c r="I269" s="13" t="inlineStr"/>
      <c r="J269" s="13" t="inlineStr">
        <is>
          <t>vm an om 2 me</t>
        </is>
      </c>
      <c r="K269" s="13" t="inlineStr"/>
      <c r="L269" s="13" t="inlineStr"/>
      <c r="M269" s="13" t="inlineStr"/>
      <c r="N269" s="13" t="inlineStr">
        <is>
          <t>Apoio</t>
        </is>
      </c>
      <c r="O269" s="13" t="inlineStr">
        <is>
          <t>Documento de apoio</t>
        </is>
      </c>
      <c r="P269" s="15" t="inlineStr"/>
      <c r="Q269" s="16" t="n"/>
      <c r="R269" s="16" t="n"/>
      <c r="S269" s="16" t="n"/>
      <c r="T269" s="16" t="n"/>
      <c r="U269" s="16" t="n"/>
      <c r="V269" s="17" t="n"/>
      <c r="W269" s="16" t="n"/>
      <c r="X269" s="16" t="n"/>
      <c r="Y269" s="16" t="n"/>
      <c r="Z269" s="16" t="n"/>
      <c r="AA269" s="16" t="n"/>
      <c r="AB269" s="16" t="n"/>
      <c r="AC269" s="16" t="n"/>
      <c r="AD269" s="17" t="n"/>
      <c r="AE269" s="16" t="n"/>
      <c r="AF269" s="16" t="n"/>
      <c r="AG269" s="16" t="n"/>
      <c r="AH269" s="16" t="n"/>
      <c r="AI269" s="16" t="n"/>
      <c r="AJ269" s="16" t="n"/>
      <c r="AK269" s="16" t="n"/>
      <c r="AL269" s="16" t="n"/>
      <c r="AM269" s="13" t="inlineStr">
        <is>
          <t>Baixa</t>
        </is>
      </c>
      <c r="AN269" s="13" t="inlineStr"/>
      <c r="AO269" s="19" t="inlineStr">
        <is>
          <t>Não</t>
        </is>
      </c>
      <c r="AP269" s="13" t="inlineStr"/>
      <c r="AQ269" s="13" t="inlineStr"/>
      <c r="AR269" s="15" t="inlineStr"/>
      <c r="AS269" s="15" t="inlineStr">
        <is>
          <t>NOTAS FISCAIS DE COMPRA JANEIRO 2026.pdf - p. 268</t>
        </is>
      </c>
    </row>
    <row r="270">
      <c r="A270" s="13" t="inlineStr">
        <is>
          <t>JAN26-P269</t>
        </is>
      </c>
      <c r="B270" s="13" t="n">
        <v>269</v>
      </c>
      <c r="C270" s="13" t="inlineStr">
        <is>
          <t>Outros/Documento</t>
        </is>
      </c>
      <c r="D270" s="13" t="inlineStr"/>
      <c r="E270" s="13" t="inlineStr"/>
      <c r="F270" s="13" t="inlineStr"/>
      <c r="G270" s="25" t="n"/>
      <c r="H270" s="25" t="n"/>
      <c r="I270" s="13" t="inlineStr"/>
      <c r="J270" s="13" t="inlineStr">
        <is>
          <t>AY SAO FRANCISCO. 4000 ao, jexareaso | t20 2070</t>
        </is>
      </c>
      <c r="K270" s="13" t="inlineStr"/>
      <c r="L270" s="13" t="inlineStr"/>
      <c r="M270" s="13" t="inlineStr"/>
      <c r="N270" s="13" t="inlineStr">
        <is>
          <t>Apoio</t>
        </is>
      </c>
      <c r="O270" s="13" t="inlineStr">
        <is>
          <t>Documento de apoio</t>
        </is>
      </c>
      <c r="P270" s="15" t="inlineStr"/>
      <c r="Q270" s="16" t="n"/>
      <c r="R270" s="16" t="n"/>
      <c r="S270" s="16" t="n"/>
      <c r="T270" s="16" t="n"/>
      <c r="U270" s="16" t="n"/>
      <c r="V270" s="17" t="n"/>
      <c r="W270" s="16" t="n"/>
      <c r="X270" s="16" t="n"/>
      <c r="Y270" s="16" t="n"/>
      <c r="Z270" s="16" t="n"/>
      <c r="AA270" s="16" t="n"/>
      <c r="AB270" s="16" t="n"/>
      <c r="AC270" s="16" t="n"/>
      <c r="AD270" s="17" t="n"/>
      <c r="AE270" s="16" t="n"/>
      <c r="AF270" s="16" t="n"/>
      <c r="AG270" s="16" t="n"/>
      <c r="AH270" s="16" t="n"/>
      <c r="AI270" s="16" t="n"/>
      <c r="AJ270" s="16" t="n"/>
      <c r="AK270" s="16" t="n"/>
      <c r="AL270" s="16" t="n"/>
      <c r="AM270" s="13" t="inlineStr">
        <is>
          <t>Baixa</t>
        </is>
      </c>
      <c r="AN270" s="13" t="inlineStr"/>
      <c r="AO270" s="19" t="inlineStr">
        <is>
          <t>Não</t>
        </is>
      </c>
      <c r="AP270" s="13" t="inlineStr"/>
      <c r="AQ270" s="13" t="inlineStr"/>
      <c r="AR270" s="15" t="inlineStr"/>
      <c r="AS270" s="15" t="inlineStr">
        <is>
          <t>NOTAS FISCAIS DE COMPRA JANEIRO 2026.pdf - p. 269</t>
        </is>
      </c>
    </row>
    <row r="271">
      <c r="A271" s="13" t="inlineStr">
        <is>
          <t>JAN26-P270</t>
        </is>
      </c>
      <c r="B271" s="13" t="n">
        <v>270</v>
      </c>
      <c r="C271" s="13" t="inlineStr">
        <is>
          <t>NF-e</t>
        </is>
      </c>
      <c r="D271" s="13" t="inlineStr"/>
      <c r="E271" s="13" t="inlineStr"/>
      <c r="F271" s="13" t="inlineStr"/>
      <c r="G271" s="25" t="n">
        <v>46038</v>
      </c>
      <c r="H271" s="25" t="n"/>
      <c r="I271" s="13" t="inlineStr"/>
      <c r="J271" s="13" t="inlineStr">
        <is>
          <t>EUEREMOs iM SANTOS AUTOPECAS |-TDA 05 PRODUTOS BOW SFR\</t>
        </is>
      </c>
      <c r="K271" s="13" t="inlineStr"/>
      <c r="L271" s="13" t="inlineStr"/>
      <c r="M271" s="13" t="inlineStr"/>
      <c r="N271" s="13" t="inlineStr">
        <is>
          <t>Produtos</t>
        </is>
      </c>
      <c r="O271" s="13" t="inlineStr">
        <is>
          <t>Manutencao/pecas</t>
        </is>
      </c>
      <c r="P271" s="15" t="inlineStr"/>
      <c r="Q271" s="16" t="n"/>
      <c r="R271" s="16" t="n"/>
      <c r="S271" s="16" t="n"/>
      <c r="T271" s="16" t="n"/>
      <c r="U271" s="16" t="n"/>
      <c r="V271" s="17" t="n"/>
      <c r="W271" s="16" t="n"/>
      <c r="X271" s="16" t="n"/>
      <c r="Y271" s="16" t="n"/>
      <c r="Z271" s="16" t="n"/>
      <c r="AA271" s="16" t="n"/>
      <c r="AB271" s="16" t="n"/>
      <c r="AC271" s="16" t="n"/>
      <c r="AD271" s="17" t="n"/>
      <c r="AE271" s="16" t="n"/>
      <c r="AF271" s="16" t="n"/>
      <c r="AG271" s="16" t="n"/>
      <c r="AH271" s="16" t="n"/>
      <c r="AI271" s="16" t="n"/>
      <c r="AJ271" s="16" t="n"/>
      <c r="AK271" s="16" t="n"/>
      <c r="AL271" s="16" t="n"/>
      <c r="AM271" s="13" t="inlineStr">
        <is>
          <t>Baixa</t>
        </is>
      </c>
      <c r="AN271" s="21" t="inlineStr">
        <is>
          <t>Revisar documento</t>
        </is>
      </c>
      <c r="AO271" s="20" t="inlineStr">
        <is>
          <t>Revisar</t>
        </is>
      </c>
      <c r="AP271" s="13" t="inlineStr"/>
      <c r="AQ271" s="13" t="inlineStr"/>
      <c r="AR271" s="15" t="inlineStr"/>
      <c r="AS271" s="15" t="inlineStr">
        <is>
          <t>NOTAS FISCAIS DE COMPRA JANEIRO 2026.pdf - p. 270</t>
        </is>
      </c>
    </row>
    <row r="272">
      <c r="A272" s="13" t="inlineStr">
        <is>
          <t>JAN26-P271</t>
        </is>
      </c>
      <c r="B272" s="13" t="n">
        <v>271</v>
      </c>
      <c r="C272" s="13" t="inlineStr">
        <is>
          <t>NFS-e</t>
        </is>
      </c>
      <c r="D272" s="13" t="inlineStr"/>
      <c r="E272" s="13" t="inlineStr">
        <is>
          <t>1204/U</t>
        </is>
      </c>
      <c r="F272" s="13" t="inlineStr"/>
      <c r="G272" s="25" t="n">
        <v>46038</v>
      </c>
      <c r="H272" s="25" t="n"/>
      <c r="I272" s="13" t="inlineStr"/>
      <c r="J272" s="13" t="inlineStr">
        <is>
          <t>MARINA NAYARA FLORES GUIMARAES - ME</t>
        </is>
      </c>
      <c r="K272" s="13" t="inlineStr">
        <is>
          <t>24.976.787/0001-90</t>
        </is>
      </c>
      <c r="L272" s="13" t="inlineStr">
        <is>
          <t>23.655.038/0002-89</t>
        </is>
      </c>
      <c r="M272" s="13" t="inlineStr">
        <is>
          <t>SKAL /0002</t>
        </is>
      </c>
      <c r="N272" s="13" t="inlineStr">
        <is>
          <t>Serviços</t>
        </is>
      </c>
      <c r="O272" s="13" t="inlineStr">
        <is>
          <t>Manutenção</t>
        </is>
      </c>
      <c r="P272" s="15" t="inlineStr">
        <is>
          <t>Solda do cano + socorro.</t>
        </is>
      </c>
      <c r="Q272" s="16" t="n">
        <v>300</v>
      </c>
      <c r="R272" s="16" t="n"/>
      <c r="S272" s="16" t="n"/>
      <c r="T272" s="16" t="n"/>
      <c r="U272" s="16" t="n"/>
      <c r="V272" s="17" t="n"/>
      <c r="W272" s="16" t="n"/>
      <c r="X272" s="16" t="n"/>
      <c r="Y272" s="16" t="n"/>
      <c r="Z272" s="16" t="n"/>
      <c r="AA272" s="16" t="n">
        <v>14.01</v>
      </c>
      <c r="AB272" s="16" t="n"/>
      <c r="AC272" s="16" t="n"/>
      <c r="AD272" s="17" t="n"/>
      <c r="AE272" s="16" t="n">
        <v>15</v>
      </c>
      <c r="AF272" s="16" t="n"/>
      <c r="AG272" s="16" t="n"/>
      <c r="AH272" s="16" t="n"/>
      <c r="AI272" s="16" t="n"/>
      <c r="AJ272" s="16" t="n"/>
      <c r="AK272" s="16" t="n"/>
      <c r="AL272" s="16" t="n"/>
      <c r="AM272" s="13" t="inlineStr">
        <is>
          <t>Media</t>
        </is>
      </c>
      <c r="AN272" s="13" t="inlineStr"/>
      <c r="AO272" s="18" t="inlineStr">
        <is>
          <t>Sim</t>
        </is>
      </c>
      <c r="AP272" s="13" t="inlineStr"/>
      <c r="AQ272" s="13" t="inlineStr"/>
      <c r="AR272" s="15" t="inlineStr"/>
      <c r="AS272" s="15" t="inlineStr">
        <is>
          <t>NOTAS FISCAIS DE COMPRA JANEIRO 2026.pdf - p. 271</t>
        </is>
      </c>
    </row>
    <row r="273">
      <c r="A273" s="13" t="inlineStr">
        <is>
          <t>JAN26-P272</t>
        </is>
      </c>
      <c r="B273" s="13" t="n">
        <v>272</v>
      </c>
      <c r="C273" s="13" t="inlineStr">
        <is>
          <t>NFS-e</t>
        </is>
      </c>
      <c r="D273" s="13" t="inlineStr"/>
      <c r="E273" s="13" t="inlineStr">
        <is>
          <t>1203/U</t>
        </is>
      </c>
      <c r="F273" s="13" t="inlineStr"/>
      <c r="G273" s="25" t="n">
        <v>46038</v>
      </c>
      <c r="H273" s="25" t="n"/>
      <c r="I273" s="13" t="inlineStr"/>
      <c r="J273" s="13" t="inlineStr">
        <is>
          <t>MARINA NAYARA FLORES GUIMARAES - ME</t>
        </is>
      </c>
      <c r="K273" s="13" t="inlineStr">
        <is>
          <t>24.976.787/0001-90</t>
        </is>
      </c>
      <c r="L273" s="13" t="inlineStr">
        <is>
          <t>23.655.038/0002-89</t>
        </is>
      </c>
      <c r="M273" s="13" t="inlineStr">
        <is>
          <t>SKAL /0002</t>
        </is>
      </c>
      <c r="N273" s="13" t="inlineStr">
        <is>
          <t>Serviços</t>
        </is>
      </c>
      <c r="O273" s="13" t="inlineStr">
        <is>
          <t>Manutenção</t>
        </is>
      </c>
      <c r="P273" s="15" t="inlineStr">
        <is>
          <t>Serviço da válvula relé.</t>
        </is>
      </c>
      <c r="Q273" s="16" t="n">
        <v>180</v>
      </c>
      <c r="R273" s="16" t="n"/>
      <c r="S273" s="16" t="n"/>
      <c r="T273" s="16" t="n"/>
      <c r="U273" s="16" t="n"/>
      <c r="V273" s="17" t="n"/>
      <c r="W273" s="16" t="n"/>
      <c r="X273" s="16" t="n"/>
      <c r="Y273" s="16" t="n"/>
      <c r="Z273" s="16" t="n"/>
      <c r="AA273" s="16" t="n"/>
      <c r="AB273" s="16" t="n"/>
      <c r="AC273" s="16" t="n"/>
      <c r="AD273" s="17" t="n"/>
      <c r="AE273" s="16" t="n">
        <v>9</v>
      </c>
      <c r="AF273" s="16" t="n"/>
      <c r="AG273" s="16" t="n"/>
      <c r="AH273" s="16" t="n"/>
      <c r="AI273" s="16" t="n"/>
      <c r="AJ273" s="16" t="n"/>
      <c r="AK273" s="16" t="n"/>
      <c r="AL273" s="16" t="n"/>
      <c r="AM273" s="13" t="inlineStr">
        <is>
          <t>Media</t>
        </is>
      </c>
      <c r="AN273" s="13" t="inlineStr"/>
      <c r="AO273" s="18" t="inlineStr">
        <is>
          <t>Sim</t>
        </is>
      </c>
      <c r="AP273" s="13" t="inlineStr"/>
      <c r="AQ273" s="13" t="inlineStr"/>
      <c r="AR273" s="15" t="inlineStr"/>
      <c r="AS273" s="15" t="inlineStr">
        <is>
          <t>NOTAS FISCAIS DE COMPRA JANEIRO 2026.pdf - p. 272</t>
        </is>
      </c>
    </row>
    <row r="274">
      <c r="A274" s="13" t="inlineStr">
        <is>
          <t>JAN26-P273</t>
        </is>
      </c>
      <c r="B274" s="13" t="n">
        <v>273</v>
      </c>
      <c r="C274" s="13" t="inlineStr">
        <is>
          <t>Outros/Documento</t>
        </is>
      </c>
      <c r="D274" s="13" t="inlineStr"/>
      <c r="E274" s="13" t="inlineStr"/>
      <c r="F274" s="13" t="inlineStr"/>
      <c r="G274" s="25" t="n"/>
      <c r="H274" s="25" t="n"/>
      <c r="I274" s="13" t="inlineStr"/>
      <c r="J274" s="13" t="inlineStr">
        <is>
          <t>CEP 64.078-625 TRL O6-9984-3549 ‘www ale Sazenda gov-br/portal on oe ste dn Sefer Autecieadors</t>
        </is>
      </c>
      <c r="K274" s="13" t="inlineStr"/>
      <c r="L274" s="13" t="inlineStr"/>
      <c r="M274" s="13" t="inlineStr"/>
      <c r="N274" s="13" t="inlineStr">
        <is>
          <t>Apoio</t>
        </is>
      </c>
      <c r="O274" s="13" t="inlineStr">
        <is>
          <t>Documento de apoio</t>
        </is>
      </c>
      <c r="P274" s="15" t="inlineStr"/>
      <c r="Q274" s="16" t="n"/>
      <c r="R274" s="16" t="n"/>
      <c r="S274" s="16" t="n"/>
      <c r="T274" s="16" t="n"/>
      <c r="U274" s="16" t="n"/>
      <c r="V274" s="17" t="n"/>
      <c r="W274" s="16" t="n"/>
      <c r="X274" s="16" t="n"/>
      <c r="Y274" s="16" t="n"/>
      <c r="Z274" s="16" t="n"/>
      <c r="AA274" s="16" t="n"/>
      <c r="AB274" s="16" t="n"/>
      <c r="AC274" s="16" t="n"/>
      <c r="AD274" s="17" t="n"/>
      <c r="AE274" s="16" t="n"/>
      <c r="AF274" s="16" t="n"/>
      <c r="AG274" s="16" t="n"/>
      <c r="AH274" s="16" t="n"/>
      <c r="AI274" s="16" t="n"/>
      <c r="AJ274" s="16" t="n"/>
      <c r="AK274" s="16" t="n"/>
      <c r="AL274" s="16" t="n"/>
      <c r="AM274" s="13" t="inlineStr">
        <is>
          <t>Baixa</t>
        </is>
      </c>
      <c r="AN274" s="13" t="inlineStr"/>
      <c r="AO274" s="19" t="inlineStr">
        <is>
          <t>Não</t>
        </is>
      </c>
      <c r="AP274" s="13" t="inlineStr"/>
      <c r="AQ274" s="13" t="inlineStr"/>
      <c r="AR274" s="15" t="inlineStr"/>
      <c r="AS274" s="15" t="inlineStr">
        <is>
          <t>NOTAS FISCAIS DE COMPRA JANEIRO 2026.pdf - p. 273</t>
        </is>
      </c>
    </row>
    <row r="275">
      <c r="A275" s="13" t="inlineStr">
        <is>
          <t>JAN26-P274</t>
        </is>
      </c>
      <c r="B275" s="13" t="n">
        <v>274</v>
      </c>
      <c r="C275" s="13" t="inlineStr">
        <is>
          <t>Outros/Documento</t>
        </is>
      </c>
      <c r="D275" s="13" t="inlineStr"/>
      <c r="E275" s="13" t="inlineStr"/>
      <c r="F275" s="13" t="inlineStr"/>
      <c r="G275" s="25" t="n"/>
      <c r="H275" s="25" t="n"/>
      <c r="I275" s="13" t="inlineStr"/>
      <c r="J275" s="13" t="inlineStr">
        <is>
          <t>ie weon Saco paar (ata CaN — eae tnarmer Sina ote ——,</t>
        </is>
      </c>
      <c r="K275" s="13" t="inlineStr"/>
      <c r="L275" s="13" t="inlineStr"/>
      <c r="M275" s="13" t="inlineStr"/>
      <c r="N275" s="13" t="inlineStr">
        <is>
          <t>Apoio</t>
        </is>
      </c>
      <c r="O275" s="13" t="inlineStr">
        <is>
          <t>Documento de apoio</t>
        </is>
      </c>
      <c r="P275" s="15" t="inlineStr"/>
      <c r="Q275" s="16" t="n"/>
      <c r="R275" s="16" t="n"/>
      <c r="S275" s="16" t="n"/>
      <c r="T275" s="16" t="n"/>
      <c r="U275" s="16" t="n"/>
      <c r="V275" s="17" t="n"/>
      <c r="W275" s="16" t="n"/>
      <c r="X275" s="16" t="n"/>
      <c r="Y275" s="16" t="n"/>
      <c r="Z275" s="16" t="n"/>
      <c r="AA275" s="16" t="n"/>
      <c r="AB275" s="16" t="n"/>
      <c r="AC275" s="16" t="n"/>
      <c r="AD275" s="17" t="n"/>
      <c r="AE275" s="16" t="n"/>
      <c r="AF275" s="16" t="n"/>
      <c r="AG275" s="16" t="n"/>
      <c r="AH275" s="16" t="n"/>
      <c r="AI275" s="16" t="n"/>
      <c r="AJ275" s="16" t="n"/>
      <c r="AK275" s="16" t="n"/>
      <c r="AL275" s="16" t="n"/>
      <c r="AM275" s="13" t="inlineStr">
        <is>
          <t>Baixa</t>
        </is>
      </c>
      <c r="AN275" s="13" t="inlineStr"/>
      <c r="AO275" s="19" t="inlineStr">
        <is>
          <t>Não</t>
        </is>
      </c>
      <c r="AP275" s="13" t="inlineStr"/>
      <c r="AQ275" s="13" t="inlineStr"/>
      <c r="AR275" s="15" t="inlineStr"/>
      <c r="AS275" s="15" t="inlineStr">
        <is>
          <t>NOTAS FISCAIS DE COMPRA JANEIRO 2026.pdf - p. 274</t>
        </is>
      </c>
    </row>
    <row r="276">
      <c r="A276" s="13" t="inlineStr">
        <is>
          <t>JAN26-P275</t>
        </is>
      </c>
      <c r="B276" s="13" t="n">
        <v>275</v>
      </c>
      <c r="C276" s="13" t="inlineStr">
        <is>
          <t>NF-e</t>
        </is>
      </c>
      <c r="D276" s="13" t="inlineStr"/>
      <c r="E276" s="13" t="inlineStr"/>
      <c r="F276" s="13" t="inlineStr"/>
      <c r="G276" s="25" t="n">
        <v>46031</v>
      </c>
      <c r="H276" s="25" t="n"/>
      <c r="I276" s="13" t="inlineStr"/>
      <c r="J276" s="13" t="inlineStr">
        <is>
          <t>ENGENI JA ENDUSTRIA E COMERCIO LTDA. 123.655.03¢ 12-89, 9-01-2026</t>
        </is>
      </c>
      <c r="K276" s="13" t="inlineStr"/>
      <c r="L276" s="13" t="inlineStr"/>
      <c r="M276" s="13" t="inlineStr"/>
      <c r="N276" s="13" t="inlineStr">
        <is>
          <t>Produtos</t>
        </is>
      </c>
      <c r="O276" s="13" t="inlineStr">
        <is>
          <t>Manutencao/pecas</t>
        </is>
      </c>
      <c r="P276" s="15" t="inlineStr"/>
      <c r="Q276" s="16" t="n"/>
      <c r="R276" s="16" t="n"/>
      <c r="S276" s="16" t="n"/>
      <c r="T276" s="16" t="n"/>
      <c r="U276" s="16" t="n"/>
      <c r="V276" s="17" t="n"/>
      <c r="W276" s="16" t="n"/>
      <c r="X276" s="16" t="n"/>
      <c r="Y276" s="16" t="n"/>
      <c r="Z276" s="16" t="n"/>
      <c r="AA276" s="16" t="n"/>
      <c r="AB276" s="16" t="n"/>
      <c r="AC276" s="16" t="n"/>
      <c r="AD276" s="17" t="n"/>
      <c r="AE276" s="16" t="n"/>
      <c r="AF276" s="16" t="n"/>
      <c r="AG276" s="16" t="n"/>
      <c r="AH276" s="16" t="n"/>
      <c r="AI276" s="16" t="n"/>
      <c r="AJ276" s="16" t="n"/>
      <c r="AK276" s="16" t="n"/>
      <c r="AL276" s="16" t="n"/>
      <c r="AM276" s="13" t="inlineStr">
        <is>
          <t>Baixa</t>
        </is>
      </c>
      <c r="AN276" s="21" t="inlineStr">
        <is>
          <t>Revisar documento</t>
        </is>
      </c>
      <c r="AO276" s="20" t="inlineStr">
        <is>
          <t>Revisar</t>
        </is>
      </c>
      <c r="AP276" s="13" t="inlineStr"/>
      <c r="AQ276" s="13" t="inlineStr"/>
      <c r="AR276" s="15" t="inlineStr"/>
      <c r="AS276" s="15" t="inlineStr">
        <is>
          <t>NOTAS FISCAIS DE COMPRA JANEIRO 2026.pdf - p. 275</t>
        </is>
      </c>
    </row>
    <row r="277">
      <c r="A277" s="13" t="inlineStr">
        <is>
          <t>JAN26-P276</t>
        </is>
      </c>
      <c r="B277" s="13" t="n">
        <v>276</v>
      </c>
      <c r="C277" s="13" t="inlineStr">
        <is>
          <t>NF-e</t>
        </is>
      </c>
      <c r="D277" s="13" t="inlineStr"/>
      <c r="E277" s="13" t="inlineStr"/>
      <c r="F277" s="13" t="inlineStr"/>
      <c r="G277" s="25" t="n">
        <v>46045</v>
      </c>
      <c r="H277" s="25" t="n"/>
      <c r="I277" s="13" t="inlineStr"/>
      <c r="J277" s="13" t="inlineStr">
        <is>
          <t>VENDA DE MERCADORIA ADQUIRIDA OU RECEBID;</t>
        </is>
      </c>
      <c r="K277" s="13" t="inlineStr"/>
      <c r="L277" s="13" t="inlineStr"/>
      <c r="M277" s="13" t="inlineStr"/>
      <c r="N277" s="13" t="inlineStr">
        <is>
          <t>Produtos</t>
        </is>
      </c>
      <c r="O277" s="13" t="inlineStr">
        <is>
          <t>Manutencao/pecas</t>
        </is>
      </c>
      <c r="P277" s="15" t="inlineStr"/>
      <c r="Q277" s="16" t="n"/>
      <c r="R277" s="16" t="n"/>
      <c r="S277" s="16" t="n"/>
      <c r="T277" s="16" t="n"/>
      <c r="U277" s="16" t="n"/>
      <c r="V277" s="17" t="n"/>
      <c r="W277" s="16" t="n"/>
      <c r="X277" s="16" t="n"/>
      <c r="Y277" s="16" t="n"/>
      <c r="Z277" s="16" t="n"/>
      <c r="AA277" s="16" t="n"/>
      <c r="AB277" s="16" t="n"/>
      <c r="AC277" s="16" t="n"/>
      <c r="AD277" s="17" t="n"/>
      <c r="AE277" s="16" t="n"/>
      <c r="AF277" s="16" t="n"/>
      <c r="AG277" s="16" t="n"/>
      <c r="AH277" s="16" t="n"/>
      <c r="AI277" s="16" t="n"/>
      <c r="AJ277" s="16" t="n"/>
      <c r="AK277" s="16" t="n"/>
      <c r="AL277" s="16" t="n"/>
      <c r="AM277" s="13" t="inlineStr">
        <is>
          <t>Baixa</t>
        </is>
      </c>
      <c r="AN277" s="21" t="inlineStr">
        <is>
          <t>Revisar documento</t>
        </is>
      </c>
      <c r="AO277" s="20" t="inlineStr">
        <is>
          <t>Revisar</t>
        </is>
      </c>
      <c r="AP277" s="13" t="inlineStr"/>
      <c r="AQ277" s="13" t="inlineStr"/>
      <c r="AR277" s="15" t="inlineStr"/>
      <c r="AS277" s="15" t="inlineStr">
        <is>
          <t>NOTAS FISCAIS DE COMPRA JANEIRO 2026.pdf - p. 276</t>
        </is>
      </c>
    </row>
    <row r="278">
      <c r="A278" s="13" t="inlineStr">
        <is>
          <t>JAN26-P277</t>
        </is>
      </c>
      <c r="B278" s="13" t="n">
        <v>277</v>
      </c>
      <c r="C278" s="13" t="inlineStr">
        <is>
          <t>NF-e</t>
        </is>
      </c>
      <c r="D278" s="13" t="inlineStr"/>
      <c r="E278" s="13" t="inlineStr"/>
      <c r="F278" s="13" t="inlineStr"/>
      <c r="G278" s="25" t="n">
        <v>46045</v>
      </c>
      <c r="H278" s="25" t="n"/>
      <c r="I278" s="13" t="inlineStr"/>
      <c r="J278" s="13" t="inlineStr">
        <is>
          <t>1S DE CARTRE WARETEIRAS 7 FARA SS LTDA OS RORY SERUICOS CONSTANTES NA NOTA RCA ELETRORICK</t>
        </is>
      </c>
      <c r="K278" s="13" t="inlineStr"/>
      <c r="L278" s="13" t="inlineStr"/>
      <c r="M278" s="13" t="inlineStr"/>
      <c r="N278" s="13" t="inlineStr">
        <is>
          <t>Produtos</t>
        </is>
      </c>
      <c r="O278" s="13" t="inlineStr">
        <is>
          <t>Manutencao/pecas</t>
        </is>
      </c>
      <c r="P278" s="15" t="inlineStr"/>
      <c r="Q278" s="16" t="n"/>
      <c r="R278" s="16" t="n"/>
      <c r="S278" s="16" t="n"/>
      <c r="T278" s="16" t="n"/>
      <c r="U278" s="16" t="n"/>
      <c r="V278" s="17" t="n"/>
      <c r="W278" s="16" t="n"/>
      <c r="X278" s="16" t="n"/>
      <c r="Y278" s="16" t="n"/>
      <c r="Z278" s="16" t="n"/>
      <c r="AA278" s="16" t="n"/>
      <c r="AB278" s="16" t="n"/>
      <c r="AC278" s="16" t="n"/>
      <c r="AD278" s="17" t="n"/>
      <c r="AE278" s="16" t="n"/>
      <c r="AF278" s="16" t="n"/>
      <c r="AG278" s="16" t="n"/>
      <c r="AH278" s="16" t="n"/>
      <c r="AI278" s="16" t="n"/>
      <c r="AJ278" s="16" t="n"/>
      <c r="AK278" s="16" t="n"/>
      <c r="AL278" s="16" t="n"/>
      <c r="AM278" s="13" t="inlineStr">
        <is>
          <t>Baixa</t>
        </is>
      </c>
      <c r="AN278" s="21" t="inlineStr">
        <is>
          <t>Revisar documento</t>
        </is>
      </c>
      <c r="AO278" s="20" t="inlineStr">
        <is>
          <t>Revisar</t>
        </is>
      </c>
      <c r="AP278" s="13" t="inlineStr"/>
      <c r="AQ278" s="13" t="inlineStr"/>
      <c r="AR278" s="15" t="inlineStr"/>
      <c r="AS278" s="15" t="inlineStr">
        <is>
          <t>NOTAS FISCAIS DE COMPRA JANEIRO 2026.pdf - p. 277</t>
        </is>
      </c>
    </row>
    <row r="279">
      <c r="A279" s="13" t="inlineStr">
        <is>
          <t>JAN26-P278</t>
        </is>
      </c>
      <c r="B279" s="13" t="n">
        <v>278</v>
      </c>
      <c r="C279" s="13" t="inlineStr">
        <is>
          <t>NF-e</t>
        </is>
      </c>
      <c r="D279" s="13" t="inlineStr"/>
      <c r="E279" s="13" t="inlineStr"/>
      <c r="F279" s="13" t="inlineStr"/>
      <c r="G279" s="25" t="n">
        <v>46044</v>
      </c>
      <c r="H279" s="25" t="n"/>
      <c r="I279" s="13" t="inlineStr"/>
      <c r="J279" s="13" t="inlineStr">
        <is>
          <t>VENDA DE MERCADORIA ADQUIRIDA OU RECEBIDA DE TERCE. ‘EITOCAONETA0 708 «2201/2006 10:45</t>
        </is>
      </c>
      <c r="K279" s="13" t="inlineStr">
        <is>
          <t>08.318.541/0001-74</t>
        </is>
      </c>
      <c r="L279" s="13" t="inlineStr">
        <is>
          <t>23.655.038/0002-89</t>
        </is>
      </c>
      <c r="M279" s="13" t="inlineStr">
        <is>
          <t>SKAL /0002</t>
        </is>
      </c>
      <c r="N279" s="13" t="inlineStr">
        <is>
          <t>Produtos</t>
        </is>
      </c>
      <c r="O279" s="13" t="inlineStr">
        <is>
          <t>Outros produtos</t>
        </is>
      </c>
      <c r="P279" s="15" t="inlineStr">
        <is>
          <t>a ES ed ee | chucopowser 2? } pesca ecprocesse’ | ae TAD TAL Da EO = SRE RECAE DORE RESO | eet ee om | | DADOSADICIONAIS Sr? | SERAEACORS CERETLSSENT ARES ESET ART ORO | ce pages npronntadaaents 40,(30 tama, aendar ON Walison Re p: | aS RSNA eta BG lo crue sates @ Na pce mutesmnea| — W4tlgont Ble Paula | ~AL/OL 146</t>
        </is>
      </c>
      <c r="Q279" s="16" t="n"/>
      <c r="R279" s="16" t="n"/>
      <c r="S279" s="16" t="n"/>
      <c r="T279" s="16" t="n"/>
      <c r="U279" s="16" t="n"/>
      <c r="V279" s="17" t="n"/>
      <c r="W279" s="16" t="n"/>
      <c r="X279" s="16" t="n"/>
      <c r="Y279" s="16" t="n"/>
      <c r="Z279" s="16" t="n"/>
      <c r="AA279" s="16" t="n"/>
      <c r="AB279" s="16" t="n"/>
      <c r="AC279" s="16" t="n"/>
      <c r="AD279" s="17" t="n"/>
      <c r="AE279" s="16" t="n"/>
      <c r="AF279" s="16" t="n"/>
      <c r="AG279" s="16" t="n"/>
      <c r="AH279" s="16" t="n"/>
      <c r="AI279" s="16" t="n"/>
      <c r="AJ279" s="16" t="n"/>
      <c r="AK279" s="16" t="n"/>
      <c r="AL279" s="16" t="n"/>
      <c r="AM279" s="13" t="inlineStr">
        <is>
          <t>Media</t>
        </is>
      </c>
      <c r="AN279" s="21" t="inlineStr">
        <is>
          <t>Revisar documento</t>
        </is>
      </c>
      <c r="AO279" s="20" t="inlineStr">
        <is>
          <t>Revisar</t>
        </is>
      </c>
      <c r="AP279" s="13" t="inlineStr"/>
      <c r="AQ279" s="13" t="inlineStr"/>
      <c r="AR279" s="15" t="inlineStr"/>
      <c r="AS279" s="15" t="inlineStr">
        <is>
          <t>NOTAS FISCAIS DE COMPRA JANEIRO 2026.pdf - p. 278</t>
        </is>
      </c>
    </row>
    <row r="280">
      <c r="A280" s="13" t="inlineStr">
        <is>
          <t>JAN26-P279</t>
        </is>
      </c>
      <c r="B280" s="13" t="n">
        <v>279</v>
      </c>
      <c r="C280" s="13" t="inlineStr">
        <is>
          <t>NF-e</t>
        </is>
      </c>
      <c r="D280" s="13" t="inlineStr"/>
      <c r="E280" s="13" t="inlineStr"/>
      <c r="F280" s="13" t="inlineStr"/>
      <c r="G280" s="25" t="n"/>
      <c r="H280" s="25" t="n"/>
      <c r="I280" s="13" t="inlineStr"/>
      <c r="J280" s="13" t="inlineStr">
        <is>
          <t>"VENDA DE MERCADORIA ADQUIRIDA OU RECEBIDA DE TERCE 7722600015003 2001/2026 16:37:46</t>
        </is>
      </c>
      <c r="K280" s="13" t="inlineStr"/>
      <c r="L280" s="13" t="inlineStr"/>
      <c r="M280" s="13" t="inlineStr"/>
      <c r="N280" s="13" t="inlineStr">
        <is>
          <t>Produtos</t>
        </is>
      </c>
      <c r="O280" s="13" t="inlineStr">
        <is>
          <t>Materia-prima - cimento</t>
        </is>
      </c>
      <c r="P280" s="15" t="inlineStr"/>
      <c r="Q280" s="16" t="n"/>
      <c r="R280" s="16" t="n"/>
      <c r="S280" s="16" t="n"/>
      <c r="T280" s="16" t="n"/>
      <c r="U280" s="16" t="n"/>
      <c r="V280" s="17" t="n"/>
      <c r="W280" s="16" t="n"/>
      <c r="X280" s="16" t="n"/>
      <c r="Y280" s="16" t="n"/>
      <c r="Z280" s="16" t="n"/>
      <c r="AA280" s="16" t="n"/>
      <c r="AB280" s="16" t="n"/>
      <c r="AC280" s="16" t="n"/>
      <c r="AD280" s="17" t="n"/>
      <c r="AE280" s="16" t="n"/>
      <c r="AF280" s="16" t="n"/>
      <c r="AG280" s="16" t="n"/>
      <c r="AH280" s="16" t="n"/>
      <c r="AI280" s="16" t="n"/>
      <c r="AJ280" s="16" t="n"/>
      <c r="AK280" s="16" t="n"/>
      <c r="AL280" s="16" t="n"/>
      <c r="AM280" s="13" t="inlineStr">
        <is>
          <t>Baixa</t>
        </is>
      </c>
      <c r="AN280" s="21" t="inlineStr">
        <is>
          <t>Revisar documento</t>
        </is>
      </c>
      <c r="AO280" s="20" t="inlineStr">
        <is>
          <t>Revisar</t>
        </is>
      </c>
      <c r="AP280" s="13" t="inlineStr"/>
      <c r="AQ280" s="13" t="inlineStr"/>
      <c r="AR280" s="15" t="inlineStr"/>
      <c r="AS280" s="15" t="inlineStr">
        <is>
          <t>NOTAS FISCAIS DE COMPRA JANEIRO 2026.pdf - p. 279</t>
        </is>
      </c>
    </row>
    <row r="281">
      <c r="A281" s="13" t="inlineStr">
        <is>
          <t>JAN26-P280</t>
        </is>
      </c>
      <c r="B281" s="13" t="n">
        <v>280</v>
      </c>
      <c r="C281" s="13" t="inlineStr">
        <is>
          <t>Boleto/Financeiro</t>
        </is>
      </c>
      <c r="D281" s="13" t="inlineStr"/>
      <c r="E281" s="13" t="inlineStr"/>
      <c r="F281" s="13" t="inlineStr"/>
      <c r="G281" s="25" t="n">
        <v>46042</v>
      </c>
      <c r="H281" s="25" t="n"/>
      <c r="I281" s="13" t="inlineStr"/>
      <c r="J281" s="13" t="inlineStr">
        <is>
          <t>‘TERESINA MANGUEIRAS E PARAFUSOS LTDA ‘1I1G 0157 9764 T708 124 $508 1008 GA36 7216 7937 3196</t>
        </is>
      </c>
      <c r="K281" s="13" t="inlineStr"/>
      <c r="L281" s="13" t="inlineStr"/>
      <c r="M281" s="13" t="inlineStr"/>
      <c r="N281" s="13" t="inlineStr">
        <is>
          <t>Apoio</t>
        </is>
      </c>
      <c r="O281" s="13" t="inlineStr">
        <is>
          <t>Documento de apoio</t>
        </is>
      </c>
      <c r="P281" s="15" t="inlineStr"/>
      <c r="Q281" s="16" t="n"/>
      <c r="R281" s="16" t="n"/>
      <c r="S281" s="16" t="n"/>
      <c r="T281" s="16" t="n"/>
      <c r="U281" s="16" t="n"/>
      <c r="V281" s="17" t="n"/>
      <c r="W281" s="16" t="n"/>
      <c r="X281" s="16" t="n"/>
      <c r="Y281" s="16" t="n"/>
      <c r="Z281" s="16" t="n"/>
      <c r="AA281" s="16" t="n"/>
      <c r="AB281" s="16" t="n"/>
      <c r="AC281" s="16" t="n"/>
      <c r="AD281" s="17" t="n"/>
      <c r="AE281" s="16" t="n"/>
      <c r="AF281" s="16" t="n"/>
      <c r="AG281" s="16" t="n"/>
      <c r="AH281" s="16" t="n"/>
      <c r="AI281" s="16" t="n"/>
      <c r="AJ281" s="16" t="n"/>
      <c r="AK281" s="16" t="n"/>
      <c r="AL281" s="16" t="n"/>
      <c r="AM281" s="13" t="inlineStr">
        <is>
          <t>Baixa</t>
        </is>
      </c>
      <c r="AN281" s="13" t="inlineStr"/>
      <c r="AO281" s="19" t="inlineStr">
        <is>
          <t>Não</t>
        </is>
      </c>
      <c r="AP281" s="13" t="inlineStr"/>
      <c r="AQ281" s="13" t="inlineStr"/>
      <c r="AR281" s="15" t="inlineStr"/>
      <c r="AS281" s="15" t="inlineStr">
        <is>
          <t>NOTAS FISCAIS DE COMPRA JANEIRO 2026.pdf - p. 280</t>
        </is>
      </c>
    </row>
    <row r="282">
      <c r="A282" s="13" t="inlineStr">
        <is>
          <t>JAN26-P281</t>
        </is>
      </c>
      <c r="B282" s="13" t="n">
        <v>281</v>
      </c>
      <c r="C282" s="13" t="inlineStr">
        <is>
          <t>NF-e</t>
        </is>
      </c>
      <c r="D282" s="13" t="inlineStr"/>
      <c r="E282" s="13" t="inlineStr"/>
      <c r="F282" s="13" t="inlineStr"/>
      <c r="G282" s="25" t="n"/>
      <c r="H282" s="25" t="n"/>
      <c r="I282" s="13" t="inlineStr"/>
      <c r="J282" s="13" t="inlineStr">
        <is>
          <t>[coo eran. (DO PROOUTO 7M 04 | aur. [vurrrivao] vrais [v.oeacowto]: awbo] ec. rcwa] voce | vrs</t>
        </is>
      </c>
      <c r="K282" s="13" t="inlineStr"/>
      <c r="L282" s="13" t="inlineStr"/>
      <c r="M282" s="13" t="inlineStr"/>
      <c r="N282" s="13" t="inlineStr">
        <is>
          <t>Produtos</t>
        </is>
      </c>
      <c r="O282" s="13" t="inlineStr">
        <is>
          <t>Outros produtos</t>
        </is>
      </c>
      <c r="P282" s="15" t="inlineStr"/>
      <c r="Q282" s="16" t="n"/>
      <c r="R282" s="16" t="n"/>
      <c r="S282" s="16" t="n"/>
      <c r="T282" s="16" t="n"/>
      <c r="U282" s="16" t="n"/>
      <c r="V282" s="17" t="n"/>
      <c r="W282" s="16" t="n"/>
      <c r="X282" s="16" t="n"/>
      <c r="Y282" s="16" t="n"/>
      <c r="Z282" s="16" t="n"/>
      <c r="AA282" s="16" t="n"/>
      <c r="AB282" s="16" t="n"/>
      <c r="AC282" s="16" t="n"/>
      <c r="AD282" s="17" t="n"/>
      <c r="AE282" s="16" t="n"/>
      <c r="AF282" s="16" t="n"/>
      <c r="AG282" s="16" t="n"/>
      <c r="AH282" s="16" t="n"/>
      <c r="AI282" s="16" t="n"/>
      <c r="AJ282" s="16" t="n"/>
      <c r="AK282" s="16" t="n"/>
      <c r="AL282" s="16" t="n"/>
      <c r="AM282" s="13" t="inlineStr">
        <is>
          <t>Baixa</t>
        </is>
      </c>
      <c r="AN282" s="21" t="inlineStr">
        <is>
          <t>Revisar documento</t>
        </is>
      </c>
      <c r="AO282" s="20" t="inlineStr">
        <is>
          <t>Revisar</t>
        </is>
      </c>
      <c r="AP282" s="13" t="inlineStr"/>
      <c r="AQ282" s="13" t="inlineStr"/>
      <c r="AR282" s="15" t="inlineStr"/>
      <c r="AS282" s="15" t="inlineStr">
        <is>
          <t>NOTAS FISCAIS DE COMPRA JANEIRO 2026.pdf - p. 281</t>
        </is>
      </c>
    </row>
    <row r="283">
      <c r="A283" s="13" t="inlineStr">
        <is>
          <t>JAN26-P282</t>
        </is>
      </c>
      <c r="B283" s="13" t="n">
        <v>282</v>
      </c>
      <c r="C283" s="13" t="inlineStr">
        <is>
          <t>NF-e</t>
        </is>
      </c>
      <c r="D283" s="13" t="inlineStr"/>
      <c r="E283" s="13" t="inlineStr"/>
      <c r="F283" s="13" t="inlineStr"/>
      <c r="G283" s="25" t="n"/>
      <c r="H283" s="25" t="n"/>
      <c r="I283" s="13" t="inlineStr"/>
      <c r="J283" s="13" t="inlineStr">
        <is>
          <t>‘VENDA DE MERCADORIA ADQUIRIDA OU RECEBIDA DE TERCEIROS 7122400040049 190172026 14:21:38 7</t>
        </is>
      </c>
      <c r="K283" s="13" t="inlineStr"/>
      <c r="L283" s="13" t="inlineStr"/>
      <c r="M283" s="13" t="inlineStr"/>
      <c r="N283" s="13" t="inlineStr">
        <is>
          <t>Produtos</t>
        </is>
      </c>
      <c r="O283" s="13" t="inlineStr">
        <is>
          <t>Outros produtos</t>
        </is>
      </c>
      <c r="P283" s="15" t="inlineStr"/>
      <c r="Q283" s="16" t="n"/>
      <c r="R283" s="16" t="n"/>
      <c r="S283" s="16" t="n"/>
      <c r="T283" s="16" t="n"/>
      <c r="U283" s="16" t="n"/>
      <c r="V283" s="17" t="n"/>
      <c r="W283" s="16" t="n"/>
      <c r="X283" s="16" t="n"/>
      <c r="Y283" s="16" t="n"/>
      <c r="Z283" s="16" t="n"/>
      <c r="AA283" s="16" t="n"/>
      <c r="AB283" s="16" t="n"/>
      <c r="AC283" s="16" t="n"/>
      <c r="AD283" s="17" t="n"/>
      <c r="AE283" s="16" t="n"/>
      <c r="AF283" s="16" t="n"/>
      <c r="AG283" s="16" t="n"/>
      <c r="AH283" s="16" t="n"/>
      <c r="AI283" s="16" t="n"/>
      <c r="AJ283" s="16" t="n"/>
      <c r="AK283" s="16" t="n"/>
      <c r="AL283" s="16" t="n"/>
      <c r="AM283" s="13" t="inlineStr">
        <is>
          <t>Baixa</t>
        </is>
      </c>
      <c r="AN283" s="21" t="inlineStr">
        <is>
          <t>Revisar documento</t>
        </is>
      </c>
      <c r="AO283" s="20" t="inlineStr">
        <is>
          <t>Revisar</t>
        </is>
      </c>
      <c r="AP283" s="13" t="inlineStr"/>
      <c r="AQ283" s="13" t="inlineStr"/>
      <c r="AR283" s="15" t="inlineStr"/>
      <c r="AS283" s="15" t="inlineStr">
        <is>
          <t>NOTAS FISCAIS DE COMPRA JANEIRO 2026.pdf - p. 282</t>
        </is>
      </c>
    </row>
    <row r="284">
      <c r="A284" s="13" t="inlineStr">
        <is>
          <t>JAN26-P283</t>
        </is>
      </c>
      <c r="B284" s="13" t="n">
        <v>283</v>
      </c>
      <c r="C284" s="13" t="inlineStr">
        <is>
          <t>NF-e</t>
        </is>
      </c>
      <c r="D284" s="13" t="inlineStr"/>
      <c r="E284" s="13" t="inlineStr"/>
      <c r="F284" s="13" t="inlineStr"/>
      <c r="G284" s="25" t="n">
        <v>46041</v>
      </c>
      <c r="H284" s="25" t="n"/>
      <c r="I284" s="13" t="inlineStr"/>
      <c r="J284" s="13" t="inlineStr">
        <is>
          <t>Rua Sao Francisco, 4000 Tancredo Neves 64076-038 19/01/2026,</t>
        </is>
      </c>
      <c r="K284" s="13" t="inlineStr">
        <is>
          <t>00.434.904/0004-78</t>
        </is>
      </c>
      <c r="L284" s="13" t="inlineStr"/>
      <c r="M284" s="13" t="inlineStr"/>
      <c r="N284" s="13" t="inlineStr">
        <is>
          <t>Produtos</t>
        </is>
      </c>
      <c r="O284" s="13" t="inlineStr">
        <is>
          <t>Outros produtos</t>
        </is>
      </c>
      <c r="P284" s="15" t="inlineStr"/>
      <c r="Q284" s="16" t="n"/>
      <c r="R284" s="16" t="n"/>
      <c r="S284" s="16" t="n"/>
      <c r="T284" s="16" t="n"/>
      <c r="U284" s="16" t="n"/>
      <c r="V284" s="17" t="n"/>
      <c r="W284" s="16" t="n"/>
      <c r="X284" s="16" t="n"/>
      <c r="Y284" s="16" t="n"/>
      <c r="Z284" s="16" t="n"/>
      <c r="AA284" s="16" t="n"/>
      <c r="AB284" s="16" t="n"/>
      <c r="AC284" s="16" t="n"/>
      <c r="AD284" s="17" t="n"/>
      <c r="AE284" s="16" t="n"/>
      <c r="AF284" s="16" t="n"/>
      <c r="AG284" s="16" t="n"/>
      <c r="AH284" s="16" t="n"/>
      <c r="AI284" s="16" t="n"/>
      <c r="AJ284" s="16" t="n"/>
      <c r="AK284" s="16" t="n"/>
      <c r="AL284" s="16" t="n"/>
      <c r="AM284" s="13" t="inlineStr">
        <is>
          <t>Media</t>
        </is>
      </c>
      <c r="AN284" s="21" t="inlineStr">
        <is>
          <t>Revisar documento</t>
        </is>
      </c>
      <c r="AO284" s="20" t="inlineStr">
        <is>
          <t>Revisar</t>
        </is>
      </c>
      <c r="AP284" s="13" t="inlineStr"/>
      <c r="AQ284" s="13" t="inlineStr"/>
      <c r="AR284" s="15" t="inlineStr"/>
      <c r="AS284" s="15" t="inlineStr">
        <is>
          <t>NOTAS FISCAIS DE COMPRA JANEIRO 2026.pdf - p. 283</t>
        </is>
      </c>
    </row>
    <row r="285">
      <c r="A285" s="13" t="inlineStr">
        <is>
          <t>JAN26-P284</t>
        </is>
      </c>
      <c r="B285" s="13" t="n">
        <v>284</v>
      </c>
      <c r="C285" s="13" t="inlineStr">
        <is>
          <t>Outros/Documento</t>
        </is>
      </c>
      <c r="D285" s="13" t="inlineStr"/>
      <c r="E285" s="13" t="inlineStr"/>
      <c r="F285" s="13" t="inlineStr"/>
      <c r="G285" s="25" t="n">
        <v>46041</v>
      </c>
      <c r="H285" s="25" t="n"/>
      <c r="I285" s="13" t="inlineStr"/>
      <c r="J285" s="13" t="inlineStr">
        <is>
          <t>‘Avenida Leonidas Melo, 150 Fiscal Eletrénica | Grave DEACESO</t>
        </is>
      </c>
      <c r="K285" s="13" t="inlineStr"/>
      <c r="L285" s="13" t="inlineStr"/>
      <c r="M285" s="13" t="inlineStr"/>
      <c r="N285" s="13" t="inlineStr">
        <is>
          <t>Apoio</t>
        </is>
      </c>
      <c r="O285" s="13" t="inlineStr">
        <is>
          <t>Documento de apoio</t>
        </is>
      </c>
      <c r="P285" s="15" t="inlineStr"/>
      <c r="Q285" s="16" t="n"/>
      <c r="R285" s="16" t="n"/>
      <c r="S285" s="16" t="n"/>
      <c r="T285" s="16" t="n"/>
      <c r="U285" s="16" t="n"/>
      <c r="V285" s="17" t="n"/>
      <c r="W285" s="16" t="n"/>
      <c r="X285" s="16" t="n"/>
      <c r="Y285" s="16" t="n"/>
      <c r="Z285" s="16" t="n"/>
      <c r="AA285" s="16" t="n"/>
      <c r="AB285" s="16" t="n"/>
      <c r="AC285" s="16" t="n"/>
      <c r="AD285" s="17" t="n"/>
      <c r="AE285" s="16" t="n"/>
      <c r="AF285" s="16" t="n"/>
      <c r="AG285" s="16" t="n"/>
      <c r="AH285" s="16" t="n"/>
      <c r="AI285" s="16" t="n"/>
      <c r="AJ285" s="16" t="n"/>
      <c r="AK285" s="16" t="n"/>
      <c r="AL285" s="16" t="n"/>
      <c r="AM285" s="13" t="inlineStr">
        <is>
          <t>Baixa</t>
        </is>
      </c>
      <c r="AN285" s="13" t="inlineStr"/>
      <c r="AO285" s="19" t="inlineStr">
        <is>
          <t>Não</t>
        </is>
      </c>
      <c r="AP285" s="13" t="inlineStr"/>
      <c r="AQ285" s="13" t="inlineStr"/>
      <c r="AR285" s="15" t="inlineStr"/>
      <c r="AS285" s="15" t="inlineStr">
        <is>
          <t>NOTAS FISCAIS DE COMPRA JANEIRO 2026.pdf - p. 284</t>
        </is>
      </c>
    </row>
    <row r="286">
      <c r="A286" s="13" t="inlineStr">
        <is>
          <t>JAN26-P285</t>
        </is>
      </c>
      <c r="B286" s="13" t="n">
        <v>285</v>
      </c>
      <c r="C286" s="13" t="inlineStr">
        <is>
          <t>Outros/Documento</t>
        </is>
      </c>
      <c r="D286" s="13" t="inlineStr"/>
      <c r="E286" s="13" t="inlineStr"/>
      <c r="F286" s="13" t="inlineStr"/>
      <c r="G286" s="25" t="n">
        <v>46038</v>
      </c>
      <c r="H286" s="25" t="n"/>
      <c r="I286" s="13" t="inlineStr"/>
      <c r="J286" s="13" t="inlineStr">
        <is>
          <t>SERIZ 001 | wwoinfe.fazenda gov brfponal ov na site de Sefuz Autorizadorn</t>
        </is>
      </c>
      <c r="K286" s="13" t="inlineStr"/>
      <c r="L286" s="13" t="inlineStr">
        <is>
          <t>23.655.038/0002-89</t>
        </is>
      </c>
      <c r="M286" s="13" t="inlineStr">
        <is>
          <t>SKAL /0002</t>
        </is>
      </c>
      <c r="N286" s="13" t="inlineStr">
        <is>
          <t>Apoio</t>
        </is>
      </c>
      <c r="O286" s="13" t="inlineStr">
        <is>
          <t>Documento de apoio</t>
        </is>
      </c>
      <c r="P286" s="15" t="inlineStr"/>
      <c r="Q286" s="16" t="n"/>
      <c r="R286" s="16" t="n"/>
      <c r="S286" s="16" t="n"/>
      <c r="T286" s="16" t="n"/>
      <c r="U286" s="16" t="n"/>
      <c r="V286" s="17" t="n"/>
      <c r="W286" s="16" t="n"/>
      <c r="X286" s="16" t="n"/>
      <c r="Y286" s="16" t="n"/>
      <c r="Z286" s="16" t="n"/>
      <c r="AA286" s="16" t="n"/>
      <c r="AB286" s="16" t="n"/>
      <c r="AC286" s="16" t="n"/>
      <c r="AD286" s="17" t="n"/>
      <c r="AE286" s="16" t="n"/>
      <c r="AF286" s="16" t="n"/>
      <c r="AG286" s="16" t="n"/>
      <c r="AH286" s="16" t="n"/>
      <c r="AI286" s="16" t="n"/>
      <c r="AJ286" s="16" t="n"/>
      <c r="AK286" s="16" t="n"/>
      <c r="AL286" s="16" t="n"/>
      <c r="AM286" s="13" t="inlineStr">
        <is>
          <t>Baixa</t>
        </is>
      </c>
      <c r="AN286" s="13" t="inlineStr"/>
      <c r="AO286" s="19" t="inlineStr">
        <is>
          <t>Não</t>
        </is>
      </c>
      <c r="AP286" s="13" t="inlineStr"/>
      <c r="AQ286" s="13" t="inlineStr"/>
      <c r="AR286" s="15" t="inlineStr"/>
      <c r="AS286" s="15" t="inlineStr">
        <is>
          <t>NOTAS FISCAIS DE COMPRA JANEIRO 2026.pdf - p. 285</t>
        </is>
      </c>
    </row>
    <row r="287">
      <c r="A287" s="13" t="inlineStr">
        <is>
          <t>JAN26-P286</t>
        </is>
      </c>
      <c r="B287" s="13" t="n">
        <v>286</v>
      </c>
      <c r="C287" s="13" t="inlineStr">
        <is>
          <t>Outros/Documento</t>
        </is>
      </c>
      <c r="D287" s="13" t="inlineStr"/>
      <c r="E287" s="13" t="inlineStr"/>
      <c r="F287" s="13" t="inlineStr"/>
      <c r="G287" s="25" t="n"/>
      <c r="H287" s="25" t="n"/>
      <c r="I287" s="13" t="inlineStr"/>
      <c r="J287" s="13" t="inlineStr">
        <is>
          <t>sma 38 6 F COMERCIO OF MAQUINAS E FERRAGENS LTDA - ME os prodvins conctantes da now fucatindicada aoiado |</t>
        </is>
      </c>
      <c r="K287" s="13" t="inlineStr"/>
      <c r="L287" s="13" t="inlineStr"/>
      <c r="M287" s="13" t="inlineStr"/>
      <c r="N287" s="13" t="inlineStr">
        <is>
          <t>Apoio</t>
        </is>
      </c>
      <c r="O287" s="13" t="inlineStr">
        <is>
          <t>Documento de apoio</t>
        </is>
      </c>
      <c r="P287" s="15" t="inlineStr"/>
      <c r="Q287" s="16" t="n"/>
      <c r="R287" s="16" t="n"/>
      <c r="S287" s="16" t="n"/>
      <c r="T287" s="16" t="n"/>
      <c r="U287" s="16" t="n"/>
      <c r="V287" s="17" t="n"/>
      <c r="W287" s="16" t="n"/>
      <c r="X287" s="16" t="n"/>
      <c r="Y287" s="16" t="n"/>
      <c r="Z287" s="16" t="n"/>
      <c r="AA287" s="16" t="n"/>
      <c r="AB287" s="16" t="n"/>
      <c r="AC287" s="16" t="n"/>
      <c r="AD287" s="17" t="n"/>
      <c r="AE287" s="16" t="n"/>
      <c r="AF287" s="16" t="n"/>
      <c r="AG287" s="16" t="n"/>
      <c r="AH287" s="16" t="n"/>
      <c r="AI287" s="16" t="n"/>
      <c r="AJ287" s="16" t="n"/>
      <c r="AK287" s="16" t="n"/>
      <c r="AL287" s="16" t="n"/>
      <c r="AM287" s="13" t="inlineStr">
        <is>
          <t>Baixa</t>
        </is>
      </c>
      <c r="AN287" s="13" t="inlineStr"/>
      <c r="AO287" s="19" t="inlineStr">
        <is>
          <t>Não</t>
        </is>
      </c>
      <c r="AP287" s="13" t="inlineStr"/>
      <c r="AQ287" s="13" t="inlineStr"/>
      <c r="AR287" s="15" t="inlineStr"/>
      <c r="AS287" s="15" t="inlineStr">
        <is>
          <t>NOTAS FISCAIS DE COMPRA JANEIRO 2026.pdf - p. 286</t>
        </is>
      </c>
    </row>
    <row r="288">
      <c r="A288" s="13" t="inlineStr">
        <is>
          <t>JAN26-P287</t>
        </is>
      </c>
      <c r="B288" s="13" t="n">
        <v>287</v>
      </c>
      <c r="C288" s="13" t="inlineStr">
        <is>
          <t>NF-e</t>
        </is>
      </c>
      <c r="D288" s="13" t="inlineStr"/>
      <c r="E288" s="13" t="inlineStr"/>
      <c r="F288" s="13" t="inlineStr"/>
      <c r="G288" s="25" t="n">
        <v>46043</v>
      </c>
      <c r="H288" s="25" t="n"/>
      <c r="I288" s="13" t="inlineStr"/>
      <c r="J288" s="13" t="inlineStr">
        <is>
          <t>[VENDA DE MERCADURIA ADQUIRIDA OU RECBBIDA DE TERCEIROS: 21/01/2026 09:56:00</t>
        </is>
      </c>
      <c r="K288" s="13" t="inlineStr"/>
      <c r="L288" s="13" t="inlineStr"/>
      <c r="M288" s="13" t="inlineStr"/>
      <c r="N288" s="13" t="inlineStr">
        <is>
          <t>Produtos</t>
        </is>
      </c>
      <c r="O288" s="13" t="inlineStr">
        <is>
          <t>Outros produtos</t>
        </is>
      </c>
      <c r="P288" s="15" t="inlineStr"/>
      <c r="Q288" s="16" t="n"/>
      <c r="R288" s="16" t="n"/>
      <c r="S288" s="16" t="n"/>
      <c r="T288" s="16" t="n"/>
      <c r="U288" s="16" t="n"/>
      <c r="V288" s="17" t="n"/>
      <c r="W288" s="16" t="n"/>
      <c r="X288" s="16" t="n"/>
      <c r="Y288" s="16" t="n"/>
      <c r="Z288" s="16" t="n"/>
      <c r="AA288" s="16" t="n"/>
      <c r="AB288" s="16" t="n"/>
      <c r="AC288" s="16" t="n"/>
      <c r="AD288" s="17" t="n"/>
      <c r="AE288" s="16" t="n"/>
      <c r="AF288" s="16" t="n"/>
      <c r="AG288" s="16" t="n"/>
      <c r="AH288" s="16" t="n"/>
      <c r="AI288" s="16" t="n"/>
      <c r="AJ288" s="16" t="n"/>
      <c r="AK288" s="16" t="n"/>
      <c r="AL288" s="16" t="n"/>
      <c r="AM288" s="13" t="inlineStr">
        <is>
          <t>Baixa</t>
        </is>
      </c>
      <c r="AN288" s="21" t="inlineStr">
        <is>
          <t>Revisar documento</t>
        </is>
      </c>
      <c r="AO288" s="20" t="inlineStr">
        <is>
          <t>Revisar</t>
        </is>
      </c>
      <c r="AP288" s="13" t="inlineStr"/>
      <c r="AQ288" s="13" t="inlineStr"/>
      <c r="AR288" s="15" t="inlineStr"/>
      <c r="AS288" s="15" t="inlineStr">
        <is>
          <t>NOTAS FISCAIS DE COMPRA JANEIRO 2026.pdf - p. 287</t>
        </is>
      </c>
    </row>
    <row r="289">
      <c r="A289" s="13" t="inlineStr">
        <is>
          <t>JAN26-P288</t>
        </is>
      </c>
      <c r="B289" s="13" t="n">
        <v>288</v>
      </c>
      <c r="C289" s="13" t="inlineStr">
        <is>
          <t>Outros/Documento</t>
        </is>
      </c>
      <c r="D289" s="13" t="inlineStr"/>
      <c r="E289" s="13" t="inlineStr"/>
      <c r="F289" s="13" t="inlineStr"/>
      <c r="G289" s="25" t="n"/>
      <c r="H289" s="25" t="n"/>
      <c r="I289" s="13" t="inlineStr"/>
      <c r="J289" s="13" t="inlineStr">
        <is>
          <t>linleiaaeiaiaal Fr" anal ag SO wa na [en aw)</t>
        </is>
      </c>
      <c r="K289" s="13" t="inlineStr"/>
      <c r="L289" s="13" t="inlineStr"/>
      <c r="M289" s="13" t="inlineStr"/>
      <c r="N289" s="13" t="inlineStr">
        <is>
          <t>Apoio</t>
        </is>
      </c>
      <c r="O289" s="13" t="inlineStr">
        <is>
          <t>Documento de apoio</t>
        </is>
      </c>
      <c r="P289" s="15" t="inlineStr"/>
      <c r="Q289" s="16" t="n"/>
      <c r="R289" s="16" t="n"/>
      <c r="S289" s="16" t="n"/>
      <c r="T289" s="16" t="n"/>
      <c r="U289" s="16" t="n"/>
      <c r="V289" s="17" t="n"/>
      <c r="W289" s="16" t="n"/>
      <c r="X289" s="16" t="n"/>
      <c r="Y289" s="16" t="n"/>
      <c r="Z289" s="16" t="n"/>
      <c r="AA289" s="16" t="n"/>
      <c r="AB289" s="16" t="n"/>
      <c r="AC289" s="16" t="n"/>
      <c r="AD289" s="17" t="n"/>
      <c r="AE289" s="16" t="n"/>
      <c r="AF289" s="16" t="n"/>
      <c r="AG289" s="16" t="n"/>
      <c r="AH289" s="16" t="n"/>
      <c r="AI289" s="16" t="n"/>
      <c r="AJ289" s="16" t="n"/>
      <c r="AK289" s="16" t="n"/>
      <c r="AL289" s="16" t="n"/>
      <c r="AM289" s="13" t="inlineStr">
        <is>
          <t>Baixa</t>
        </is>
      </c>
      <c r="AN289" s="13" t="inlineStr"/>
      <c r="AO289" s="19" t="inlineStr">
        <is>
          <t>Não</t>
        </is>
      </c>
      <c r="AP289" s="13" t="inlineStr"/>
      <c r="AQ289" s="13" t="inlineStr"/>
      <c r="AR289" s="15" t="inlineStr"/>
      <c r="AS289" s="15" t="inlineStr">
        <is>
          <t>NOTAS FISCAIS DE COMPRA JANEIRO 2026.pdf - p. 288</t>
        </is>
      </c>
    </row>
    <row r="290">
      <c r="A290" s="13" t="inlineStr">
        <is>
          <t>JAN26-P289</t>
        </is>
      </c>
      <c r="B290" s="13" t="n">
        <v>289</v>
      </c>
      <c r="C290" s="13" t="inlineStr">
        <is>
          <t>Outros/Documento</t>
        </is>
      </c>
      <c r="D290" s="13" t="inlineStr"/>
      <c r="E290" s="13" t="inlineStr"/>
      <c r="F290" s="13" t="inlineStr"/>
      <c r="G290" s="25" t="n"/>
      <c r="H290" s="25" t="n"/>
      <c r="I290" s="13" t="inlineStr"/>
      <c r="J290" s="13" t="inlineStr">
        <is>
          <t>f Town joanne Toon [ow | me [on ca</t>
        </is>
      </c>
      <c r="K290" s="13" t="inlineStr"/>
      <c r="L290" s="13" t="inlineStr"/>
      <c r="M290" s="13" t="inlineStr"/>
      <c r="N290" s="13" t="inlineStr">
        <is>
          <t>Apoio</t>
        </is>
      </c>
      <c r="O290" s="13" t="inlineStr">
        <is>
          <t>Documento de apoio</t>
        </is>
      </c>
      <c r="P290" s="15" t="inlineStr"/>
      <c r="Q290" s="16" t="n"/>
      <c r="R290" s="16" t="n"/>
      <c r="S290" s="16" t="n"/>
      <c r="T290" s="16" t="n"/>
      <c r="U290" s="16" t="n"/>
      <c r="V290" s="17" t="n"/>
      <c r="W290" s="16" t="n"/>
      <c r="X290" s="16" t="n"/>
      <c r="Y290" s="16" t="n"/>
      <c r="Z290" s="16" t="n"/>
      <c r="AA290" s="16" t="n"/>
      <c r="AB290" s="16" t="n"/>
      <c r="AC290" s="16" t="n"/>
      <c r="AD290" s="17" t="n"/>
      <c r="AE290" s="16" t="n"/>
      <c r="AF290" s="16" t="n"/>
      <c r="AG290" s="16" t="n"/>
      <c r="AH290" s="16" t="n"/>
      <c r="AI290" s="16" t="n"/>
      <c r="AJ290" s="16" t="n"/>
      <c r="AK290" s="16" t="n"/>
      <c r="AL290" s="16" t="n"/>
      <c r="AM290" s="13" t="inlineStr">
        <is>
          <t>Baixa</t>
        </is>
      </c>
      <c r="AN290" s="13" t="inlineStr"/>
      <c r="AO290" s="19" t="inlineStr">
        <is>
          <t>Não</t>
        </is>
      </c>
      <c r="AP290" s="13" t="inlineStr"/>
      <c r="AQ290" s="13" t="inlineStr"/>
      <c r="AR290" s="15" t="inlineStr"/>
      <c r="AS290" s="15" t="inlineStr">
        <is>
          <t>NOTAS FISCAIS DE COMPRA JANEIRO 2026.pdf - p. 289</t>
        </is>
      </c>
    </row>
    <row r="291">
      <c r="A291" s="13" t="inlineStr">
        <is>
          <t>JAN26-P290</t>
        </is>
      </c>
      <c r="B291" s="13" t="n">
        <v>290</v>
      </c>
      <c r="C291" s="13" t="inlineStr">
        <is>
          <t>NF-e</t>
        </is>
      </c>
      <c r="D291" s="13" t="inlineStr"/>
      <c r="E291" s="13" t="inlineStr"/>
      <c r="F291" s="13" t="inlineStr"/>
      <c r="G291" s="25" t="n"/>
      <c r="H291" s="25" t="n"/>
      <c r="I291" s="13" t="inlineStr"/>
      <c r="J291" s="13" t="inlineStr">
        <is>
          <t>SERIE 001 | wow:nfe.fazenda.gov.briportal ou no site da Sefaz Autorizadors</t>
        </is>
      </c>
      <c r="K291" s="13" t="inlineStr"/>
      <c r="L291" s="13" t="inlineStr"/>
      <c r="M291" s="13" t="inlineStr"/>
      <c r="N291" s="13" t="inlineStr">
        <is>
          <t>Produtos</t>
        </is>
      </c>
      <c r="O291" s="13" t="inlineStr">
        <is>
          <t>Outros produtos</t>
        </is>
      </c>
      <c r="P291" s="15" t="inlineStr"/>
      <c r="Q291" s="16" t="n"/>
      <c r="R291" s="16" t="n"/>
      <c r="S291" s="16" t="n"/>
      <c r="T291" s="16" t="n"/>
      <c r="U291" s="16" t="n"/>
      <c r="V291" s="17" t="n"/>
      <c r="W291" s="16" t="n"/>
      <c r="X291" s="16" t="n"/>
      <c r="Y291" s="16" t="n"/>
      <c r="Z291" s="16" t="n"/>
      <c r="AA291" s="16" t="n"/>
      <c r="AB291" s="16" t="n"/>
      <c r="AC291" s="16" t="n"/>
      <c r="AD291" s="17" t="n"/>
      <c r="AE291" s="16" t="n"/>
      <c r="AF291" s="16" t="n"/>
      <c r="AG291" s="16" t="n"/>
      <c r="AH291" s="16" t="n"/>
      <c r="AI291" s="16" t="n"/>
      <c r="AJ291" s="16" t="n"/>
      <c r="AK291" s="16" t="n"/>
      <c r="AL291" s="16" t="n"/>
      <c r="AM291" s="13" t="inlineStr">
        <is>
          <t>Baixa</t>
        </is>
      </c>
      <c r="AN291" s="21" t="inlineStr">
        <is>
          <t>Revisar documento</t>
        </is>
      </c>
      <c r="AO291" s="20" t="inlineStr">
        <is>
          <t>Revisar</t>
        </is>
      </c>
      <c r="AP291" s="13" t="inlineStr"/>
      <c r="AQ291" s="13" t="inlineStr"/>
      <c r="AR291" s="15" t="inlineStr"/>
      <c r="AS291" s="15" t="inlineStr">
        <is>
          <t>NOTAS FISCAIS DE COMPRA JANEIRO 2026.pdf - p. 290</t>
        </is>
      </c>
    </row>
    <row r="292">
      <c r="A292" s="13" t="inlineStr">
        <is>
          <t>JAN26-P291</t>
        </is>
      </c>
      <c r="B292" s="13" t="n">
        <v>291</v>
      </c>
      <c r="C292" s="13" t="inlineStr">
        <is>
          <t>NFS-e</t>
        </is>
      </c>
      <c r="D292" s="13" t="inlineStr"/>
      <c r="E292" s="13" t="inlineStr">
        <is>
          <t>3475/U</t>
        </is>
      </c>
      <c r="F292" s="13" t="inlineStr"/>
      <c r="G292" s="25" t="n">
        <v>46042</v>
      </c>
      <c r="H292" s="25" t="n"/>
      <c r="I292" s="13" t="inlineStr"/>
      <c r="J292" s="13" t="inlineStr">
        <is>
          <t>J E SILVA LIMA - ME</t>
        </is>
      </c>
      <c r="K292" s="13" t="inlineStr">
        <is>
          <t>41.528.852/0001-33</t>
        </is>
      </c>
      <c r="L292" s="13" t="inlineStr">
        <is>
          <t>23.655.038/0002-89</t>
        </is>
      </c>
      <c r="M292" s="13" t="inlineStr">
        <is>
          <t>SKAL /0002</t>
        </is>
      </c>
      <c r="N292" s="13" t="inlineStr">
        <is>
          <t>Serviços</t>
        </is>
      </c>
      <c r="O292" s="13" t="inlineStr">
        <is>
          <t>Manutenção elétrica industrial</t>
        </is>
      </c>
      <c r="P292" s="15" t="inlineStr">
        <is>
          <t>Rebobinamento/substituição de rolamentos de dois motores Siemens.</t>
        </is>
      </c>
      <c r="Q292" s="16" t="n">
        <v>3258</v>
      </c>
      <c r="R292" s="16" t="n"/>
      <c r="S292" s="16" t="n"/>
      <c r="T292" s="16" t="n"/>
      <c r="U292" s="16" t="n"/>
      <c r="V292" s="17" t="n"/>
      <c r="W292" s="16" t="n"/>
      <c r="X292" s="16" t="n"/>
      <c r="Y292" s="16" t="n"/>
      <c r="Z292" s="16" t="n"/>
      <c r="AA292" s="16" t="n"/>
      <c r="AB292" s="16" t="n"/>
      <c r="AC292" s="16" t="n"/>
      <c r="AD292" s="17" t="n"/>
      <c r="AE292" s="16" t="n"/>
      <c r="AF292" s="16" t="n"/>
      <c r="AG292" s="16" t="n"/>
      <c r="AH292" s="16" t="n"/>
      <c r="AI292" s="16" t="n"/>
      <c r="AJ292" s="16" t="n"/>
      <c r="AK292" s="16" t="n"/>
      <c r="AL292" s="16" t="n"/>
      <c r="AM292" s="13" t="inlineStr">
        <is>
          <t>Baixa</t>
        </is>
      </c>
      <c r="AN292" s="13" t="inlineStr"/>
      <c r="AO292" s="18" t="inlineStr">
        <is>
          <t>Sim</t>
        </is>
      </c>
      <c r="AP292" s="13" t="inlineStr"/>
      <c r="AQ292" s="13" t="inlineStr"/>
      <c r="AR292" s="15" t="inlineStr"/>
      <c r="AS292" s="15" t="inlineStr">
        <is>
          <t>NOTAS FISCAIS DE COMPRA JANEIRO 2026.pdf - p. 291</t>
        </is>
      </c>
    </row>
    <row r="293">
      <c r="A293" s="13" t="inlineStr">
        <is>
          <t>JAN26-P292</t>
        </is>
      </c>
      <c r="B293" s="13" t="n">
        <v>292</v>
      </c>
      <c r="C293" s="13" t="inlineStr">
        <is>
          <t>NFS-e</t>
        </is>
      </c>
      <c r="D293" s="13" t="inlineStr"/>
      <c r="E293" s="13" t="inlineStr">
        <is>
          <t>1087/U</t>
        </is>
      </c>
      <c r="F293" s="13" t="inlineStr"/>
      <c r="G293" s="25" t="n">
        <v>46042</v>
      </c>
      <c r="H293" s="25" t="n"/>
      <c r="I293" s="13" t="inlineStr"/>
      <c r="J293" s="13" t="inlineStr">
        <is>
          <t>A LUIZ NETO LTDA</t>
        </is>
      </c>
      <c r="K293" s="13" t="inlineStr">
        <is>
          <t>02.891.966/0001-91</t>
        </is>
      </c>
      <c r="L293" s="13" t="inlineStr">
        <is>
          <t>23.655.038/0002-89</t>
        </is>
      </c>
      <c r="M293" s="13" t="inlineStr">
        <is>
          <t>SKAL /0002</t>
        </is>
      </c>
      <c r="N293" s="13" t="inlineStr">
        <is>
          <t>Serviços</t>
        </is>
      </c>
      <c r="O293" s="13" t="inlineStr">
        <is>
          <t>Serviço metalúrgico</t>
        </is>
      </c>
      <c r="P293" s="15" t="inlineStr">
        <is>
          <t>Corte e calandragem.</t>
        </is>
      </c>
      <c r="Q293" s="16" t="n">
        <v>1500</v>
      </c>
      <c r="R293" s="16" t="n"/>
      <c r="S293" s="16" t="n"/>
      <c r="T293" s="16" t="n"/>
      <c r="U293" s="16" t="n"/>
      <c r="V293" s="17" t="n"/>
      <c r="W293" s="16" t="n"/>
      <c r="X293" s="16" t="n"/>
      <c r="Y293" s="16" t="n"/>
      <c r="Z293" s="16" t="n"/>
      <c r="AA293" s="16" t="n">
        <v>2</v>
      </c>
      <c r="AB293" s="16" t="n">
        <v>2</v>
      </c>
      <c r="AC293" s="16" t="n"/>
      <c r="AD293" s="17" t="n"/>
      <c r="AE293" s="16" t="n"/>
      <c r="AF293" s="16" t="n"/>
      <c r="AG293" s="16" t="n"/>
      <c r="AH293" s="16" t="n"/>
      <c r="AI293" s="16" t="n"/>
      <c r="AJ293" s="16" t="n"/>
      <c r="AK293" s="16" t="n"/>
      <c r="AL293" s="16" t="n"/>
      <c r="AM293" s="13" t="inlineStr">
        <is>
          <t>Baixa</t>
        </is>
      </c>
      <c r="AN293" s="13" t="inlineStr"/>
      <c r="AO293" s="18" t="inlineStr">
        <is>
          <t>Sim</t>
        </is>
      </c>
      <c r="AP293" s="13" t="inlineStr"/>
      <c r="AQ293" s="13" t="inlineStr"/>
      <c r="AR293" s="15" t="inlineStr"/>
      <c r="AS293" s="15" t="inlineStr">
        <is>
          <t>NOTAS FISCAIS DE COMPRA JANEIRO 2026.pdf - p. 292</t>
        </is>
      </c>
    </row>
    <row r="294">
      <c r="A294" s="13" t="inlineStr">
        <is>
          <t>JAN26-P293</t>
        </is>
      </c>
      <c r="B294" s="13" t="n">
        <v>293</v>
      </c>
      <c r="C294" s="13" t="inlineStr">
        <is>
          <t>NF-e</t>
        </is>
      </c>
      <c r="D294" s="13" t="inlineStr"/>
      <c r="E294" s="13" t="inlineStr"/>
      <c r="F294" s="13" t="inlineStr"/>
      <c r="G294" s="25" t="n"/>
      <c r="H294" s="25" t="n"/>
      <c r="I294" s="13" t="inlineStr"/>
      <c r="J294" s="13" t="inlineStr">
        <is>
          <t>Re Ee tet CAT SARS fan BEST INn LSC RAL EXORTSNIA NDC STWA ECOMERCIOLION: AN PRIDA ASO NF 4</t>
        </is>
      </c>
      <c r="K294" s="13" t="inlineStr"/>
      <c r="L294" s="13" t="inlineStr"/>
      <c r="M294" s="13" t="inlineStr"/>
      <c r="N294" s="13" t="inlineStr">
        <is>
          <t>Produtos</t>
        </is>
      </c>
      <c r="O294" s="13" t="inlineStr">
        <is>
          <t>Manutencao/pecas</t>
        </is>
      </c>
      <c r="P294" s="15" t="inlineStr"/>
      <c r="Q294" s="16" t="n"/>
      <c r="R294" s="16" t="n"/>
      <c r="S294" s="16" t="n"/>
      <c r="T294" s="16" t="n"/>
      <c r="U294" s="16" t="n"/>
      <c r="V294" s="17" t="n"/>
      <c r="W294" s="16" t="n"/>
      <c r="X294" s="16" t="n"/>
      <c r="Y294" s="16" t="n"/>
      <c r="Z294" s="16" t="n"/>
      <c r="AA294" s="16" t="n"/>
      <c r="AB294" s="16" t="n"/>
      <c r="AC294" s="16" t="n"/>
      <c r="AD294" s="17" t="n"/>
      <c r="AE294" s="16" t="n"/>
      <c r="AF294" s="16" t="n"/>
      <c r="AG294" s="16" t="n"/>
      <c r="AH294" s="16" t="n"/>
      <c r="AI294" s="16" t="n"/>
      <c r="AJ294" s="16" t="n"/>
      <c r="AK294" s="16" t="n"/>
      <c r="AL294" s="16" t="n"/>
      <c r="AM294" s="13" t="inlineStr">
        <is>
          <t>Baixa</t>
        </is>
      </c>
      <c r="AN294" s="21" t="inlineStr">
        <is>
          <t>Revisar documento</t>
        </is>
      </c>
      <c r="AO294" s="20" t="inlineStr">
        <is>
          <t>Revisar</t>
        </is>
      </c>
      <c r="AP294" s="13" t="inlineStr"/>
      <c r="AQ294" s="13" t="inlineStr"/>
      <c r="AR294" s="15" t="inlineStr"/>
      <c r="AS294" s="15" t="inlineStr">
        <is>
          <t>NOTAS FISCAIS DE COMPRA JANEIRO 2026.pdf - p. 293</t>
        </is>
      </c>
    </row>
    <row r="295">
      <c r="A295" s="13" t="inlineStr">
        <is>
          <t>JAN26-P294</t>
        </is>
      </c>
      <c r="B295" s="13" t="n">
        <v>294</v>
      </c>
      <c r="C295" s="13" t="inlineStr">
        <is>
          <t>NFS-e</t>
        </is>
      </c>
      <c r="D295" s="13" t="inlineStr"/>
      <c r="E295" s="13" t="inlineStr">
        <is>
          <t>71/U</t>
        </is>
      </c>
      <c r="F295" s="13" t="inlineStr"/>
      <c r="G295" s="25" t="n">
        <v>46027</v>
      </c>
      <c r="H295" s="25" t="n"/>
      <c r="I295" s="13" t="inlineStr"/>
      <c r="J295" s="13" t="inlineStr">
        <is>
          <t>M H F SANTOS AUTOPECAS</t>
        </is>
      </c>
      <c r="K295" s="13" t="inlineStr">
        <is>
          <t>22.729.208/0001-89</t>
        </is>
      </c>
      <c r="L295" s="13" t="inlineStr">
        <is>
          <t>23.655.038/0002-89</t>
        </is>
      </c>
      <c r="M295" s="13" t="inlineStr">
        <is>
          <t>SKAL /0002</t>
        </is>
      </c>
      <c r="N295" s="13" t="inlineStr">
        <is>
          <t>Serviços</t>
        </is>
      </c>
      <c r="O295" s="13" t="inlineStr">
        <is>
          <t>Manutenção automotiva</t>
        </is>
      </c>
      <c r="P295" s="15" t="inlineStr">
        <is>
          <t>Mão de obra veículo placa QRV-1248.</t>
        </is>
      </c>
      <c r="Q295" s="16" t="n">
        <v>120</v>
      </c>
      <c r="R295" s="16" t="n"/>
      <c r="S295" s="16" t="n"/>
      <c r="T295" s="16" t="n"/>
      <c r="U295" s="16" t="n"/>
      <c r="V295" s="17" t="n"/>
      <c r="W295" s="16" t="n"/>
      <c r="X295" s="16" t="n"/>
      <c r="Y295" s="16" t="n"/>
      <c r="Z295" s="16" t="n"/>
      <c r="AA295" s="16" t="n"/>
      <c r="AB295" s="16" t="n"/>
      <c r="AC295" s="16" t="n"/>
      <c r="AD295" s="17" t="n"/>
      <c r="AE295" s="16" t="n"/>
      <c r="AF295" s="16" t="n"/>
      <c r="AG295" s="16" t="n"/>
      <c r="AH295" s="16" t="n"/>
      <c r="AI295" s="16" t="n"/>
      <c r="AJ295" s="16" t="n"/>
      <c r="AK295" s="16" t="n"/>
      <c r="AL295" s="16" t="n"/>
      <c r="AM295" s="13" t="inlineStr">
        <is>
          <t>Baixa</t>
        </is>
      </c>
      <c r="AN295" s="13" t="inlineStr"/>
      <c r="AO295" s="18" t="inlineStr">
        <is>
          <t>Sim</t>
        </is>
      </c>
      <c r="AP295" s="13" t="inlineStr"/>
      <c r="AQ295" s="13" t="inlineStr"/>
      <c r="AR295" s="15" t="inlineStr"/>
      <c r="AS295" s="15" t="inlineStr">
        <is>
          <t>NOTAS FISCAIS DE COMPRA JANEIRO 2026.pdf - p. 294</t>
        </is>
      </c>
    </row>
    <row r="296">
      <c r="A296" s="13" t="inlineStr">
        <is>
          <t>JAN26-P295</t>
        </is>
      </c>
      <c r="B296" s="13" t="n">
        <v>295</v>
      </c>
      <c r="C296" s="13" t="inlineStr">
        <is>
          <t>NFS-e</t>
        </is>
      </c>
      <c r="D296" s="13" t="inlineStr"/>
      <c r="E296" s="13" t="inlineStr">
        <is>
          <t>240/U</t>
        </is>
      </c>
      <c r="F296" s="13" t="inlineStr"/>
      <c r="G296" s="25" t="n">
        <v>46024</v>
      </c>
      <c r="H296" s="25" t="n"/>
      <c r="I296" s="13" t="inlineStr"/>
      <c r="J296" s="13" t="inlineStr">
        <is>
          <t>BOA VISTA AUTO ELETRICA LTDA</t>
        </is>
      </c>
      <c r="K296" s="13" t="inlineStr">
        <is>
          <t>18.414.737/0001-16</t>
        </is>
      </c>
      <c r="L296" s="13" t="inlineStr">
        <is>
          <t>23.655.038/0002-89</t>
        </is>
      </c>
      <c r="M296" s="13" t="inlineStr">
        <is>
          <t>SKAL /0002</t>
        </is>
      </c>
      <c r="N296" s="13" t="inlineStr">
        <is>
          <t>Serviços</t>
        </is>
      </c>
      <c r="O296" s="13" t="inlineStr">
        <is>
          <t>Manutenção automotiva</t>
        </is>
      </c>
      <c r="P296" s="15" t="inlineStr">
        <is>
          <t>Serviço em motor de partida.</t>
        </is>
      </c>
      <c r="Q296" s="16" t="n">
        <v>685</v>
      </c>
      <c r="R296" s="16" t="n"/>
      <c r="S296" s="16" t="n"/>
      <c r="T296" s="16" t="n"/>
      <c r="U296" s="16" t="n"/>
      <c r="V296" s="17" t="n"/>
      <c r="W296" s="16" t="n"/>
      <c r="X296" s="16" t="n"/>
      <c r="Y296" s="16" t="n"/>
      <c r="Z296" s="16" t="n"/>
      <c r="AA296" s="16" t="n"/>
      <c r="AB296" s="16" t="n"/>
      <c r="AC296" s="16" t="n"/>
      <c r="AD296" s="17" t="n"/>
      <c r="AE296" s="16" t="n"/>
      <c r="AF296" s="16" t="n"/>
      <c r="AG296" s="16" t="n"/>
      <c r="AH296" s="16" t="n"/>
      <c r="AI296" s="16" t="n"/>
      <c r="AJ296" s="16" t="n"/>
      <c r="AK296" s="16" t="n"/>
      <c r="AL296" s="16" t="n"/>
      <c r="AM296" s="13" t="inlineStr">
        <is>
          <t>Media</t>
        </is>
      </c>
      <c r="AN296" s="13" t="inlineStr"/>
      <c r="AO296" s="18" t="inlineStr">
        <is>
          <t>Sim</t>
        </is>
      </c>
      <c r="AP296" s="13" t="inlineStr"/>
      <c r="AQ296" s="13" t="inlineStr"/>
      <c r="AR296" s="15" t="inlineStr"/>
      <c r="AS296" s="15" t="inlineStr">
        <is>
          <t>NOTAS FISCAIS DE COMPRA JANEIRO 2026.pdf - p. 295</t>
        </is>
      </c>
    </row>
    <row r="297">
      <c r="A297" s="13" t="inlineStr">
        <is>
          <t>JAN26-P296</t>
        </is>
      </c>
      <c r="B297" s="13" t="n">
        <v>296</v>
      </c>
      <c r="C297" s="13" t="inlineStr">
        <is>
          <t>Outros/Documento</t>
        </is>
      </c>
      <c r="D297" s="13" t="inlineStr"/>
      <c r="E297" s="13" t="inlineStr"/>
      <c r="F297" s="13" t="inlineStr"/>
      <c r="G297" s="25" t="n"/>
      <c r="H297" s="25" t="n"/>
      <c r="I297" s="13" t="inlineStr"/>
      <c r="J297" s="13" t="inlineStr">
        <is>
          <t>IRUA SIMPLICIO MENDES N.599 CENTRO [rexeswa or ioaaeszes |</t>
        </is>
      </c>
      <c r="K297" s="13" t="inlineStr"/>
      <c r="L297" s="13" t="inlineStr">
        <is>
          <t>23.655.038/0002-89</t>
        </is>
      </c>
      <c r="M297" s="13" t="inlineStr">
        <is>
          <t>SKAL /0002</t>
        </is>
      </c>
      <c r="N297" s="13" t="inlineStr">
        <is>
          <t>Apoio</t>
        </is>
      </c>
      <c r="O297" s="13" t="inlineStr">
        <is>
          <t>Documento de apoio</t>
        </is>
      </c>
      <c r="P297" s="15" t="inlineStr"/>
      <c r="Q297" s="16" t="n"/>
      <c r="R297" s="16" t="n"/>
      <c r="S297" s="16" t="n"/>
      <c r="T297" s="16" t="n"/>
      <c r="U297" s="16" t="n"/>
      <c r="V297" s="17" t="n"/>
      <c r="W297" s="16" t="n"/>
      <c r="X297" s="16" t="n"/>
      <c r="Y297" s="16" t="n"/>
      <c r="Z297" s="16" t="n"/>
      <c r="AA297" s="16" t="n"/>
      <c r="AB297" s="16" t="n"/>
      <c r="AC297" s="16" t="n"/>
      <c r="AD297" s="17" t="n"/>
      <c r="AE297" s="16" t="n"/>
      <c r="AF297" s="16" t="n"/>
      <c r="AG297" s="16" t="n"/>
      <c r="AH297" s="16" t="n"/>
      <c r="AI297" s="16" t="n"/>
      <c r="AJ297" s="16" t="n"/>
      <c r="AK297" s="16" t="n"/>
      <c r="AL297" s="16" t="n"/>
      <c r="AM297" s="13" t="inlineStr">
        <is>
          <t>Baixa</t>
        </is>
      </c>
      <c r="AN297" s="13" t="inlineStr"/>
      <c r="AO297" s="19" t="inlineStr">
        <is>
          <t>Não</t>
        </is>
      </c>
      <c r="AP297" s="13" t="inlineStr"/>
      <c r="AQ297" s="13" t="inlineStr"/>
      <c r="AR297" s="15" t="inlineStr"/>
      <c r="AS297" s="15" t="inlineStr">
        <is>
          <t>NOTAS FISCAIS DE COMPRA JANEIRO 2026.pdf - p. 296</t>
        </is>
      </c>
    </row>
    <row r="298">
      <c r="A298" s="13" t="inlineStr">
        <is>
          <t>JAN26-P297</t>
        </is>
      </c>
      <c r="B298" s="13" t="n">
        <v>297</v>
      </c>
      <c r="C298" s="13" t="inlineStr">
        <is>
          <t>NF-e</t>
        </is>
      </c>
      <c r="D298" s="13" t="inlineStr"/>
      <c r="E298" s="13" t="inlineStr"/>
      <c r="F298" s="13" t="inlineStr"/>
      <c r="G298" s="25" t="n">
        <v>46028</v>
      </c>
      <c r="H298" s="25" t="n"/>
      <c r="I298" s="13" t="inlineStr"/>
      <c r="J298" s="13" t="inlineStr">
        <is>
          <t>f (861 3248-2654 64001490 NP: 80160 ‘ww wanie,fazcada. gor.b¢ uu na site da Sefaz Autorizadora</t>
        </is>
      </c>
      <c r="K298" s="13" t="inlineStr"/>
      <c r="L298" s="13" t="inlineStr">
        <is>
          <t>23.655.038/0002-89</t>
        </is>
      </c>
      <c r="M298" s="13" t="inlineStr">
        <is>
          <t>SKAL /0002</t>
        </is>
      </c>
      <c r="N298" s="13" t="inlineStr">
        <is>
          <t>Produtos</t>
        </is>
      </c>
      <c r="O298" s="13" t="inlineStr">
        <is>
          <t>Manutencao/pecas</t>
        </is>
      </c>
      <c r="P298" s="15" t="inlineStr"/>
      <c r="Q298" s="16" t="n"/>
      <c r="R298" s="16" t="n"/>
      <c r="S298" s="16" t="n"/>
      <c r="T298" s="16" t="n"/>
      <c r="U298" s="16" t="n"/>
      <c r="V298" s="17" t="n"/>
      <c r="W298" s="16" t="n"/>
      <c r="X298" s="16" t="n"/>
      <c r="Y298" s="16" t="n"/>
      <c r="Z298" s="16" t="n"/>
      <c r="AA298" s="16" t="n"/>
      <c r="AB298" s="16" t="n"/>
      <c r="AC298" s="16" t="n"/>
      <c r="AD298" s="17" t="n"/>
      <c r="AE298" s="16" t="n"/>
      <c r="AF298" s="16" t="n"/>
      <c r="AG298" s="16" t="n"/>
      <c r="AH298" s="16" t="n"/>
      <c r="AI298" s="16" t="n"/>
      <c r="AJ298" s="16" t="n"/>
      <c r="AK298" s="16" t="n"/>
      <c r="AL298" s="16" t="n"/>
      <c r="AM298" s="13" t="inlineStr">
        <is>
          <t>Baixa</t>
        </is>
      </c>
      <c r="AN298" s="21" t="inlineStr">
        <is>
          <t>Revisar documento</t>
        </is>
      </c>
      <c r="AO298" s="20" t="inlineStr">
        <is>
          <t>Revisar</t>
        </is>
      </c>
      <c r="AP298" s="13" t="inlineStr"/>
      <c r="AQ298" s="13" t="inlineStr"/>
      <c r="AR298" s="15" t="inlineStr"/>
      <c r="AS298" s="15" t="inlineStr">
        <is>
          <t>NOTAS FISCAIS DE COMPRA JANEIRO 2026.pdf - p. 297</t>
        </is>
      </c>
    </row>
    <row r="299">
      <c r="A299" s="13" t="inlineStr">
        <is>
          <t>JAN26-P298</t>
        </is>
      </c>
      <c r="B299" s="13" t="n">
        <v>298</v>
      </c>
      <c r="C299" s="13" t="inlineStr">
        <is>
          <t>Outros/Documento</t>
        </is>
      </c>
      <c r="D299" s="13" t="inlineStr"/>
      <c r="E299" s="13" t="inlineStr"/>
      <c r="F299" s="13" t="inlineStr"/>
      <c r="G299" s="25" t="n">
        <v>46028</v>
      </c>
      <c r="H299" s="25" t="n"/>
      <c r="I299" s="13" t="inlineStr"/>
      <c r="J299" s="13" t="inlineStr">
        <is>
          <t>VENDA DE MERCADORIA ADQUIRIDA OU RECEBIDA DE TERCE. XEAOOOND A466 - 06/01 72026 LI:LOSY</t>
        </is>
      </c>
      <c r="K299" s="13" t="inlineStr"/>
      <c r="L299" s="13" t="inlineStr">
        <is>
          <t>23.655.038/0002-89</t>
        </is>
      </c>
      <c r="M299" s="13" t="inlineStr">
        <is>
          <t>SKAL /0002</t>
        </is>
      </c>
      <c r="N299" s="13" t="inlineStr">
        <is>
          <t>Apoio</t>
        </is>
      </c>
      <c r="O299" s="13" t="inlineStr">
        <is>
          <t>Documento de apoio</t>
        </is>
      </c>
      <c r="P299" s="15" t="inlineStr">
        <is>
          <t>eon Peas | Desa DoReeceoe pence | ES re [8 [ee [rfom [ome tt [it ncn rele eas | (eoacan [enero we: emene [sel ov | come [ramen [sem | om ams [om Low Pam | “mar | e {oss | gee? | CALCULO DO IS8QN | Eso ee | | DADOSADICIONAIS—— SS SSCOSCOOCOCOCOCOCOCSCSCSC“‘NNN | nae eR SEO CRemTTO PHIL [e IOKS, DE TaS E ce TE. 1e0820 ESERWADO ADETSCO</t>
        </is>
      </c>
      <c r="Q299" s="16" t="n"/>
      <c r="R299" s="16" t="n"/>
      <c r="S299" s="16" t="n"/>
      <c r="T299" s="16" t="n"/>
      <c r="U299" s="16" t="n"/>
      <c r="V299" s="17" t="n"/>
      <c r="W299" s="16" t="n"/>
      <c r="X299" s="16" t="n"/>
      <c r="Y299" s="16" t="n"/>
      <c r="Z299" s="16" t="n"/>
      <c r="AA299" s="16" t="n"/>
      <c r="AB299" s="16" t="n"/>
      <c r="AC299" s="16" t="n"/>
      <c r="AD299" s="17" t="n"/>
      <c r="AE299" s="16" t="n"/>
      <c r="AF299" s="16" t="n"/>
      <c r="AG299" s="16" t="n"/>
      <c r="AH299" s="16" t="n"/>
      <c r="AI299" s="16" t="n"/>
      <c r="AJ299" s="16" t="n"/>
      <c r="AK299" s="16" t="n"/>
      <c r="AL299" s="16" t="n"/>
      <c r="AM299" s="13" t="inlineStr">
        <is>
          <t>Baixa</t>
        </is>
      </c>
      <c r="AN299" s="13" t="inlineStr"/>
      <c r="AO299" s="19" t="inlineStr">
        <is>
          <t>Não</t>
        </is>
      </c>
      <c r="AP299" s="13" t="inlineStr"/>
      <c r="AQ299" s="13" t="inlineStr"/>
      <c r="AR299" s="15" t="inlineStr"/>
      <c r="AS299" s="15" t="inlineStr">
        <is>
          <t>NOTAS FISCAIS DE COMPRA JANEIRO 2026.pdf - p. 298</t>
        </is>
      </c>
    </row>
    <row r="300">
      <c r="A300" s="13" t="inlineStr">
        <is>
          <t>JAN26-P299</t>
        </is>
      </c>
      <c r="B300" s="13" t="n">
        <v>299</v>
      </c>
      <c r="C300" s="13" t="inlineStr">
        <is>
          <t>NFS-e</t>
        </is>
      </c>
      <c r="D300" s="13" t="inlineStr"/>
      <c r="E300" s="13" t="inlineStr">
        <is>
          <t>115/U</t>
        </is>
      </c>
      <c r="F300" s="13" t="inlineStr"/>
      <c r="G300" s="25" t="n">
        <v>46028</v>
      </c>
      <c r="H300" s="25" t="n"/>
      <c r="I300" s="13" t="inlineStr"/>
      <c r="J300" s="13" t="inlineStr">
        <is>
          <t>J K B FIALHO LTDA</t>
        </is>
      </c>
      <c r="K300" s="13" t="inlineStr">
        <is>
          <t>51.002.394/0001-58</t>
        </is>
      </c>
      <c r="L300" s="13" t="inlineStr">
        <is>
          <t>23.655.038/0002-89</t>
        </is>
      </c>
      <c r="M300" s="13" t="inlineStr">
        <is>
          <t>SKAL /0002</t>
        </is>
      </c>
      <c r="N300" s="13" t="inlineStr">
        <is>
          <t>Serviços</t>
        </is>
      </c>
      <c r="O300" s="13" t="inlineStr">
        <is>
          <t>Apoio administrativo</t>
        </is>
      </c>
      <c r="P300" s="15" t="inlineStr">
        <is>
          <t>Serviços combinados de escritório/apoio administrativo - ref. dezembro/2025.</t>
        </is>
      </c>
      <c r="Q300" s="16" t="n">
        <v>3000</v>
      </c>
      <c r="R300" s="16" t="n"/>
      <c r="S300" s="16" t="n"/>
      <c r="T300" s="16" t="n"/>
      <c r="U300" s="16" t="n"/>
      <c r="V300" s="17" t="n"/>
      <c r="W300" s="16" t="n"/>
      <c r="X300" s="16" t="n"/>
      <c r="Y300" s="16" t="n"/>
      <c r="Z300" s="16" t="n"/>
      <c r="AA300" s="16" t="n"/>
      <c r="AB300" s="16" t="n"/>
      <c r="AC300" s="16" t="n"/>
      <c r="AD300" s="17" t="n"/>
      <c r="AE300" s="16" t="n">
        <v>150</v>
      </c>
      <c r="AF300" s="16" t="n"/>
      <c r="AG300" s="16" t="n"/>
      <c r="AH300" s="16" t="n"/>
      <c r="AI300" s="16" t="n"/>
      <c r="AJ300" s="16" t="n"/>
      <c r="AK300" s="16" t="n"/>
      <c r="AL300" s="16" t="n"/>
      <c r="AM300" s="13" t="inlineStr">
        <is>
          <t>Media</t>
        </is>
      </c>
      <c r="AN300" s="13" t="inlineStr"/>
      <c r="AO300" s="18" t="inlineStr">
        <is>
          <t>Sim</t>
        </is>
      </c>
      <c r="AP300" s="13" t="inlineStr"/>
      <c r="AQ300" s="13" t="inlineStr"/>
      <c r="AR300" s="15" t="inlineStr"/>
      <c r="AS300" s="15" t="inlineStr">
        <is>
          <t>NOTAS FISCAIS DE COMPRA JANEIRO 2026.pdf - p. 299</t>
        </is>
      </c>
    </row>
    <row r="301">
      <c r="A301" s="13" t="inlineStr">
        <is>
          <t>JAN26-P300</t>
        </is>
      </c>
      <c r="B301" s="13" t="n">
        <v>300</v>
      </c>
      <c r="C301" s="13" t="inlineStr">
        <is>
          <t>Outros/Documento</t>
        </is>
      </c>
      <c r="D301" s="13" t="inlineStr"/>
      <c r="E301" s="13" t="inlineStr"/>
      <c r="F301" s="13" t="inlineStr"/>
      <c r="G301" s="25" t="n"/>
      <c r="H301" s="25" t="n"/>
      <c r="I301" s="13" t="inlineStr"/>
      <c r="J301" s="13" t="inlineStr">
        <is>
          <t>i ‘mecdo voMmocenoN aRarOR vewse| or | ore [iow creme 'eumine vn wie aw | BS ve non</t>
        </is>
      </c>
      <c r="K301" s="13" t="inlineStr"/>
      <c r="L301" s="13" t="inlineStr"/>
      <c r="M301" s="13" t="inlineStr"/>
      <c r="N301" s="13" t="inlineStr">
        <is>
          <t>Apoio</t>
        </is>
      </c>
      <c r="O301" s="13" t="inlineStr">
        <is>
          <t>Documento de apoio</t>
        </is>
      </c>
      <c r="P301" s="15" t="inlineStr"/>
      <c r="Q301" s="16" t="n"/>
      <c r="R301" s="16" t="n"/>
      <c r="S301" s="16" t="n"/>
      <c r="T301" s="16" t="n"/>
      <c r="U301" s="16" t="n"/>
      <c r="V301" s="17" t="n"/>
      <c r="W301" s="16" t="n"/>
      <c r="X301" s="16" t="n"/>
      <c r="Y301" s="16" t="n"/>
      <c r="Z301" s="16" t="n"/>
      <c r="AA301" s="16" t="n"/>
      <c r="AB301" s="16" t="n"/>
      <c r="AC301" s="16" t="n"/>
      <c r="AD301" s="17" t="n"/>
      <c r="AE301" s="16" t="n"/>
      <c r="AF301" s="16" t="n"/>
      <c r="AG301" s="16" t="n"/>
      <c r="AH301" s="16" t="n"/>
      <c r="AI301" s="16" t="n"/>
      <c r="AJ301" s="16" t="n"/>
      <c r="AK301" s="16" t="n"/>
      <c r="AL301" s="16" t="n"/>
      <c r="AM301" s="13" t="inlineStr">
        <is>
          <t>Baixa</t>
        </is>
      </c>
      <c r="AN301" s="13" t="inlineStr"/>
      <c r="AO301" s="19" t="inlineStr">
        <is>
          <t>Não</t>
        </is>
      </c>
      <c r="AP301" s="13" t="inlineStr"/>
      <c r="AQ301" s="13" t="inlineStr"/>
      <c r="AR301" s="15" t="inlineStr"/>
      <c r="AS301" s="15" t="inlineStr">
        <is>
          <t>NOTAS FISCAIS DE COMPRA JANEIRO 2026.pdf - p. 300</t>
        </is>
      </c>
    </row>
    <row r="302">
      <c r="A302" s="13" t="inlineStr">
        <is>
          <t>JAN26-P301</t>
        </is>
      </c>
      <c r="B302" s="13" t="n">
        <v>301</v>
      </c>
      <c r="C302" s="13" t="inlineStr">
        <is>
          <t>Outros/Documento</t>
        </is>
      </c>
      <c r="D302" s="13" t="inlineStr"/>
      <c r="E302" s="13" t="inlineStr"/>
      <c r="F302" s="13" t="inlineStr"/>
      <c r="G302" s="25" t="n"/>
      <c r="H302" s="25" t="n"/>
      <c r="I302" s="13" t="inlineStr"/>
      <c r="J302" s="13" t="inlineStr">
        <is>
          <t>FANT.” BRAL MOSPORGARRLZACAD ETECNOLOGA (FAVOR CONPERIE AMERG. NO ATODA ENTREGA Welisoffde Paula</t>
        </is>
      </c>
      <c r="K302" s="13" t="inlineStr"/>
      <c r="L302" s="13" t="inlineStr"/>
      <c r="M302" s="13" t="inlineStr"/>
      <c r="N302" s="13" t="inlineStr">
        <is>
          <t>Apoio</t>
        </is>
      </c>
      <c r="O302" s="13" t="inlineStr">
        <is>
          <t>Documento de apoio</t>
        </is>
      </c>
      <c r="P302" s="15" t="inlineStr"/>
      <c r="Q302" s="16" t="n"/>
      <c r="R302" s="16" t="n"/>
      <c r="S302" s="16" t="n"/>
      <c r="T302" s="16" t="n"/>
      <c r="U302" s="16" t="n"/>
      <c r="V302" s="17" t="n"/>
      <c r="W302" s="16" t="n"/>
      <c r="X302" s="16" t="n"/>
      <c r="Y302" s="16" t="n"/>
      <c r="Z302" s="16" t="n"/>
      <c r="AA302" s="16" t="n"/>
      <c r="AB302" s="16" t="n"/>
      <c r="AC302" s="16" t="n"/>
      <c r="AD302" s="17" t="n"/>
      <c r="AE302" s="16" t="n"/>
      <c r="AF302" s="16" t="n"/>
      <c r="AG302" s="16" t="n"/>
      <c r="AH302" s="16" t="n"/>
      <c r="AI302" s="16" t="n"/>
      <c r="AJ302" s="16" t="n"/>
      <c r="AK302" s="16" t="n"/>
      <c r="AL302" s="16" t="n"/>
      <c r="AM302" s="13" t="inlineStr">
        <is>
          <t>Baixa</t>
        </is>
      </c>
      <c r="AN302" s="13" t="inlineStr"/>
      <c r="AO302" s="19" t="inlineStr">
        <is>
          <t>Não</t>
        </is>
      </c>
      <c r="AP302" s="13" t="inlineStr"/>
      <c r="AQ302" s="13" t="inlineStr"/>
      <c r="AR302" s="15" t="inlineStr"/>
      <c r="AS302" s="15" t="inlineStr">
        <is>
          <t>NOTAS FISCAIS DE COMPRA JANEIRO 2026.pdf - p. 301</t>
        </is>
      </c>
    </row>
    <row r="303">
      <c r="A303" s="13" t="inlineStr">
        <is>
          <t>JAN26-P302</t>
        </is>
      </c>
      <c r="B303" s="13" t="n">
        <v>302</v>
      </c>
      <c r="C303" s="13" t="inlineStr">
        <is>
          <t>NF-e</t>
        </is>
      </c>
      <c r="D303" s="13" t="inlineStr"/>
      <c r="E303" s="13" t="inlineStr"/>
      <c r="F303" s="13" t="inlineStr"/>
      <c r="G303" s="25" t="n">
        <v>46045</v>
      </c>
      <c r="H303" s="25" t="n"/>
      <c r="I303" s="13" t="inlineStr"/>
      <c r="J303" s="13" t="inlineStr">
        <is>
          <t>REDERETOR BE NORDESTE DESL FDR GY RODU OREO SERVICES CONT ANTES DA ROTA PRLACELETRONNCA POH ESTO TOTP</t>
        </is>
      </c>
      <c r="K303" s="13" t="inlineStr">
        <is>
          <t>01.674.104/0001-44</t>
        </is>
      </c>
      <c r="L303" s="13" t="inlineStr"/>
      <c r="M303" s="13" t="inlineStr"/>
      <c r="N303" s="13" t="inlineStr">
        <is>
          <t>Produtos</t>
        </is>
      </c>
      <c r="O303" s="13" t="inlineStr">
        <is>
          <t>Outros produtos</t>
        </is>
      </c>
      <c r="P303" s="15" t="inlineStr"/>
      <c r="Q303" s="16" t="n"/>
      <c r="R303" s="16" t="n"/>
      <c r="S303" s="16" t="n"/>
      <c r="T303" s="16" t="n"/>
      <c r="U303" s="16" t="n"/>
      <c r="V303" s="17" t="n"/>
      <c r="W303" s="16" t="n"/>
      <c r="X303" s="16" t="n"/>
      <c r="Y303" s="16" t="n"/>
      <c r="Z303" s="16" t="n"/>
      <c r="AA303" s="16" t="n"/>
      <c r="AB303" s="16" t="n"/>
      <c r="AC303" s="16" t="n"/>
      <c r="AD303" s="17" t="n"/>
      <c r="AE303" s="16" t="n"/>
      <c r="AF303" s="16" t="n"/>
      <c r="AG303" s="16" t="n"/>
      <c r="AH303" s="16" t="n"/>
      <c r="AI303" s="16" t="n"/>
      <c r="AJ303" s="16" t="n"/>
      <c r="AK303" s="16" t="n"/>
      <c r="AL303" s="16" t="n"/>
      <c r="AM303" s="13" t="inlineStr">
        <is>
          <t>Media</t>
        </is>
      </c>
      <c r="AN303" s="21" t="inlineStr">
        <is>
          <t>Revisar documento</t>
        </is>
      </c>
      <c r="AO303" s="20" t="inlineStr">
        <is>
          <t>Revisar</t>
        </is>
      </c>
      <c r="AP303" s="13" t="inlineStr"/>
      <c r="AQ303" s="13" t="inlineStr"/>
      <c r="AR303" s="15" t="inlineStr"/>
      <c r="AS303" s="15" t="inlineStr">
        <is>
          <t>NOTAS FISCAIS DE COMPRA JANEIRO 2026.pdf - p. 302</t>
        </is>
      </c>
    </row>
    <row r="304">
      <c r="A304" s="13" t="inlineStr">
        <is>
          <t>JAN26-P303</t>
        </is>
      </c>
      <c r="B304" s="13" t="n">
        <v>303</v>
      </c>
      <c r="C304" s="13" t="inlineStr">
        <is>
          <t>NF-e</t>
        </is>
      </c>
      <c r="D304" s="13" t="inlineStr"/>
      <c r="E304" s="13" t="inlineStr"/>
      <c r="F304" s="13" t="inlineStr"/>
      <c r="G304" s="25" t="n">
        <v>46045</v>
      </c>
      <c r="H304" s="25" t="n"/>
      <c r="I304" s="13" t="inlineStr"/>
      <c r="J304" s="13" t="inlineStr">
        <is>
          <t>SERIE 001 | wowmnie.fazenda gov bripartal ou no site da Sofa Autorizadona</t>
        </is>
      </c>
      <c r="K304" s="13" t="inlineStr"/>
      <c r="L304" s="13" t="inlineStr"/>
      <c r="M304" s="13" t="inlineStr"/>
      <c r="N304" s="13" t="inlineStr">
        <is>
          <t>Produtos</t>
        </is>
      </c>
      <c r="O304" s="13" t="inlineStr">
        <is>
          <t>Outros produtos</t>
        </is>
      </c>
      <c r="P304" s="15" t="inlineStr"/>
      <c r="Q304" s="16" t="n"/>
      <c r="R304" s="16" t="n"/>
      <c r="S304" s="16" t="n"/>
      <c r="T304" s="16" t="n"/>
      <c r="U304" s="16" t="n"/>
      <c r="V304" s="17" t="n"/>
      <c r="W304" s="16" t="n"/>
      <c r="X304" s="16" t="n"/>
      <c r="Y304" s="16" t="n"/>
      <c r="Z304" s="16" t="n"/>
      <c r="AA304" s="16" t="n"/>
      <c r="AB304" s="16" t="n"/>
      <c r="AC304" s="16" t="n"/>
      <c r="AD304" s="17" t="n"/>
      <c r="AE304" s="16" t="n"/>
      <c r="AF304" s="16" t="n"/>
      <c r="AG304" s="16" t="n"/>
      <c r="AH304" s="16" t="n"/>
      <c r="AI304" s="16" t="n"/>
      <c r="AJ304" s="16" t="n"/>
      <c r="AK304" s="16" t="n"/>
      <c r="AL304" s="16" t="n"/>
      <c r="AM304" s="13" t="inlineStr">
        <is>
          <t>Baixa</t>
        </is>
      </c>
      <c r="AN304" s="21" t="inlineStr">
        <is>
          <t>Revisar documento</t>
        </is>
      </c>
      <c r="AO304" s="20" t="inlineStr">
        <is>
          <t>Revisar</t>
        </is>
      </c>
      <c r="AP304" s="13" t="inlineStr"/>
      <c r="AQ304" s="13" t="inlineStr"/>
      <c r="AR304" s="15" t="inlineStr"/>
      <c r="AS304" s="15" t="inlineStr">
        <is>
          <t>NOTAS FISCAIS DE COMPRA JANEIRO 2026.pdf - p. 303</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T89"/>
  <sheetViews>
    <sheetView showGridLines="0" workbookViewId="0">
      <pane ySplit="1" topLeftCell="A2" activePane="bottomLeft" state="frozen"/>
      <selection pane="bottomLeft" activeCell="A1" sqref="A1"/>
    </sheetView>
  </sheetViews>
  <sheetFormatPr baseColWidth="8" defaultRowHeight="15"/>
  <cols>
    <col width="15" customWidth="1" min="1" max="1"/>
    <col width="8" customWidth="1" min="2" max="2"/>
    <col width="16" customWidth="1" min="3" max="3"/>
    <col width="13" customWidth="1" min="4" max="4"/>
    <col width="38" customWidth="1" min="5" max="5"/>
    <col width="20" customWidth="1" min="6" max="6"/>
    <col width="65" customWidth="1" min="7" max="7"/>
    <col width="14" customWidth="1" min="8" max="8"/>
    <col width="10" customWidth="1" min="9" max="9"/>
    <col width="10" customWidth="1" min="10" max="10"/>
    <col width="14" customWidth="1" min="11" max="11"/>
    <col width="17" customWidth="1" min="12" max="12"/>
    <col width="17" customWidth="1" min="13" max="13"/>
    <col width="12" customWidth="1" min="14" max="14"/>
    <col width="12" customWidth="1" min="15" max="15"/>
    <col width="12" customWidth="1" min="16" max="16"/>
    <col width="12" customWidth="1" min="17" max="17"/>
    <col width="15" customWidth="1" min="18" max="18"/>
    <col width="13" customWidth="1" min="19" max="19"/>
    <col width="42" customWidth="1" min="20" max="20"/>
  </cols>
  <sheetData>
    <row r="1" ht="36" customHeight="1">
      <c r="A1" s="12" t="inlineStr">
        <is>
          <t>Doc_ID</t>
        </is>
      </c>
      <c r="B1" s="12" t="inlineStr">
        <is>
          <t>Pagina</t>
        </is>
      </c>
      <c r="C1" s="12" t="inlineStr">
        <is>
          <t>NF_e</t>
        </is>
      </c>
      <c r="D1" s="12" t="inlineStr">
        <is>
          <t>Data</t>
        </is>
      </c>
      <c r="E1" s="12" t="inlineStr">
        <is>
          <t>Fornecedor</t>
        </is>
      </c>
      <c r="F1" s="12" t="inlineStr">
        <is>
          <t>CNPJ</t>
        </is>
      </c>
      <c r="G1" s="12" t="inlineStr">
        <is>
          <t>Descricao_Produto_OCR</t>
        </is>
      </c>
      <c r="H1" s="12" t="inlineStr">
        <is>
          <t>NCM_SH</t>
        </is>
      </c>
      <c r="I1" s="12" t="inlineStr">
        <is>
          <t>CFOP</t>
        </is>
      </c>
      <c r="J1" s="12" t="inlineStr">
        <is>
          <t>Unidade</t>
        </is>
      </c>
      <c r="K1" s="12" t="inlineStr">
        <is>
          <t>Quantidade</t>
        </is>
      </c>
      <c r="L1" s="12" t="inlineStr">
        <is>
          <t>Valor_Unitario</t>
        </is>
      </c>
      <c r="M1" s="12" t="inlineStr">
        <is>
          <t>Valor_Produtos</t>
        </is>
      </c>
      <c r="N1" s="12" t="inlineStr">
        <is>
          <t>BC_ICMS</t>
        </is>
      </c>
      <c r="O1" s="12" t="inlineStr">
        <is>
          <t>ICMS</t>
        </is>
      </c>
      <c r="P1" s="12" t="inlineStr">
        <is>
          <t>ICMS_ST</t>
        </is>
      </c>
      <c r="Q1" s="12" t="inlineStr">
        <is>
          <t>IPI</t>
        </is>
      </c>
      <c r="R1" s="12" t="inlineStr">
        <is>
          <t>Soma_Contabil</t>
        </is>
      </c>
      <c r="S1" s="12" t="inlineStr">
        <is>
          <t>Confianca</t>
        </is>
      </c>
      <c r="T1" s="12" t="inlineStr">
        <is>
          <t>Fonte</t>
        </is>
      </c>
    </row>
    <row r="2">
      <c r="A2" s="13" t="inlineStr">
        <is>
          <t>JAN26-P007</t>
        </is>
      </c>
      <c r="B2" s="13" t="n">
        <v>7</v>
      </c>
      <c r="C2" s="13" t="inlineStr"/>
      <c r="D2" s="25" t="n">
        <v>45687</v>
      </c>
      <c r="E2" s="13" t="inlineStr">
        <is>
          <t>‘wrwwenfefazenda.gov-briportal ou no site da Sefaz Autorizadora</t>
        </is>
      </c>
      <c r="F2" s="13" t="inlineStr"/>
      <c r="G2" s="15" t="inlineStr">
        <is>
          <t>vet | ‘con op. | escuK0 Do FROTUTES /SERVICOS | worst] esr | cro |unaol quampane Jy.tarriwo| vitorat | nesenes | v.seus | SR | 000 | 65990] Goo | 3556 | UN] | Tog | Tai635] | Ta1635) | 060) | 0,00] | 0300) | 2.0] | jorse79 | ISECAODAJANELA</t>
        </is>
      </c>
      <c r="H2" s="13" t="inlineStr"/>
      <c r="I2" s="13" t="inlineStr"/>
      <c r="J2" s="13" t="inlineStr"/>
      <c r="K2" s="13" t="inlineStr"/>
      <c r="L2" s="16" t="n"/>
      <c r="M2" s="16" t="n"/>
      <c r="N2" s="16" t="n"/>
      <c r="O2" s="16" t="n"/>
      <c r="P2" s="16" t="n"/>
      <c r="Q2" s="16" t="n"/>
      <c r="R2" s="13" t="inlineStr">
        <is>
          <t>Revisar</t>
        </is>
      </c>
      <c r="S2" s="13" t="inlineStr">
        <is>
          <t>Baixa</t>
        </is>
      </c>
      <c r="T2" s="15" t="inlineStr">
        <is>
          <t>NOTAS FISCAIS DE COMPRA JANEIRO 2026.pdf - p. 7</t>
        </is>
      </c>
    </row>
    <row r="3">
      <c r="A3" s="13" t="inlineStr">
        <is>
          <t>JAN26-P008</t>
        </is>
      </c>
      <c r="B3" s="13" t="n">
        <v>8</v>
      </c>
      <c r="C3" s="13" t="inlineStr"/>
      <c r="D3" s="25" t="n"/>
      <c r="E3" s="13" t="inlineStr">
        <is>
          <t>FORNECEDORA CAMINHOES COMERCIO SERVIC</t>
        </is>
      </c>
      <c r="F3" s="13" t="inlineStr"/>
      <c r="G3" s="15" t="inlineStr"/>
      <c r="H3" s="13" t="inlineStr"/>
      <c r="I3" s="13" t="inlineStr"/>
      <c r="J3" s="13" t="inlineStr"/>
      <c r="K3" s="13" t="inlineStr"/>
      <c r="L3" s="16" t="n"/>
      <c r="M3" s="16" t="n"/>
      <c r="N3" s="16" t="n"/>
      <c r="O3" s="16" t="n"/>
      <c r="P3" s="16" t="n"/>
      <c r="Q3" s="16" t="n"/>
      <c r="R3" s="13" t="inlineStr">
        <is>
          <t>Revisar</t>
        </is>
      </c>
      <c r="S3" s="13" t="inlineStr">
        <is>
          <t>Baixa</t>
        </is>
      </c>
      <c r="T3" s="15" t="inlineStr">
        <is>
          <t>NOTAS FISCAIS DE COMPRA JANEIRO 2026.pdf - p. 8</t>
        </is>
      </c>
    </row>
    <row r="4">
      <c r="A4" s="13" t="inlineStr">
        <is>
          <t>JAN26-P016</t>
        </is>
      </c>
      <c r="B4" s="13" t="n">
        <v>16</v>
      </c>
      <c r="C4" s="13" t="inlineStr"/>
      <c r="D4" s="25" t="n">
        <v>46050</v>
      </c>
      <c r="E4" s="13" t="inlineStr">
        <is>
          <t>| www.nfe.fazenda.gov.br/portal ou no site da Sefaz Autorizadora</t>
        </is>
      </c>
      <c r="F4" s="13" t="inlineStr">
        <is>
          <t>31.838.128/0025-20</t>
        </is>
      </c>
      <c r="G4" s="15" t="inlineStr"/>
      <c r="H4" s="13" t="inlineStr"/>
      <c r="I4" s="13" t="inlineStr"/>
      <c r="J4" s="13" t="inlineStr"/>
      <c r="K4" s="13" t="inlineStr"/>
      <c r="L4" s="16" t="n"/>
      <c r="M4" s="16" t="n"/>
      <c r="N4" s="16" t="n"/>
      <c r="O4" s="16" t="n"/>
      <c r="P4" s="16" t="n"/>
      <c r="Q4" s="16" t="n"/>
      <c r="R4" s="13" t="inlineStr">
        <is>
          <t>Revisar</t>
        </is>
      </c>
      <c r="S4" s="13" t="inlineStr">
        <is>
          <t>Media</t>
        </is>
      </c>
      <c r="T4" s="15" t="inlineStr">
        <is>
          <t>NOTAS FISCAIS DE COMPRA JANEIRO 2026.pdf - p. 16</t>
        </is>
      </c>
    </row>
    <row r="5">
      <c r="A5" s="13" t="inlineStr">
        <is>
          <t>JAN26-P020</t>
        </is>
      </c>
      <c r="B5" s="13" t="n">
        <v>20</v>
      </c>
      <c r="C5" s="13" t="inlineStr">
        <is>
          <t>42508</t>
        </is>
      </c>
      <c r="D5" s="25" t="n">
        <v>46051</v>
      </c>
      <c r="E5" s="13" t="inlineStr">
        <is>
          <t>www nfefazenda,gov.briportal ou no site da Sefiv Autorizadora</t>
        </is>
      </c>
      <c r="F5" s="13" t="inlineStr">
        <is>
          <t>29.190.494/0003-68</t>
        </is>
      </c>
      <c r="G5" s="15" t="inlineStr"/>
      <c r="H5" s="13" t="inlineStr"/>
      <c r="I5" s="13" t="inlineStr"/>
      <c r="J5" s="13" t="inlineStr"/>
      <c r="K5" s="13" t="inlineStr"/>
      <c r="L5" s="16" t="n"/>
      <c r="M5" s="16" t="n"/>
      <c r="N5" s="16" t="n"/>
      <c r="O5" s="16" t="n"/>
      <c r="P5" s="16" t="n"/>
      <c r="Q5" s="16" t="n"/>
      <c r="R5" s="13" t="inlineStr">
        <is>
          <t>Revisar</t>
        </is>
      </c>
      <c r="S5" s="13" t="inlineStr">
        <is>
          <t>Alta</t>
        </is>
      </c>
      <c r="T5" s="15" t="inlineStr">
        <is>
          <t>NOTAS FISCAIS DE COMPRA JANEIRO 2026.pdf - p. 20</t>
        </is>
      </c>
    </row>
    <row r="6">
      <c r="A6" s="13" t="inlineStr">
        <is>
          <t>JAN26-P021</t>
        </is>
      </c>
      <c r="B6" s="13" t="n">
        <v>21</v>
      </c>
      <c r="C6" s="13" t="inlineStr"/>
      <c r="D6" s="25" t="n">
        <v>46051</v>
      </c>
      <c r="E6" s="13" t="inlineStr">
        <is>
          <t>www. nfe.fazenda,gov.br/portal ou no site da Sefaz Autorizadora</t>
        </is>
      </c>
      <c r="F6" s="13" t="inlineStr">
        <is>
          <t>29.190.494/0003-68</t>
        </is>
      </c>
      <c r="G6" s="15" t="inlineStr">
        <is>
          <t>TENCIMENTO | VALOR | FATURA BUPLIC</t>
        </is>
      </c>
      <c r="H6" s="13" t="inlineStr"/>
      <c r="I6" s="13" t="inlineStr"/>
      <c r="J6" s="13" t="inlineStr"/>
      <c r="K6" s="13" t="inlineStr"/>
      <c r="L6" s="16" t="n"/>
      <c r="M6" s="16" t="n"/>
      <c r="N6" s="16" t="n"/>
      <c r="O6" s="16" t="n"/>
      <c r="P6" s="16" t="n"/>
      <c r="Q6" s="16" t="n"/>
      <c r="R6" s="13" t="inlineStr">
        <is>
          <t>Revisar</t>
        </is>
      </c>
      <c r="S6" s="13" t="inlineStr">
        <is>
          <t>Media</t>
        </is>
      </c>
      <c r="T6" s="15" t="inlineStr">
        <is>
          <t>NOTAS FISCAIS DE COMPRA JANEIRO 2026.pdf - p. 21</t>
        </is>
      </c>
    </row>
    <row r="7">
      <c r="A7" s="13" t="inlineStr">
        <is>
          <t>JAN26-P022</t>
        </is>
      </c>
      <c r="B7" s="13" t="n">
        <v>22</v>
      </c>
      <c r="C7" s="13" t="inlineStr">
        <is>
          <t>537098</t>
        </is>
      </c>
      <c r="D7" s="25" t="n">
        <v>46050</v>
      </c>
      <c r="E7" s="13" t="inlineStr">
        <is>
          <t>COMPANHIA INDUSTRIAL DE CIMENTO APODI</t>
        </is>
      </c>
      <c r="F7" s="13" t="inlineStr">
        <is>
          <t>10.260.249/0003-51</t>
        </is>
      </c>
      <c r="G7" s="15" t="inlineStr">
        <is>
          <t>{MOS DE COMPANHIA INDUSTRIAL DE CIMENTO APODI_OS PRODUTOS CONSTANTES DA NOTA FISC | INDI | DA AO LADO</t>
        </is>
      </c>
      <c r="H7" s="13" t="inlineStr"/>
      <c r="I7" s="13" t="inlineStr"/>
      <c r="J7" s="13" t="inlineStr"/>
      <c r="K7" s="13" t="inlineStr"/>
      <c r="L7" s="16" t="n"/>
      <c r="M7" s="16" t="n">
        <v>18686.25</v>
      </c>
      <c r="N7" s="16" t="n">
        <v>18686.25</v>
      </c>
      <c r="O7" s="16" t="n">
        <v>2242.35</v>
      </c>
      <c r="P7" s="16" t="n"/>
      <c r="Q7" s="16" t="n"/>
      <c r="R7" s="13" t="inlineStr">
        <is>
          <t>Sim</t>
        </is>
      </c>
      <c r="S7" s="13" t="inlineStr">
        <is>
          <t>Media</t>
        </is>
      </c>
      <c r="T7" s="15" t="inlineStr">
        <is>
          <t>NOTAS FISCAIS DE COMPRA JANEIRO 2026.pdf - p. 22</t>
        </is>
      </c>
    </row>
    <row r="8">
      <c r="A8" s="13" t="inlineStr">
        <is>
          <t>JAN26-P023</t>
        </is>
      </c>
      <c r="B8" s="13" t="n">
        <v>23</v>
      </c>
      <c r="C8" s="13" t="inlineStr">
        <is>
          <t>536966</t>
        </is>
      </c>
      <c r="D8" s="25" t="n">
        <v>46049</v>
      </c>
      <c r="E8" s="13" t="inlineStr">
        <is>
          <t>COMPANHIA INDUSTRIAL DE CIMENTO APODI</t>
        </is>
      </c>
      <c r="F8" s="13" t="inlineStr">
        <is>
          <t>10.260.249/0003-51</t>
        </is>
      </c>
      <c r="G8" s="15" t="inlineStr">
        <is>
          <t>VENDA DE PRODUCAO DO ESTABELECIMENTO. | INSCR TST. SUBS. TBUTARIO | RPC</t>
        </is>
      </c>
      <c r="H8" s="13" t="inlineStr"/>
      <c r="I8" s="13" t="inlineStr"/>
      <c r="J8" s="13" t="inlineStr"/>
      <c r="K8" s="13" t="inlineStr"/>
      <c r="L8" s="16" t="n"/>
      <c r="M8" s="16" t="n">
        <v>18904.05</v>
      </c>
      <c r="N8" s="16" t="n">
        <v>18904.05</v>
      </c>
      <c r="O8" s="16" t="n">
        <v>2268.49</v>
      </c>
      <c r="P8" s="16" t="n"/>
      <c r="Q8" s="16" t="n"/>
      <c r="R8" s="13" t="inlineStr">
        <is>
          <t>Sim</t>
        </is>
      </c>
      <c r="S8" s="13" t="inlineStr">
        <is>
          <t>Media</t>
        </is>
      </c>
      <c r="T8" s="15" t="inlineStr">
        <is>
          <t>NOTAS FISCAIS DE COMPRA JANEIRO 2026.pdf - p. 23</t>
        </is>
      </c>
    </row>
    <row r="9">
      <c r="A9" s="13" t="inlineStr">
        <is>
          <t>JAN26-P024</t>
        </is>
      </c>
      <c r="B9" s="13" t="n">
        <v>24</v>
      </c>
      <c r="C9" s="13" t="inlineStr">
        <is>
          <t>536748</t>
        </is>
      </c>
      <c r="D9" s="25" t="n">
        <v>46046</v>
      </c>
      <c r="E9" s="13" t="inlineStr">
        <is>
          <t>COMPANHIA INDUSTRIAL DE CIMENTO APODI</t>
        </is>
      </c>
      <c r="F9" s="13" t="inlineStr">
        <is>
          <t>10.260.249/0003-51</t>
        </is>
      </c>
      <c r="G9" s="15" t="inlineStr">
        <is>
          <t>| COMPANHIA INDUSTRIAL DE CIMENTO APODE | pocumesro atin Da | Ropes SantwONe</t>
        </is>
      </c>
      <c r="H9" s="13" t="inlineStr"/>
      <c r="I9" s="13" t="inlineStr"/>
      <c r="J9" s="13" t="inlineStr"/>
      <c r="K9" s="13" t="inlineStr"/>
      <c r="L9" s="16" t="n"/>
      <c r="M9" s="16" t="n">
        <v>18824.85</v>
      </c>
      <c r="N9" s="16" t="n">
        <v>18824.85</v>
      </c>
      <c r="O9" s="16" t="n">
        <v>2258.98</v>
      </c>
      <c r="P9" s="16" t="n"/>
      <c r="Q9" s="16" t="n"/>
      <c r="R9" s="13" t="inlineStr">
        <is>
          <t>Sim</t>
        </is>
      </c>
      <c r="S9" s="13" t="inlineStr">
        <is>
          <t>Media</t>
        </is>
      </c>
      <c r="T9" s="15" t="inlineStr">
        <is>
          <t>NOTAS FISCAIS DE COMPRA JANEIRO 2026.pdf - p. 24</t>
        </is>
      </c>
    </row>
    <row r="10">
      <c r="A10" s="13" t="inlineStr">
        <is>
          <t>JAN26-P026</t>
        </is>
      </c>
      <c r="B10" s="13" t="n">
        <v>26</v>
      </c>
      <c r="C10" s="13" t="inlineStr"/>
      <c r="D10" s="25" t="n">
        <v>46034</v>
      </c>
      <c r="E10" s="13" t="inlineStr">
        <is>
          <t>TE5TOCOLO DE AUTORLZNGRODEUSO</t>
        </is>
      </c>
      <c r="F10" s="13" t="inlineStr">
        <is>
          <t>04.949.601/0001-04</t>
        </is>
      </c>
      <c r="G10" s="15" t="inlineStr">
        <is>
          <t>esciugdo Do PRODUTOSERVIGO | Naw | vaton | moras | Walon ToT | 400, | woos | AAILCELESTE SG | Taos | sea</t>
        </is>
      </c>
      <c r="H10" s="13" t="inlineStr"/>
      <c r="I10" s="13" t="inlineStr"/>
      <c r="J10" s="13" t="inlineStr"/>
      <c r="K10" s="13" t="inlineStr"/>
      <c r="L10" s="16" t="n"/>
      <c r="M10" s="16" t="n">
        <v>9135</v>
      </c>
      <c r="N10" s="16" t="n"/>
      <c r="O10" s="16" t="n"/>
      <c r="P10" s="16" t="n"/>
      <c r="Q10" s="16" t="n"/>
      <c r="R10" s="13" t="inlineStr">
        <is>
          <t>Revisar</t>
        </is>
      </c>
      <c r="S10" s="13" t="inlineStr">
        <is>
          <t>Media</t>
        </is>
      </c>
      <c r="T10" s="15" t="inlineStr">
        <is>
          <t>NOTAS FISCAIS DE COMPRA JANEIRO 2026.pdf - p. 26</t>
        </is>
      </c>
    </row>
    <row r="11">
      <c r="A11" s="13" t="inlineStr">
        <is>
          <t>JAN26-P032</t>
        </is>
      </c>
      <c r="B11" s="13" t="n">
        <v>32</v>
      </c>
      <c r="C11" s="13" t="inlineStr"/>
      <c r="D11" s="25" t="n">
        <v>46036</v>
      </c>
      <c r="E11" s="13" t="inlineStr">
        <is>
          <t>Dest Skin NGENHARIA INDUSTRIA E COMERCIO LTDA AVENIDA SAOTRANCISCO, 100 -PAROUE JUKEMA » TERFSINA 1</t>
        </is>
      </c>
      <c r="F11" s="13" t="inlineStr"/>
      <c r="G11" s="15" t="inlineStr">
        <is>
          <t>0180 | on) | vee | maree | voere | sesoncAaporecUTosemHCo | ven | ‘ec | mo | ouawroace | ven | ane.</t>
        </is>
      </c>
      <c r="H11" s="13" t="inlineStr"/>
      <c r="I11" s="13" t="inlineStr"/>
      <c r="J11" s="13" t="inlineStr"/>
      <c r="K11" s="13" t="inlineStr"/>
      <c r="L11" s="16" t="n"/>
      <c r="M11" s="16" t="n"/>
      <c r="N11" s="16" t="n"/>
      <c r="O11" s="16" t="n"/>
      <c r="P11" s="16" t="n"/>
      <c r="Q11" s="16" t="n"/>
      <c r="R11" s="13" t="inlineStr">
        <is>
          <t>Revisar</t>
        </is>
      </c>
      <c r="S11" s="13" t="inlineStr">
        <is>
          <t>Baixa</t>
        </is>
      </c>
      <c r="T11" s="15" t="inlineStr">
        <is>
          <t>NOTAS FISCAIS DE COMPRA JANEIRO 2026.pdf - p. 32</t>
        </is>
      </c>
    </row>
    <row r="12">
      <c r="A12" s="13" t="inlineStr">
        <is>
          <t>JAN26-P036</t>
        </is>
      </c>
      <c r="B12" s="13" t="n">
        <v>36</v>
      </c>
      <c r="C12" s="13" t="inlineStr">
        <is>
          <t>222</t>
        </is>
      </c>
      <c r="D12" s="25" t="n">
        <v>46036</v>
      </c>
      <c r="E12" s="13" t="inlineStr">
        <is>
          <t>\CPNGENIARIA INDUSTRIA F COMERCKO LTDA AVENIDA SAO FRANCISCO, 4000- PARQUE JUREMA - TERESINA =</t>
        </is>
      </c>
      <c r="F12" s="13" t="inlineStr">
        <is>
          <t>46.091.289/0001-00</t>
        </is>
      </c>
      <c r="G12" s="15" t="inlineStr">
        <is>
          <t>CAULIM MALIA 28 | bsuroa| am | aan</t>
        </is>
      </c>
      <c r="H12" s="13" t="inlineStr"/>
      <c r="I12" s="13" t="inlineStr"/>
      <c r="J12" s="13" t="inlineStr"/>
      <c r="K12" s="13" t="inlineStr"/>
      <c r="L12" s="16" t="n"/>
      <c r="M12" s="16" t="n"/>
      <c r="N12" s="16" t="n"/>
      <c r="O12" s="16" t="n"/>
      <c r="P12" s="16" t="n"/>
      <c r="Q12" s="16" t="n"/>
      <c r="R12" s="13" t="inlineStr">
        <is>
          <t>Revisar</t>
        </is>
      </c>
      <c r="S12" s="13" t="inlineStr">
        <is>
          <t>Media</t>
        </is>
      </c>
      <c r="T12" s="15" t="inlineStr">
        <is>
          <t>NOTAS FISCAIS DE COMPRA JANEIRO 2026.pdf - p. 36</t>
        </is>
      </c>
    </row>
    <row r="13">
      <c r="A13" s="13" t="inlineStr">
        <is>
          <t>JAN26-P041</t>
        </is>
      </c>
      <c r="B13" s="13" t="n">
        <v>41</v>
      </c>
      <c r="C13" s="13" t="inlineStr">
        <is>
          <t>536564</t>
        </is>
      </c>
      <c r="D13" s="25" t="n">
        <v>46045</v>
      </c>
      <c r="E13" s="13" t="inlineStr">
        <is>
          <t>COMPANHIA INDUSTRIAL DE CIMENTO APODI</t>
        </is>
      </c>
      <c r="F13" s="13" t="inlineStr">
        <is>
          <t>10.260.249/0003-51</t>
        </is>
      </c>
      <c r="G13" s="15" t="inlineStr">
        <is>
          <t>It INDUSTRIAL De cIMENTO AroDI | Say</t>
        </is>
      </c>
      <c r="H13" s="13" t="inlineStr"/>
      <c r="I13" s="13" t="inlineStr"/>
      <c r="J13" s="13" t="inlineStr"/>
      <c r="K13" s="13" t="inlineStr"/>
      <c r="L13" s="16" t="n"/>
      <c r="M13" s="16" t="n">
        <v>17790.3</v>
      </c>
      <c r="N13" s="16" t="n">
        <v>17790.3</v>
      </c>
      <c r="O13" s="16" t="n">
        <v>2134.84</v>
      </c>
      <c r="P13" s="16" t="n"/>
      <c r="Q13" s="16" t="n"/>
      <c r="R13" s="13" t="inlineStr">
        <is>
          <t>Sim</t>
        </is>
      </c>
      <c r="S13" s="13" t="inlineStr">
        <is>
          <t>Alta</t>
        </is>
      </c>
      <c r="T13" s="15" t="inlineStr">
        <is>
          <t>NOTAS FISCAIS DE COMPRA JANEIRO 2026.pdf - p. 41</t>
        </is>
      </c>
    </row>
    <row r="14">
      <c r="A14" s="13" t="inlineStr">
        <is>
          <t>JAN26-P042</t>
        </is>
      </c>
      <c r="B14" s="13" t="n">
        <v>42</v>
      </c>
      <c r="C14" s="13" t="inlineStr">
        <is>
          <t>536357</t>
        </is>
      </c>
      <c r="D14" s="25" t="n">
        <v>46044</v>
      </c>
      <c r="E14" s="13" t="inlineStr">
        <is>
          <t>COMPANHIA INDUSTRIAL DE CIMENTO APODI</t>
        </is>
      </c>
      <c r="F14" s="13" t="inlineStr">
        <is>
          <t>10.260.249/0003-51</t>
        </is>
      </c>
      <c r="G14" s="15" t="inlineStr">
        <is>
          <t>INDUSTRIAL DE CIMENTO APODI | Sore | ons suces:</t>
        </is>
      </c>
      <c r="H14" s="13" t="inlineStr"/>
      <c r="I14" s="13" t="inlineStr"/>
      <c r="J14" s="13" t="inlineStr"/>
      <c r="K14" s="13" t="inlineStr"/>
      <c r="L14" s="16" t="n"/>
      <c r="M14" s="16" t="n">
        <v>18607.05</v>
      </c>
      <c r="N14" s="16" t="n">
        <v>18607.05</v>
      </c>
      <c r="O14" s="16" t="n">
        <v>2232.85</v>
      </c>
      <c r="P14" s="16" t="n"/>
      <c r="Q14" s="16" t="n"/>
      <c r="R14" s="13" t="inlineStr">
        <is>
          <t>Sim</t>
        </is>
      </c>
      <c r="S14" s="13" t="inlineStr">
        <is>
          <t>Media</t>
        </is>
      </c>
      <c r="T14" s="15" t="inlineStr">
        <is>
          <t>NOTAS FISCAIS DE COMPRA JANEIRO 2026.pdf - p. 42</t>
        </is>
      </c>
    </row>
    <row r="15">
      <c r="A15" s="13" t="inlineStr">
        <is>
          <t>JAN26-P043</t>
        </is>
      </c>
      <c r="B15" s="13" t="n">
        <v>43</v>
      </c>
      <c r="C15" s="13" t="inlineStr">
        <is>
          <t>536302</t>
        </is>
      </c>
      <c r="D15" s="25" t="n">
        <v>46043</v>
      </c>
      <c r="E15" s="13" t="inlineStr">
        <is>
          <t>COMPANHIA INDUSTRIAL DE CIMENTO APODI</t>
        </is>
      </c>
      <c r="F15" s="13" t="inlineStr">
        <is>
          <t>10.260.249/0003-51</t>
        </is>
      </c>
      <c r="G15" s="15" t="inlineStr">
        <is>
          <t>|coMPANHIA INDUSTRIAL DE CIMENTO AFODI | RGEC A | veh</t>
        </is>
      </c>
      <c r="H15" s="13" t="inlineStr"/>
      <c r="I15" s="13" t="inlineStr"/>
      <c r="J15" s="13" t="inlineStr"/>
      <c r="K15" s="13" t="inlineStr"/>
      <c r="L15" s="16" t="n"/>
      <c r="M15" s="16" t="n">
        <v>18711</v>
      </c>
      <c r="N15" s="16" t="n">
        <v>18711</v>
      </c>
      <c r="O15" s="16" t="n">
        <v>2245.32</v>
      </c>
      <c r="P15" s="16" t="n"/>
      <c r="Q15" s="16" t="n"/>
      <c r="R15" s="13" t="inlineStr">
        <is>
          <t>Sim</t>
        </is>
      </c>
      <c r="S15" s="13" t="inlineStr">
        <is>
          <t>Media</t>
        </is>
      </c>
      <c r="T15" s="15" t="inlineStr">
        <is>
          <t>NOTAS FISCAIS DE COMPRA JANEIRO 2026.pdf - p. 43</t>
        </is>
      </c>
    </row>
    <row r="16">
      <c r="A16" s="13" t="inlineStr">
        <is>
          <t>JAN26-P044</t>
        </is>
      </c>
      <c r="B16" s="13" t="n">
        <v>44</v>
      </c>
      <c r="C16" s="13" t="inlineStr">
        <is>
          <t>536108</t>
        </is>
      </c>
      <c r="D16" s="25" t="n">
        <v>46042</v>
      </c>
      <c r="E16" s="13" t="inlineStr">
        <is>
          <t>COMPANHIA INDUSTRIAL DE CIMENTO APODI</t>
        </is>
      </c>
      <c r="F16" s="13" t="inlineStr">
        <is>
          <t>10.260.249/0003-51</t>
        </is>
      </c>
      <c r="G16" s="15" t="inlineStr">
        <is>
          <t>(COMPANIIA INDUSTRIAL DE CIMENTO APODE | RONEN | poceamsto wuttste oe</t>
        </is>
      </c>
      <c r="H16" s="13" t="inlineStr"/>
      <c r="I16" s="13" t="inlineStr"/>
      <c r="J16" s="13" t="inlineStr"/>
      <c r="K16" s="13" t="inlineStr"/>
      <c r="L16" s="16" t="n"/>
      <c r="M16" s="16" t="n">
        <v>18814.95</v>
      </c>
      <c r="N16" s="16" t="n">
        <v>18814.95</v>
      </c>
      <c r="O16" s="16" t="n">
        <v>2257.79</v>
      </c>
      <c r="P16" s="16" t="n"/>
      <c r="Q16" s="16" t="n"/>
      <c r="R16" s="13" t="inlineStr">
        <is>
          <t>Sim</t>
        </is>
      </c>
      <c r="S16" s="13" t="inlineStr">
        <is>
          <t>Media</t>
        </is>
      </c>
      <c r="T16" s="15" t="inlineStr">
        <is>
          <t>NOTAS FISCAIS DE COMPRA JANEIRO 2026.pdf - p. 44</t>
        </is>
      </c>
    </row>
    <row r="17">
      <c r="A17" s="13" t="inlineStr">
        <is>
          <t>JAN26-P045</t>
        </is>
      </c>
      <c r="B17" s="13" t="n">
        <v>45</v>
      </c>
      <c r="C17" s="13" t="inlineStr">
        <is>
          <t>535954</t>
        </is>
      </c>
      <c r="D17" s="25" t="n">
        <v>46041</v>
      </c>
      <c r="E17" s="13" t="inlineStr">
        <is>
          <t>COMPANHIA INDUSTRIAL DE CIMENTO APODI</t>
        </is>
      </c>
      <c r="F17" s="13" t="inlineStr">
        <is>
          <t>10.260.249/0003-51</t>
        </is>
      </c>
      <c r="G17" s="15" t="inlineStr">
        <is>
          <t>compan 1NAUSTRE:L. DE CIMENTO APODL | SORE AGEL | jropet syns</t>
        </is>
      </c>
      <c r="H17" s="13" t="inlineStr"/>
      <c r="I17" s="13" t="inlineStr"/>
      <c r="J17" s="13" t="inlineStr"/>
      <c r="K17" s="13" t="inlineStr"/>
      <c r="L17" s="16" t="n"/>
      <c r="M17" s="16" t="n">
        <v>18621.9</v>
      </c>
      <c r="N17" s="16" t="n">
        <v>18621.9</v>
      </c>
      <c r="O17" s="16" t="n">
        <v>2234.63</v>
      </c>
      <c r="P17" s="16" t="n"/>
      <c r="Q17" s="16" t="n"/>
      <c r="R17" s="13" t="inlineStr">
        <is>
          <t>Sim</t>
        </is>
      </c>
      <c r="S17" s="13" t="inlineStr">
        <is>
          <t>Alta</t>
        </is>
      </c>
      <c r="T17" s="15" t="inlineStr">
        <is>
          <t>NOTAS FISCAIS DE COMPRA JANEIRO 2026.pdf - p. 45</t>
        </is>
      </c>
    </row>
    <row r="18">
      <c r="A18" s="13" t="inlineStr">
        <is>
          <t>JAN26-P046</t>
        </is>
      </c>
      <c r="B18" s="13" t="n">
        <v>46</v>
      </c>
      <c r="C18" s="13" t="inlineStr">
        <is>
          <t>535509</t>
        </is>
      </c>
      <c r="D18" s="25" t="n">
        <v>46026</v>
      </c>
      <c r="E18" s="13" t="inlineStr">
        <is>
          <t>COMPANHIA INDUSTRIAL DE CIMENTO APODI</t>
        </is>
      </c>
      <c r="F18" s="13" t="inlineStr">
        <is>
          <t>10.260.249/0003-51</t>
        </is>
      </c>
      <c r="G18" s="15" t="inlineStr">
        <is>
          <t>| COMPANHIA INDUSTRIAL DE-CIMENTO APODI | Rofktisea thar | eek</t>
        </is>
      </c>
      <c r="H18" s="13" t="inlineStr"/>
      <c r="I18" s="13" t="inlineStr"/>
      <c r="J18" s="13" t="inlineStr"/>
      <c r="K18" s="13" t="inlineStr"/>
      <c r="L18" s="16" t="n"/>
      <c r="M18" s="16" t="n">
        <v>18839.7</v>
      </c>
      <c r="N18" s="16" t="n">
        <v>18839.7</v>
      </c>
      <c r="O18" s="16" t="n">
        <v>2260.76</v>
      </c>
      <c r="P18" s="16" t="n"/>
      <c r="Q18" s="16" t="n"/>
      <c r="R18" s="13" t="inlineStr">
        <is>
          <t>Sim</t>
        </is>
      </c>
      <c r="S18" s="13" t="inlineStr">
        <is>
          <t>Media</t>
        </is>
      </c>
      <c r="T18" s="15" t="inlineStr">
        <is>
          <t>NOTAS FISCAIS DE COMPRA JANEIRO 2026.pdf - p. 46</t>
        </is>
      </c>
    </row>
    <row r="19">
      <c r="A19" s="13" t="inlineStr">
        <is>
          <t>JAN26-P053</t>
        </is>
      </c>
      <c r="B19" s="13" t="n">
        <v>53</v>
      </c>
      <c r="C19" s="13" t="inlineStr">
        <is>
          <t>2198</t>
        </is>
      </c>
      <c r="D19" s="25" t="n">
        <v>46041</v>
      </c>
      <c r="E19" s="13" t="inlineStr">
        <is>
          <t>CAIEIRA CANTA GALO EXTRACAO E COMERCIO DE CALCARIO LTDA</t>
        </is>
      </c>
      <c r="F19" s="13" t="inlineStr">
        <is>
          <t>07.776.339/0002-04</t>
        </is>
      </c>
      <c r="G19" s="15" t="inlineStr">
        <is>
          <t>COMERCIO DE CALCARIO LTDA,</t>
        </is>
      </c>
      <c r="H19" s="13" t="inlineStr"/>
      <c r="I19" s="13" t="inlineStr"/>
      <c r="J19" s="13" t="inlineStr"/>
      <c r="K19" s="13" t="inlineStr"/>
      <c r="L19" s="16" t="n"/>
      <c r="M19" s="16" t="n">
        <v>488</v>
      </c>
      <c r="N19" s="16" t="n">
        <v>215.5</v>
      </c>
      <c r="O19" s="16" t="n">
        <v>25.86</v>
      </c>
      <c r="P19" s="16" t="n"/>
      <c r="Q19" s="16" t="n"/>
      <c r="R19" s="13" t="inlineStr">
        <is>
          <t>Sim</t>
        </is>
      </c>
      <c r="S19" s="13" t="inlineStr">
        <is>
          <t>Alta</t>
        </is>
      </c>
      <c r="T19" s="15" t="inlineStr">
        <is>
          <t>NOTAS FISCAIS DE COMPRA JANEIRO 2026.pdf - p. 53</t>
        </is>
      </c>
    </row>
    <row r="20">
      <c r="A20" s="13" t="inlineStr">
        <is>
          <t>JAN26-P054</t>
        </is>
      </c>
      <c r="B20" s="13" t="n">
        <v>54</v>
      </c>
      <c r="C20" s="13" t="inlineStr">
        <is>
          <t>2181</t>
        </is>
      </c>
      <c r="D20" s="25" t="n">
        <v>46039</v>
      </c>
      <c r="E20" s="13" t="inlineStr">
        <is>
          <t>CAIEIRA CANTA GALO EXTRACAO E COMERCIO DE CALCARIO LTDA</t>
        </is>
      </c>
      <c r="F20" s="13" t="inlineStr">
        <is>
          <t>07.776.339/0002-04</t>
        </is>
      </c>
      <c r="G20" s="15" t="inlineStr">
        <is>
          <t>COMERCIO DE CALCARIO LTDA, | DOCUMENTO AUX | IAR DA.</t>
        </is>
      </c>
      <c r="H20" s="13" t="inlineStr"/>
      <c r="I20" s="13" t="inlineStr"/>
      <c r="J20" s="13" t="inlineStr"/>
      <c r="K20" s="13" t="inlineStr"/>
      <c r="L20" s="16" t="n"/>
      <c r="M20" s="16" t="n">
        <v>4392</v>
      </c>
      <c r="N20" s="16" t="n">
        <v>1939.51</v>
      </c>
      <c r="O20" s="16" t="n">
        <v>232.74</v>
      </c>
      <c r="P20" s="16" t="n"/>
      <c r="Q20" s="16" t="n"/>
      <c r="R20" s="13" t="inlineStr">
        <is>
          <t>Sim</t>
        </is>
      </c>
      <c r="S20" s="13" t="inlineStr">
        <is>
          <t>Alta</t>
        </is>
      </c>
      <c r="T20" s="15" t="inlineStr">
        <is>
          <t>NOTAS FISCAIS DE COMPRA JANEIRO 2026.pdf - p. 54</t>
        </is>
      </c>
    </row>
    <row r="21">
      <c r="A21" s="13" t="inlineStr">
        <is>
          <t>JAN26-P055</t>
        </is>
      </c>
      <c r="B21" s="13" t="n">
        <v>55</v>
      </c>
      <c r="C21" s="13" t="inlineStr">
        <is>
          <t>17232</t>
        </is>
      </c>
      <c r="D21" s="25" t="n">
        <v>46035</v>
      </c>
      <c r="E21" s="13" t="inlineStr">
        <is>
          <t>PLASTER DISTRIBUIDORA LTDA</t>
        </is>
      </c>
      <c r="F21" s="13" t="inlineStr">
        <is>
          <t>42.534.679/0001-49</t>
        </is>
      </c>
      <c r="G21" s="15" t="inlineStr">
        <is>
          <t>Venda de Producao do Estabelecimento | 126260004521449</t>
        </is>
      </c>
      <c r="H21" s="13" t="inlineStr"/>
      <c r="I21" s="13" t="inlineStr"/>
      <c r="J21" s="13" t="inlineStr"/>
      <c r="K21" s="13" t="inlineStr"/>
      <c r="L21" s="16" t="n"/>
      <c r="M21" s="16" t="n">
        <v>42165.62</v>
      </c>
      <c r="N21" s="16" t="n">
        <v>42165.62</v>
      </c>
      <c r="O21" s="16" t="n">
        <v>5059.87</v>
      </c>
      <c r="P21" s="16" t="n"/>
      <c r="Q21" s="16" t="n">
        <v>1370.38</v>
      </c>
      <c r="R21" s="13" t="inlineStr">
        <is>
          <t>Sim</t>
        </is>
      </c>
      <c r="S21" s="13" t="inlineStr">
        <is>
          <t>Alta</t>
        </is>
      </c>
      <c r="T21" s="15" t="inlineStr">
        <is>
          <t>NOTAS FISCAIS DE COMPRA JANEIRO 2026.pdf - p. 55</t>
        </is>
      </c>
    </row>
    <row r="22">
      <c r="A22" s="13" t="inlineStr">
        <is>
          <t>JAN26-P059</t>
        </is>
      </c>
      <c r="B22" s="13" t="n">
        <v>59</v>
      </c>
      <c r="C22" s="13" t="inlineStr">
        <is>
          <t>832</t>
        </is>
      </c>
      <c r="D22" s="25" t="n">
        <v>46048</v>
      </c>
      <c r="E22" s="13" t="inlineStr">
        <is>
          <t>ROMILSON SILVA DE ASSIS</t>
        </is>
      </c>
      <c r="F22" s="13" t="inlineStr">
        <is>
          <t>19.255.075/0001-41</t>
        </is>
      </c>
      <c r="G22" s="15" t="inlineStr">
        <is>
          <t>NIPLE C/ FURO CALIBRADO 1,5 MM / VALVULA NAO RETORNO + VISOR</t>
        </is>
      </c>
      <c r="H22" s="13" t="inlineStr"/>
      <c r="I22" s="13" t="inlineStr"/>
      <c r="J22" s="13" t="inlineStr"/>
      <c r="K22" s="13" t="inlineStr"/>
      <c r="L22" s="16" t="n"/>
      <c r="M22" s="16" t="n">
        <v>350</v>
      </c>
      <c r="N22" s="16" t="n"/>
      <c r="O22" s="16" t="n"/>
      <c r="P22" s="16" t="n"/>
      <c r="Q22" s="16" t="n"/>
      <c r="R22" s="13" t="inlineStr">
        <is>
          <t>Sim</t>
        </is>
      </c>
      <c r="S22" s="13" t="inlineStr">
        <is>
          <t>Alta</t>
        </is>
      </c>
      <c r="T22" s="15" t="inlineStr">
        <is>
          <t>NOTAS FISCAIS DE COMPRA JANEIRO 2026.pdf - p. 59</t>
        </is>
      </c>
    </row>
    <row r="23">
      <c r="A23" s="13" t="inlineStr">
        <is>
          <t>JAN26-P077</t>
        </is>
      </c>
      <c r="B23" s="13" t="n">
        <v>77</v>
      </c>
      <c r="C23" s="13" t="inlineStr">
        <is>
          <t>535011</t>
        </is>
      </c>
      <c r="D23" s="25" t="n">
        <v>46031</v>
      </c>
      <c r="E23" s="13" t="inlineStr">
        <is>
          <t>COMPANHIA INDUSTRIAL DE CIMENTO APODI</t>
        </is>
      </c>
      <c r="F23" s="13" t="inlineStr">
        <is>
          <t>10.260.249/0003-51</t>
        </is>
      </c>
      <c r="G23" s="15" t="inlineStr">
        <is>
          <t>ELECIMENTO. | 09/01/2026 06:22:19</t>
        </is>
      </c>
      <c r="H23" s="13" t="inlineStr"/>
      <c r="I23" s="13" t="inlineStr"/>
      <c r="J23" s="13" t="inlineStr"/>
      <c r="K23" s="13" t="inlineStr"/>
      <c r="L23" s="16" t="n"/>
      <c r="M23" s="16" t="n">
        <v>15797.5</v>
      </c>
      <c r="N23" s="16" t="n">
        <v>15797.5</v>
      </c>
      <c r="O23" s="16" t="n">
        <v>1895.7</v>
      </c>
      <c r="P23" s="16" t="n"/>
      <c r="Q23" s="16" t="n"/>
      <c r="R23" s="13" t="inlineStr">
        <is>
          <t>Sim</t>
        </is>
      </c>
      <c r="S23" s="13" t="inlineStr">
        <is>
          <t>Alta</t>
        </is>
      </c>
      <c r="T23" s="15" t="inlineStr">
        <is>
          <t>NOTAS FISCAIS DE COMPRA JANEIRO 2026.pdf - p. 77</t>
        </is>
      </c>
    </row>
    <row r="24">
      <c r="A24" s="13" t="inlineStr">
        <is>
          <t>JAN26-P078</t>
        </is>
      </c>
      <c r="B24" s="13" t="n">
        <v>78</v>
      </c>
      <c r="C24" s="13" t="inlineStr">
        <is>
          <t>861</t>
        </is>
      </c>
      <c r="D24" s="25" t="n">
        <v>45972</v>
      </c>
      <c r="E24" s="13" t="inlineStr">
        <is>
          <t>INOVE SOLUCOES EM PRODUTOS E EQUIPAMENTOS PARA LABORATORIOS</t>
        </is>
      </c>
      <c r="F24" s="13" t="inlineStr">
        <is>
          <t>60.366.345/0001-95</t>
        </is>
      </c>
      <c r="G24" s="15" t="inlineStr"/>
      <c r="H24" s="13" t="inlineStr"/>
      <c r="I24" s="13" t="inlineStr"/>
      <c r="J24" s="13" t="inlineStr"/>
      <c r="K24" s="13" t="inlineStr"/>
      <c r="L24" s="16" t="n"/>
      <c r="M24" s="16" t="n">
        <v>28961</v>
      </c>
      <c r="N24" s="16" t="n"/>
      <c r="O24" s="16" t="n"/>
      <c r="P24" s="16" t="n"/>
      <c r="Q24" s="16" t="n"/>
      <c r="R24" s="13" t="inlineStr">
        <is>
          <t>Sim</t>
        </is>
      </c>
      <c r="S24" s="13" t="inlineStr">
        <is>
          <t>Alta</t>
        </is>
      </c>
      <c r="T24" s="15" t="inlineStr">
        <is>
          <t>NOTAS FISCAIS DE COMPRA JANEIRO 2026.pdf - p. 78</t>
        </is>
      </c>
    </row>
    <row r="25">
      <c r="A25" s="13" t="inlineStr">
        <is>
          <t>JAN26-P079</t>
        </is>
      </c>
      <c r="B25" s="13" t="n">
        <v>79</v>
      </c>
      <c r="C25" s="13" t="inlineStr">
        <is>
          <t>100000086</t>
        </is>
      </c>
      <c r="D25" s="25" t="n">
        <v>45972</v>
      </c>
      <c r="E25" s="13" t="inlineStr">
        <is>
          <t>es, vimos por meio des</t>
        </is>
      </c>
      <c r="F25" s="13" t="inlineStr">
        <is>
          <t>60.366.345/0002-91</t>
        </is>
      </c>
      <c r="G25" s="15" t="inlineStr"/>
      <c r="H25" s="13" t="inlineStr"/>
      <c r="I25" s="13" t="inlineStr"/>
      <c r="J25" s="13" t="inlineStr"/>
      <c r="K25" s="13" t="inlineStr"/>
      <c r="L25" s="16" t="n"/>
      <c r="M25" s="16" t="n"/>
      <c r="N25" s="16" t="n"/>
      <c r="O25" s="16" t="n"/>
      <c r="P25" s="16" t="n"/>
      <c r="Q25" s="16" t="n"/>
      <c r="R25" s="13" t="inlineStr">
        <is>
          <t>Revisar</t>
        </is>
      </c>
      <c r="S25" s="13" t="inlineStr">
        <is>
          <t>Alta</t>
        </is>
      </c>
      <c r="T25" s="15" t="inlineStr">
        <is>
          <t>NOTAS FISCAIS DE COMPRA JANEIRO 2026.pdf - p. 79</t>
        </is>
      </c>
    </row>
    <row r="26">
      <c r="A26" s="13" t="inlineStr">
        <is>
          <t>JAN26-P081</t>
        </is>
      </c>
      <c r="B26" s="13" t="n">
        <v>81</v>
      </c>
      <c r="C26" s="13" t="inlineStr">
        <is>
          <t>60587</t>
        </is>
      </c>
      <c r="D26" s="25" t="n">
        <v>46034</v>
      </c>
      <c r="E26" s="13" t="inlineStr">
        <is>
          <t>DISTRIBUICAO DE ALIMENTOS VANGUARDA S/A</t>
        </is>
      </c>
      <c r="F26" s="13" t="inlineStr">
        <is>
          <t>31.838.128/0025-20</t>
        </is>
      </c>
      <c r="G26" s="15" t="inlineStr">
        <is>
          <t>SAL MOIDO C/INDUSTRIAL S IODIO 1KG, 1.000 UN x R$ 0,80</t>
        </is>
      </c>
      <c r="H26" s="13" t="inlineStr"/>
      <c r="I26" s="13" t="inlineStr"/>
      <c r="J26" s="13" t="inlineStr"/>
      <c r="K26" s="13" t="inlineStr"/>
      <c r="L26" s="16" t="n"/>
      <c r="M26" s="16" t="n">
        <v>800</v>
      </c>
      <c r="N26" s="16" t="n"/>
      <c r="O26" s="16" t="n"/>
      <c r="P26" s="16" t="n"/>
      <c r="Q26" s="16" t="n"/>
      <c r="R26" s="13" t="inlineStr">
        <is>
          <t>Sim</t>
        </is>
      </c>
      <c r="S26" s="13" t="inlineStr">
        <is>
          <t>Alta</t>
        </is>
      </c>
      <c r="T26" s="15" t="inlineStr">
        <is>
          <t>NOTAS FISCAIS DE COMPRA JANEIRO 2026.pdf - p. 81</t>
        </is>
      </c>
    </row>
    <row r="27">
      <c r="A27" s="13" t="inlineStr">
        <is>
          <t>JAN26-P084</t>
        </is>
      </c>
      <c r="B27" s="13" t="n">
        <v>84</v>
      </c>
      <c r="C27" s="13" t="inlineStr">
        <is>
          <t>232676</t>
        </is>
      </c>
      <c r="D27" s="25" t="n">
        <v>46007</v>
      </c>
      <c r="E27" s="13" t="inlineStr">
        <is>
          <t>INDUMAK MAQUINAS LTDA</t>
        </is>
      </c>
      <c r="F27" s="13" t="inlineStr">
        <is>
          <t>84.431.352/0001-91</t>
        </is>
      </c>
      <c r="G27" s="15" t="inlineStr"/>
      <c r="H27" s="13" t="inlineStr"/>
      <c r="I27" s="13" t="inlineStr"/>
      <c r="J27" s="13" t="inlineStr"/>
      <c r="K27" s="13" t="inlineStr"/>
      <c r="L27" s="16" t="n"/>
      <c r="M27" s="16" t="n">
        <v>1391.53</v>
      </c>
      <c r="N27" s="16" t="n">
        <v>1587.23</v>
      </c>
      <c r="O27" s="16" t="n">
        <v>100.51</v>
      </c>
      <c r="P27" s="16" t="n"/>
      <c r="Q27" s="16" t="n">
        <v>75.65000000000001</v>
      </c>
      <c r="R27" s="13" t="inlineStr">
        <is>
          <t>Sim</t>
        </is>
      </c>
      <c r="S27" s="13" t="inlineStr">
        <is>
          <t>Alta</t>
        </is>
      </c>
      <c r="T27" s="15" t="inlineStr">
        <is>
          <t>NOTAS FISCAIS DE COMPRA JANEIRO 2026.pdf - p. 84</t>
        </is>
      </c>
    </row>
    <row r="28">
      <c r="A28" s="13" t="inlineStr">
        <is>
          <t>JAN26-P092</t>
        </is>
      </c>
      <c r="B28" s="13" t="n">
        <v>92</v>
      </c>
      <c r="C28" s="13" t="inlineStr">
        <is>
          <t>535504</t>
        </is>
      </c>
      <c r="D28" s="25" t="n">
        <v>46036</v>
      </c>
      <c r="E28" s="13" t="inlineStr">
        <is>
          <t>COMPANHIA INDUSTRIAL DE CIMENTO APODI</t>
        </is>
      </c>
      <c r="F28" s="13" t="inlineStr">
        <is>
          <t>10.260.249/0003-51</t>
        </is>
      </c>
      <c r="G28" s="15" t="inlineStr">
        <is>
          <t>coe sasat-o08 mufeulieidade #0 portal wacion NF | | VENDA DE PRODUCAG DO ESTABELECIMENTO_ 14/01/2026 _ 11:40:07 | ipacMCIS ADGA REE S0NS TRIS Tore | ‘SEAL ENGENHARIA INDUSTRIA E COMERCIO LTDA. 34658 038/0002.89 T4u72026 | [SFDERECO. BARD DISTRITO cer | Eveomancscomov emma etnaao ras</t>
        </is>
      </c>
      <c r="H28" s="13" t="inlineStr"/>
      <c r="I28" s="13" t="inlineStr"/>
      <c r="J28" s="13" t="inlineStr"/>
      <c r="K28" s="13" t="inlineStr"/>
      <c r="L28" s="16" t="n"/>
      <c r="M28" s="16" t="n">
        <v>18676.35</v>
      </c>
      <c r="N28" s="16" t="n">
        <v>18676.35</v>
      </c>
      <c r="O28" s="16" t="n">
        <v>2241.16</v>
      </c>
      <c r="P28" s="16" t="n"/>
      <c r="Q28" s="16" t="n"/>
      <c r="R28" s="13" t="inlineStr">
        <is>
          <t>Sim</t>
        </is>
      </c>
      <c r="S28" s="13" t="inlineStr">
        <is>
          <t>Baixa</t>
        </is>
      </c>
      <c r="T28" s="15" t="inlineStr">
        <is>
          <t>NOTAS FISCAIS DE COMPRA JANEIRO 2026.pdf - p. 92</t>
        </is>
      </c>
    </row>
    <row r="29">
      <c r="A29" s="13" t="inlineStr">
        <is>
          <t>JAN26-P093</t>
        </is>
      </c>
      <c r="B29" s="13" t="n">
        <v>93</v>
      </c>
      <c r="C29" s="13" t="inlineStr">
        <is>
          <t>535252</t>
        </is>
      </c>
      <c r="D29" s="25" t="n">
        <v>46034</v>
      </c>
      <c r="E29" s="13" t="inlineStr">
        <is>
          <t>COMPANHIA INDUSTRIAL DE CIMENTO APODI</t>
        </is>
      </c>
      <c r="F29" s="13" t="inlineStr">
        <is>
          <t>10.260.249/0003-51</t>
        </is>
      </c>
      <c r="G29" s="15" t="inlineStr">
        <is>
          <t>/RECROEMOS DE CUMPANIOARDUDTRIAL DE CIMENTO APO O5FRODUTOS CONSTANTES DA NOTA FISCAL INDICADA AQLADO NF | * Neosat | ———— DANFE : MT mi | viper, fpeeapommnnmeroomm | seme: | TATTLE | remsucess&gt; 0. TRADA [euvroraceno</t>
        </is>
      </c>
      <c r="H29" s="13" t="inlineStr"/>
      <c r="I29" s="13" t="inlineStr"/>
      <c r="J29" s="13" t="inlineStr"/>
      <c r="K29" s="13" t="inlineStr"/>
      <c r="L29" s="16" t="n"/>
      <c r="M29" s="16" t="n">
        <v>18720.9</v>
      </c>
      <c r="N29" s="16" t="n">
        <v>18720.9</v>
      </c>
      <c r="O29" s="16" t="n">
        <v>2246.51</v>
      </c>
      <c r="P29" s="16" t="n"/>
      <c r="Q29" s="16" t="n"/>
      <c r="R29" s="13" t="inlineStr">
        <is>
          <t>Sim</t>
        </is>
      </c>
      <c r="S29" s="13" t="inlineStr">
        <is>
          <t>Baixa</t>
        </is>
      </c>
      <c r="T29" s="15" t="inlineStr">
        <is>
          <t>NOTAS FISCAIS DE COMPRA JANEIRO 2026.pdf - p. 93</t>
        </is>
      </c>
    </row>
    <row r="30">
      <c r="A30" s="13" t="inlineStr">
        <is>
          <t>JAN26-P094</t>
        </is>
      </c>
      <c r="B30" s="13" t="n">
        <v>94</v>
      </c>
      <c r="C30" s="13" t="inlineStr">
        <is>
          <t>535128</t>
        </is>
      </c>
      <c r="D30" s="25" t="n">
        <v>46032</v>
      </c>
      <c r="E30" s="13" t="inlineStr">
        <is>
          <t>COMPANHIA INDUSTRIAL DE CIMENTO APODI</t>
        </is>
      </c>
      <c r="F30" s="13" t="inlineStr">
        <is>
          <t>10.260.249/0003-51</t>
        </is>
      </c>
      <c r="G30" s="15" t="inlineStr">
        <is>
          <t>FPENGADEPRODUCADDOESrAmELEcamrro. ———hwoyne OL tad | VENDA DE PRODUCAQ DO ESTABELECIMENTO. 10/01/2026 _ 01:31:40 | PRECRICRD ESTABAL CR BA SRS TRIS ead | 10260 249003-5 | SKAL ENGENHARIA INDUSTRIA COMERCIO LTDA. goto Toow036 | ‘AV SAO FRANCISCO 4000 VD EXTREMA eors-aso_|1r7026</t>
        </is>
      </c>
      <c r="H30" s="13" t="inlineStr"/>
      <c r="I30" s="13" t="inlineStr"/>
      <c r="J30" s="13" t="inlineStr"/>
      <c r="K30" s="13" t="inlineStr"/>
      <c r="L30" s="16" t="n"/>
      <c r="M30" s="16" t="n">
        <v>18656.55</v>
      </c>
      <c r="N30" s="16" t="n">
        <v>18656.55</v>
      </c>
      <c r="O30" s="16" t="n">
        <v>2238.79</v>
      </c>
      <c r="P30" s="16" t="n"/>
      <c r="Q30" s="16" t="n"/>
      <c r="R30" s="13" t="inlineStr">
        <is>
          <t>Sim</t>
        </is>
      </c>
      <c r="S30" s="13" t="inlineStr">
        <is>
          <t>Baixa</t>
        </is>
      </c>
      <c r="T30" s="15" t="inlineStr">
        <is>
          <t>NOTAS FISCAIS DE COMPRA JANEIRO 2026.pdf - p. 94</t>
        </is>
      </c>
    </row>
    <row r="31">
      <c r="A31" s="13" t="inlineStr">
        <is>
          <t>JAN26-P096</t>
        </is>
      </c>
      <c r="B31" s="13" t="n">
        <v>96</v>
      </c>
      <c r="C31" s="13" t="inlineStr">
        <is>
          <t>534870</t>
        </is>
      </c>
      <c r="D31" s="25" t="n">
        <v>46029</v>
      </c>
      <c r="E31" s="13" t="inlineStr">
        <is>
          <t>COMPANHIA INDUSTRIAL DE CIMENTO APODI</t>
        </is>
      </c>
      <c r="F31" s="13" t="inlineStr">
        <is>
          <t>10.260.249/0003-51</t>
        </is>
      </c>
      <c r="G31" s="15" t="inlineStr">
        <is>
          <t>VENDA DE PRODUCAO DO ESTABELECIMENTO. 07/01/2026 09:19:58 | pesca Sano EE aes RTTIRIS aan | . Issess | eri | SKAL ENGENHARIA INDUSTRIA E COMERC30 LTDA. [23.655.03840002-29 1071 2026</t>
        </is>
      </c>
      <c r="H31" s="13" t="inlineStr"/>
      <c r="I31" s="13" t="inlineStr"/>
      <c r="J31" s="13" t="inlineStr"/>
      <c r="K31" s="13" t="inlineStr"/>
      <c r="L31" s="16" t="n"/>
      <c r="M31" s="16" t="n">
        <v>18701.1</v>
      </c>
      <c r="N31" s="16" t="n">
        <v>18701.1</v>
      </c>
      <c r="O31" s="16" t="n">
        <v>2244.13</v>
      </c>
      <c r="P31" s="16" t="n"/>
      <c r="Q31" s="16" t="n"/>
      <c r="R31" s="13" t="inlineStr">
        <is>
          <t>Sim</t>
        </is>
      </c>
      <c r="S31" s="13" t="inlineStr">
        <is>
          <t>Baixa</t>
        </is>
      </c>
      <c r="T31" s="15" t="inlineStr">
        <is>
          <t>NOTAS FISCAIS DE COMPRA JANEIRO 2026.pdf - p. 96</t>
        </is>
      </c>
    </row>
    <row r="32">
      <c r="A32" s="13" t="inlineStr">
        <is>
          <t>JAN26-P097</t>
        </is>
      </c>
      <c r="B32" s="13" t="n">
        <v>97</v>
      </c>
      <c r="C32" s="13" t="inlineStr">
        <is>
          <t>534761</t>
        </is>
      </c>
      <c r="D32" s="25" t="n">
        <v>46028</v>
      </c>
      <c r="E32" s="13" t="inlineStr">
        <is>
          <t>COMPANHIA INDUSTRIAL DE CIMENTO APODI</t>
        </is>
      </c>
      <c r="F32" s="13" t="inlineStr">
        <is>
          <t>10.260.249/0003-51</t>
        </is>
      </c>
      <c r="G32" s="15" t="inlineStr">
        <is>
          <t>Cimento Portland / produção do estabelecimento - dados fiscais conforme DANFE.</t>
        </is>
      </c>
      <c r="H32" s="13" t="inlineStr"/>
      <c r="I32" s="13" t="inlineStr"/>
      <c r="J32" s="13" t="inlineStr"/>
      <c r="K32" s="13" t="inlineStr"/>
      <c r="L32" s="16" t="n"/>
      <c r="M32" s="16" t="n">
        <v>18785.25</v>
      </c>
      <c r="N32" s="16" t="n">
        <v>18785.25</v>
      </c>
      <c r="O32" s="16" t="n">
        <v>2254.23</v>
      </c>
      <c r="P32" s="16" t="n"/>
      <c r="Q32" s="16" t="n"/>
      <c r="R32" s="13" t="inlineStr">
        <is>
          <t>Sim</t>
        </is>
      </c>
      <c r="S32" s="13" t="inlineStr">
        <is>
          <t>Baixa</t>
        </is>
      </c>
      <c r="T32" s="15" t="inlineStr">
        <is>
          <t>NOTAS FISCAIS DE COMPRA JANEIRO 2026.pdf - p. 97</t>
        </is>
      </c>
    </row>
    <row r="33">
      <c r="A33" s="13" t="inlineStr">
        <is>
          <t>JAN26-P112</t>
        </is>
      </c>
      <c r="B33" s="13" t="n">
        <v>112</v>
      </c>
      <c r="C33" s="13" t="inlineStr">
        <is>
          <t>402080</t>
        </is>
      </c>
      <c r="D33" s="25" t="n">
        <v>46014</v>
      </c>
      <c r="E33" s="13" t="inlineStr">
        <is>
          <t>APODI DISTRIBUICAO E LOGISTICA LTDA</t>
        </is>
      </c>
      <c r="F33" s="13" t="inlineStr">
        <is>
          <t>29.190.494/0003-68</t>
        </is>
      </c>
      <c r="G33" s="15" t="inlineStr">
        <is>
          <t>CIMENTO PORTLAND COMP CP II F 32 50KG PBR S STRETCH, 40 sacos x R$45,50</t>
        </is>
      </c>
      <c r="H33" s="13" t="inlineStr"/>
      <c r="I33" s="13" t="inlineStr"/>
      <c r="J33" s="13" t="inlineStr"/>
      <c r="K33" s="13" t="inlineStr"/>
      <c r="L33" s="16" t="n"/>
      <c r="M33" s="16" t="n">
        <v>1820</v>
      </c>
      <c r="N33" s="16" t="n"/>
      <c r="O33" s="16" t="n"/>
      <c r="P33" s="16" t="n"/>
      <c r="Q33" s="16" t="n"/>
      <c r="R33" s="13" t="inlineStr">
        <is>
          <t>Sim</t>
        </is>
      </c>
      <c r="S33" s="13" t="inlineStr">
        <is>
          <t>Alta</t>
        </is>
      </c>
      <c r="T33" s="15" t="inlineStr">
        <is>
          <t>NOTAS FISCAIS DE COMPRA JANEIRO 2026.pdf - p. 112</t>
        </is>
      </c>
    </row>
    <row r="34">
      <c r="A34" s="13" t="inlineStr">
        <is>
          <t>JAN26-P114</t>
        </is>
      </c>
      <c r="B34" s="13" t="n">
        <v>114</v>
      </c>
      <c r="C34" s="13" t="inlineStr">
        <is>
          <t>20113</t>
        </is>
      </c>
      <c r="D34" s="25" t="n">
        <v>46008</v>
      </c>
      <c r="E34" s="13" t="inlineStr">
        <is>
          <t>DISTRIBUIDORA DE BEBIDAS ATACADAO DA GELA</t>
        </is>
      </c>
      <c r="F34" s="13" t="inlineStr">
        <is>
          <t>37.658.920/0001-01</t>
        </is>
      </c>
      <c r="G34" s="15" t="inlineStr">
        <is>
          <t>IMPERIO LAGER 600ML, 480 un x R$7,50</t>
        </is>
      </c>
      <c r="H34" s="13" t="inlineStr"/>
      <c r="I34" s="13" t="inlineStr"/>
      <c r="J34" s="13" t="inlineStr"/>
      <c r="K34" s="13" t="inlineStr"/>
      <c r="L34" s="16" t="n"/>
      <c r="M34" s="16" t="n">
        <v>3600</v>
      </c>
      <c r="N34" s="16" t="n"/>
      <c r="O34" s="16" t="n"/>
      <c r="P34" s="16" t="n"/>
      <c r="Q34" s="16" t="n"/>
      <c r="R34" s="13" t="inlineStr">
        <is>
          <t>Sim</t>
        </is>
      </c>
      <c r="S34" s="13" t="inlineStr">
        <is>
          <t>Alta</t>
        </is>
      </c>
      <c r="T34" s="15" t="inlineStr">
        <is>
          <t>NOTAS FISCAIS DE COMPRA JANEIRO 2026.pdf - p. 114</t>
        </is>
      </c>
    </row>
    <row r="35">
      <c r="A35" s="13" t="inlineStr">
        <is>
          <t>JAN26-P116</t>
        </is>
      </c>
      <c r="B35" s="13" t="n">
        <v>116</v>
      </c>
      <c r="C35" s="13" t="inlineStr">
        <is>
          <t>172</t>
        </is>
      </c>
      <c r="D35" s="25" t="n">
        <v>46031</v>
      </c>
      <c r="E35" s="13" t="inlineStr">
        <is>
          <t>EVERARDO SILVA DO NASCIMENTO</t>
        </is>
      </c>
      <c r="F35" s="13" t="inlineStr">
        <is>
          <t>43.140.694/0001-75</t>
        </is>
      </c>
      <c r="G35" s="15" t="inlineStr">
        <is>
          <t>rom Tam [= ria Tis | [Ss [seenemenrvennes [seo fon ome [at Jatone| Se [eta] a |S er] | I 2 ll RR | lee Ironacomenzracxasnoccioriia—_, —_|raas| im [aa &gt;= | ann] aati anal —istomal ae) aol aa ato] | SF [rane FuRD Cowl OF MODLLO | DRTRENGID COM] RETARD Er a | ae i i DD i | fareeane | i 7, | " 2/9 (SD | i Oo i | DDIRVEMENO 9G ( ‘a a H | Rut, 4.009,00 \ i | . HN . | | A fh | sf | ANY | DAPOS ADICIONALS: * | (somata rai 1 | = iy COMPRAS, , i | Pjeaeewm, BE Veena ba Lancans emeel 02% H | pF RO i | YF | ix 2f Presuo - 8698130230 = | Erarge ou UIDRACE j | DATA EHORADA WERESEAC DIANE . {cae -{UG3RLARA IRATE RELI IO</t>
        </is>
      </c>
      <c r="H35" s="13" t="inlineStr"/>
      <c r="I35" s="13" t="inlineStr"/>
      <c r="J35" s="13" t="inlineStr"/>
      <c r="K35" s="13" t="inlineStr"/>
      <c r="L35" s="16" t="n"/>
      <c r="M35" s="16" t="n">
        <v>8238</v>
      </c>
      <c r="N35" s="16" t="n"/>
      <c r="O35" s="16" t="n"/>
      <c r="P35" s="16" t="n"/>
      <c r="Q35" s="16" t="n"/>
      <c r="R35" s="13" t="inlineStr">
        <is>
          <t>Sim</t>
        </is>
      </c>
      <c r="S35" s="13" t="inlineStr">
        <is>
          <t>Alta</t>
        </is>
      </c>
      <c r="T35" s="15" t="inlineStr">
        <is>
          <t>NOTAS FISCAIS DE COMPRA JANEIRO 2026.pdf - p. 116</t>
        </is>
      </c>
    </row>
    <row r="36">
      <c r="A36" s="13" t="inlineStr">
        <is>
          <t>JAN26-P119</t>
        </is>
      </c>
      <c r="B36" s="13" t="n">
        <v>119</v>
      </c>
      <c r="C36" s="13" t="inlineStr">
        <is>
          <t>77338</t>
        </is>
      </c>
      <c r="D36" s="25" t="n">
        <v>45994</v>
      </c>
      <c r="E36" s="13" t="inlineStr">
        <is>
          <t>POLI-GYN EMBALAGENS LTDA</t>
        </is>
      </c>
      <c r="F36" s="13" t="inlineStr">
        <is>
          <t>00.072.331/0001-37</t>
        </is>
      </c>
      <c r="G36" s="15" t="inlineStr"/>
      <c r="H36" s="13" t="inlineStr"/>
      <c r="I36" s="13" t="inlineStr"/>
      <c r="J36" s="13" t="inlineStr"/>
      <c r="K36" s="13" t="inlineStr"/>
      <c r="L36" s="16" t="n"/>
      <c r="M36" s="16" t="n">
        <v>29560.9</v>
      </c>
      <c r="N36" s="16" t="n">
        <v>29560.9</v>
      </c>
      <c r="O36" s="16" t="n">
        <v>1182.44</v>
      </c>
      <c r="P36" s="16" t="n"/>
      <c r="Q36" s="16" t="n">
        <v>2882.19</v>
      </c>
      <c r="R36" s="13" t="inlineStr">
        <is>
          <t>Sim</t>
        </is>
      </c>
      <c r="S36" s="13" t="inlineStr">
        <is>
          <t>Alta</t>
        </is>
      </c>
      <c r="T36" s="15" t="inlineStr">
        <is>
          <t>NOTAS FISCAIS DE COMPRA JANEIRO 2026.pdf - p. 119</t>
        </is>
      </c>
    </row>
    <row r="37">
      <c r="A37" s="13" t="inlineStr">
        <is>
          <t>JAN26-P120</t>
        </is>
      </c>
      <c r="B37" s="13" t="n">
        <v>120</v>
      </c>
      <c r="C37" s="13" t="inlineStr">
        <is>
          <t>535055</t>
        </is>
      </c>
      <c r="D37" s="25" t="n">
        <v>46031</v>
      </c>
      <c r="E37" s="13" t="inlineStr">
        <is>
          <t>COMPANHIA INDUSTRIAL DE CIMENTO APODI</t>
        </is>
      </c>
      <c r="F37" s="13" t="inlineStr">
        <is>
          <t>10.260.249/0003-51</t>
        </is>
      </c>
      <c r="G37" s="15" t="inlineStr">
        <is>
          <t>vena Be FRODU | DA DE PRODUCAD DO ESTABELECIMENTO. 9401/2026 _ 13:42:59 | Peertriaall | pens To 2090051 | ISKAL ENGENHARIA [NDUSTRIA E COMERCIO LTDA. 13,655.03 8/0002-89. 09/01/2026. | Inv SAO</t>
        </is>
      </c>
      <c r="H37" s="13" t="inlineStr"/>
      <c r="I37" s="13" t="inlineStr"/>
      <c r="J37" s="13" t="inlineStr"/>
      <c r="K37" s="13" t="inlineStr"/>
      <c r="L37" s="16" t="n"/>
      <c r="M37" s="16" t="n">
        <v>18805.05</v>
      </c>
      <c r="N37" s="16" t="n">
        <v>18805.05</v>
      </c>
      <c r="O37" s="16" t="n">
        <v>2256.61</v>
      </c>
      <c r="P37" s="16" t="n"/>
      <c r="Q37" s="16" t="n"/>
      <c r="R37" s="13" t="inlineStr">
        <is>
          <t>Sim</t>
        </is>
      </c>
      <c r="S37" s="13" t="inlineStr">
        <is>
          <t>Alta</t>
        </is>
      </c>
      <c r="T37" s="15" t="inlineStr">
        <is>
          <t>NOTAS FISCAIS DE COMPRA JANEIRO 2026.pdf - p. 120</t>
        </is>
      </c>
    </row>
    <row r="38">
      <c r="A38" s="13" t="inlineStr">
        <is>
          <t>JAN26-P147</t>
        </is>
      </c>
      <c r="B38" s="13" t="n">
        <v>147</v>
      </c>
      <c r="C38" s="13" t="inlineStr">
        <is>
          <t>3520</t>
        </is>
      </c>
      <c r="D38" s="25" t="n">
        <v>46028</v>
      </c>
      <c r="E38" s="13" t="inlineStr">
        <is>
          <t>BORGES &amp; CAMURCA RESTAURANTES LTDA</t>
        </is>
      </c>
      <c r="F38" s="13" t="inlineStr">
        <is>
          <t>25.140.178/0001-69</t>
        </is>
      </c>
      <c r="G38" s="15" t="inlineStr">
        <is>
          <t>QUENTINHA, 63 UN x R$13,00</t>
        </is>
      </c>
      <c r="H38" s="13" t="inlineStr"/>
      <c r="I38" s="13" t="inlineStr"/>
      <c r="J38" s="13" t="inlineStr"/>
      <c r="K38" s="13" t="inlineStr"/>
      <c r="L38" s="16" t="n"/>
      <c r="M38" s="16" t="n">
        <v>819</v>
      </c>
      <c r="N38" s="16" t="n"/>
      <c r="O38" s="16" t="n"/>
      <c r="P38" s="16" t="n"/>
      <c r="Q38" s="16" t="n"/>
      <c r="R38" s="13" t="inlineStr">
        <is>
          <t>Sim</t>
        </is>
      </c>
      <c r="S38" s="13" t="inlineStr">
        <is>
          <t>Alta</t>
        </is>
      </c>
      <c r="T38" s="15" t="inlineStr">
        <is>
          <t>NOTAS FISCAIS DE COMPRA JANEIRO 2026.pdf - p. 147</t>
        </is>
      </c>
    </row>
    <row r="39">
      <c r="A39" s="13" t="inlineStr">
        <is>
          <t>JAN26-P148</t>
        </is>
      </c>
      <c r="B39" s="13" t="n">
        <v>148</v>
      </c>
      <c r="C39" s="13" t="inlineStr">
        <is>
          <t>16028</t>
        </is>
      </c>
      <c r="D39" s="25" t="n">
        <v>46003</v>
      </c>
      <c r="E39" s="13" t="inlineStr">
        <is>
          <t>RENOVAR INDUSTRIA E COMERCIO DE EMBALAGENS EIRELI</t>
        </is>
      </c>
      <c r="F39" s="13" t="inlineStr">
        <is>
          <t>04.904.996/0001-10</t>
        </is>
      </c>
      <c r="G39" s="15" t="inlineStr">
        <is>
          <t>fRarinza onortantha FROToCoLO ne aUTORIZACAO DE USO | [VENDA PRODUCAO DO ESTABELECIMENTO. 1246259 156777928 ~ E2/1272028 16:38:25 | | frscaicsoesraacat IRSCRR AD ESTADIIA SUR TRIBUTANIA lor | n2g071647 Jo4.904.996/0001-10 | DESTINATARIOMEMETENTE. | fowrnazdo soca [ere Iaara Da Ewassto</t>
        </is>
      </c>
      <c r="H39" s="13" t="inlineStr"/>
      <c r="I39" s="13" t="inlineStr"/>
      <c r="J39" s="13" t="inlineStr"/>
      <c r="K39" s="13" t="inlineStr"/>
      <c r="L39" s="16" t="n"/>
      <c r="M39" s="16" t="n">
        <v>27236.94</v>
      </c>
      <c r="N39" s="16" t="n">
        <v>27236.94</v>
      </c>
      <c r="O39" s="16" t="n">
        <v>3268.43</v>
      </c>
      <c r="P39" s="16" t="n"/>
      <c r="Q39" s="16" t="n">
        <v>2655.6</v>
      </c>
      <c r="R39" s="13" t="inlineStr">
        <is>
          <t>Sim</t>
        </is>
      </c>
      <c r="S39" s="13" t="inlineStr">
        <is>
          <t>Alta</t>
        </is>
      </c>
      <c r="T39" s="15" t="inlineStr">
        <is>
          <t>NOTAS FISCAIS DE COMPRA JANEIRO 2026.pdf - p. 148</t>
        </is>
      </c>
    </row>
    <row r="40">
      <c r="A40" s="13" t="inlineStr">
        <is>
          <t>JAN26-P150</t>
        </is>
      </c>
      <c r="B40" s="13" t="n">
        <v>150</v>
      </c>
      <c r="C40" s="13" t="inlineStr">
        <is>
          <t>4834</t>
        </is>
      </c>
      <c r="D40" s="25" t="n">
        <v>46006</v>
      </c>
      <c r="E40" s="13" t="inlineStr">
        <is>
          <t>ELITE PECAS E MAQUINAS LTDA</t>
        </is>
      </c>
      <c r="F40" s="13" t="inlineStr">
        <is>
          <t>32.021.015/0001-22</t>
        </is>
      </c>
      <c r="G40" s="15" t="inlineStr">
        <is>
          <t>———————— | ~ ~ Recchemos de ELITE PECAS E MAQUINAS LTDA on produtosiservigos comstantcs da NF indica ao lado T | a ‘ wa meade | A SS ASE Fn '</t>
        </is>
      </c>
      <c r="H40" s="13" t="inlineStr"/>
      <c r="I40" s="13" t="inlineStr"/>
      <c r="J40" s="13" t="inlineStr"/>
      <c r="K40" s="13" t="inlineStr"/>
      <c r="L40" s="16" t="n"/>
      <c r="M40" s="16" t="n">
        <v>880</v>
      </c>
      <c r="N40" s="16" t="n">
        <v>880</v>
      </c>
      <c r="O40" s="16" t="n">
        <v>61.6</v>
      </c>
      <c r="P40" s="16" t="n">
        <v>136.4</v>
      </c>
      <c r="Q40" s="16" t="n"/>
      <c r="R40" s="13" t="inlineStr">
        <is>
          <t>Sim</t>
        </is>
      </c>
      <c r="S40" s="13" t="inlineStr">
        <is>
          <t>Alta</t>
        </is>
      </c>
      <c r="T40" s="15" t="inlineStr">
        <is>
          <t>NOTAS FISCAIS DE COMPRA JANEIRO 2026.pdf - p. 150</t>
        </is>
      </c>
    </row>
    <row r="41">
      <c r="A41" s="13" t="inlineStr">
        <is>
          <t>JAN26-P167</t>
        </is>
      </c>
      <c r="B41" s="13" t="n">
        <v>167</v>
      </c>
      <c r="C41" s="13" t="inlineStr"/>
      <c r="D41" s="25" t="n">
        <v>46052</v>
      </c>
      <c r="E41" s="13" t="inlineStr">
        <is>
          <t>TERESINA MANGUEIRAS E PARAFUSOS LTDA Emernde: @ (2226 OLST 9764 7780 0124 5508 100N ONST 9515 2IBE E846</t>
        </is>
      </c>
      <c r="F41" s="13" t="inlineStr"/>
      <c r="G41" s="15" t="inlineStr">
        <is>
          <t>ene | TERESINA MANGUEIRAS E PARAFUSOS LTDA Emernde: @ (2226 OLST 9764 7780 0124 5508 100N ONST 9515 2IBE E846 | Tebule (es) s0967.9007 Ni3798 ee ate plc ance anaes | ‘Série: 1 | renee</t>
        </is>
      </c>
      <c r="H41" s="13" t="inlineStr"/>
      <c r="I41" s="13" t="inlineStr"/>
      <c r="J41" s="13" t="inlineStr"/>
      <c r="K41" s="13" t="inlineStr"/>
      <c r="L41" s="16" t="n"/>
      <c r="M41" s="16" t="n"/>
      <c r="N41" s="16" t="n"/>
      <c r="O41" s="16" t="n"/>
      <c r="P41" s="16" t="n"/>
      <c r="Q41" s="16" t="n"/>
      <c r="R41" s="13" t="inlineStr">
        <is>
          <t>Revisar</t>
        </is>
      </c>
      <c r="S41" s="13" t="inlineStr">
        <is>
          <t>Baixa</t>
        </is>
      </c>
      <c r="T41" s="15" t="inlineStr">
        <is>
          <t>NOTAS FISCAIS DE COMPRA JANEIRO 2026.pdf - p. 167</t>
        </is>
      </c>
    </row>
    <row r="42">
      <c r="A42" s="13" t="inlineStr">
        <is>
          <t>JAN26-P177</t>
        </is>
      </c>
      <c r="B42" s="13" t="n">
        <v>177</v>
      </c>
      <c r="C42" s="13" t="inlineStr"/>
      <c r="D42" s="25" t="n"/>
      <c r="E42" s="13" t="inlineStr">
        <is>
          <t>|AVENFDA SAG FRANCISCO - N.4000 EXTREMA GAVAGE] _2VOU2026</t>
        </is>
      </c>
      <c r="F42" s="13" t="inlineStr"/>
      <c r="G42" s="15" t="inlineStr">
        <is>
          <t>. DoCEMER | ISAMPAIO MATERIAL DE CONSTRUCAO | auxuuarva | EIRELI-SAMPAIO CONSTRUCOES | S7Abear | ico VERDE CSIRO [0] otek tosis S | a ERE oe Tare de auensciag we pota national NF. | (086 2222-725) fat sere farce. pov beipoeta)</t>
        </is>
      </c>
      <c r="H42" s="13" t="inlineStr"/>
      <c r="I42" s="13" t="inlineStr"/>
      <c r="J42" s="13" t="inlineStr"/>
      <c r="K42" s="13" t="inlineStr"/>
      <c r="L42" s="16" t="n"/>
      <c r="M42" s="16" t="n"/>
      <c r="N42" s="16" t="n"/>
      <c r="O42" s="16" t="n"/>
      <c r="P42" s="16" t="n"/>
      <c r="Q42" s="16" t="n"/>
      <c r="R42" s="13" t="inlineStr">
        <is>
          <t>Revisar</t>
        </is>
      </c>
      <c r="S42" s="13" t="inlineStr">
        <is>
          <t>Baixa</t>
        </is>
      </c>
      <c r="T42" s="15" t="inlineStr">
        <is>
          <t>NOTAS FISCAIS DE COMPRA JANEIRO 2026.pdf - p. 177</t>
        </is>
      </c>
    </row>
    <row r="43">
      <c r="A43" s="13" t="inlineStr">
        <is>
          <t>JAN26-P178</t>
        </is>
      </c>
      <c r="B43" s="13" t="n">
        <v>178</v>
      </c>
      <c r="C43" s="13" t="inlineStr"/>
      <c r="D43" s="25" t="n"/>
      <c r="E43" s="13" t="inlineStr">
        <is>
          <t>Folha 1d t www le lazenda.gevib/poral ox no bie Ga Safar Autorizadora</t>
        </is>
      </c>
      <c r="F43" s="13" t="inlineStr"/>
      <c r="G43" s="15" t="inlineStr"/>
      <c r="H43" s="13" t="inlineStr"/>
      <c r="I43" s="13" t="inlineStr"/>
      <c r="J43" s="13" t="inlineStr"/>
      <c r="K43" s="13" t="inlineStr"/>
      <c r="L43" s="16" t="n"/>
      <c r="M43" s="16" t="n"/>
      <c r="N43" s="16" t="n"/>
      <c r="O43" s="16" t="n"/>
      <c r="P43" s="16" t="n"/>
      <c r="Q43" s="16" t="n"/>
      <c r="R43" s="13" t="inlineStr">
        <is>
          <t>Revisar</t>
        </is>
      </c>
      <c r="S43" s="13" t="inlineStr">
        <is>
          <t>Baixa</t>
        </is>
      </c>
      <c r="T43" s="15" t="inlineStr">
        <is>
          <t>NOTAS FISCAIS DE COMPRA JANEIRO 2026.pdf - p. 178</t>
        </is>
      </c>
    </row>
    <row r="44">
      <c r="A44" s="13" t="inlineStr">
        <is>
          <t>JAN26-P180</t>
        </is>
      </c>
      <c r="B44" s="13" t="n">
        <v>180</v>
      </c>
      <c r="C44" s="13" t="inlineStr"/>
      <c r="D44" s="25" t="n"/>
      <c r="E44" s="13" t="inlineStr">
        <is>
          <t>Futssuo gets Vlum TOPS DIFTSATOND: Sal PROELARA INDE COMM REIDT Fon” WA So TRANCE TRIS a NFee</t>
        </is>
      </c>
      <c r="F44" s="13" t="inlineStr"/>
      <c r="G44" s="15" t="inlineStr">
        <is>
          <t>pocuMESTO | isa MPALO MATERIAL DE CONSTRUCAQ | st suiiena | EIRELI-SAMPAIO CONSTRUCOES | MEAG CY . | AVENIDA MOREUSHOR ANTONIO SAMEARD IHE-PIREEY | gory (fe cnnesn mem ronan | | carts PaMAIEA-21 sain ‘Congulia de suri dade av poral saciona NF | womens Bm semnnf soa bool</t>
        </is>
      </c>
      <c r="H44" s="13" t="inlineStr"/>
      <c r="I44" s="13" t="inlineStr"/>
      <c r="J44" s="13" t="inlineStr"/>
      <c r="K44" s="13" t="inlineStr"/>
      <c r="L44" s="16" t="n"/>
      <c r="M44" s="16" t="n"/>
      <c r="N44" s="16" t="n"/>
      <c r="O44" s="16" t="n"/>
      <c r="P44" s="16" t="n"/>
      <c r="Q44" s="16" t="n"/>
      <c r="R44" s="13" t="inlineStr">
        <is>
          <t>Revisar</t>
        </is>
      </c>
      <c r="S44" s="13" t="inlineStr">
        <is>
          <t>Baixa</t>
        </is>
      </c>
      <c r="T44" s="15" t="inlineStr">
        <is>
          <t>NOTAS FISCAIS DE COMPRA JANEIRO 2026.pdf - p. 180</t>
        </is>
      </c>
    </row>
    <row r="45">
      <c r="A45" s="13" t="inlineStr">
        <is>
          <t>JAN26-P181</t>
        </is>
      </c>
      <c r="B45" s="13" t="n">
        <v>181</v>
      </c>
      <c r="C45" s="13" t="inlineStr"/>
      <c r="D45" s="25" t="n"/>
      <c r="E45" s="13" t="inlineStr">
        <is>
          <t>IAVENIDA SAO FRANCISCO - N 4000 EXTREMA inr202</t>
        </is>
      </c>
      <c r="F45" s="13" t="inlineStr"/>
      <c r="G45" s="15" t="inlineStr">
        <is>
          <t>0CuMPRTO | SAMPAIO MATERIAL DE CONSTRUCAO | at xuiarna | EIRELA- SAMPAIO CONSTRUCOES | NiAbycs | cane ee Pannetba &lt;P TsAlba Conta de anced 6 poral ational da 37s | es ETA B16 anew fe fazenda gov brevet! | eae ce ited Sela Madore</t>
        </is>
      </c>
      <c r="H45" s="13" t="inlineStr"/>
      <c r="I45" s="13" t="inlineStr"/>
      <c r="J45" s="13" t="inlineStr"/>
      <c r="K45" s="13" t="inlineStr"/>
      <c r="L45" s="16" t="n"/>
      <c r="M45" s="16" t="n"/>
      <c r="N45" s="16" t="n"/>
      <c r="O45" s="16" t="n"/>
      <c r="P45" s="16" t="n"/>
      <c r="Q45" s="16" t="n"/>
      <c r="R45" s="13" t="inlineStr">
        <is>
          <t>Revisar</t>
        </is>
      </c>
      <c r="S45" s="13" t="inlineStr">
        <is>
          <t>Baixa</t>
        </is>
      </c>
      <c r="T45" s="15" t="inlineStr">
        <is>
          <t>NOTAS FISCAIS DE COMPRA JANEIRO 2026.pdf - p. 181</t>
        </is>
      </c>
    </row>
    <row r="46">
      <c r="A46" s="13" t="inlineStr">
        <is>
          <t>JAN26-P182</t>
        </is>
      </c>
      <c r="B46" s="13" t="n">
        <v>182</v>
      </c>
      <c r="C46" s="13" t="inlineStr"/>
      <c r="D46" s="25" t="n"/>
      <c r="E46" s="13" t="inlineStr">
        <is>
          <t>RVENIDA SAO FRANCESCO -W 4000 BRT ‘iore.as0| sun uains</t>
        </is>
      </c>
      <c r="F46" s="13" t="inlineStr"/>
      <c r="G46" s="15" t="inlineStr">
        <is>
          <t>SRT BE DANFE | SAMPAIO MATERIAL DE CONSTRUCAQ | 2x0 xuiiens | EIRELI- SAMPAIO CONSTRUCOES | SVAN AL | (6425 PARNATDA- PE gala ‘Conaibs de aatentie dade ne portal naional ds ime | ane 7222-7283 1.431 sewer of, fazenda gen beipn tal | (RE ue ie de Saiz Reads</t>
        </is>
      </c>
      <c r="H46" s="13" t="inlineStr"/>
      <c r="I46" s="13" t="inlineStr"/>
      <c r="J46" s="13" t="inlineStr"/>
      <c r="K46" s="13" t="inlineStr"/>
      <c r="L46" s="16" t="n"/>
      <c r="M46" s="16" t="n"/>
      <c r="N46" s="16" t="n"/>
      <c r="O46" s="16" t="n"/>
      <c r="P46" s="16" t="n"/>
      <c r="Q46" s="16" t="n"/>
      <c r="R46" s="13" t="inlineStr">
        <is>
          <t>Revisar</t>
        </is>
      </c>
      <c r="S46" s="13" t="inlineStr">
        <is>
          <t>Baixa</t>
        </is>
      </c>
      <c r="T46" s="15" t="inlineStr">
        <is>
          <t>NOTAS FISCAIS DE COMPRA JANEIRO 2026.pdf - p. 182</t>
        </is>
      </c>
    </row>
    <row r="47">
      <c r="A47" s="13" t="inlineStr">
        <is>
          <t>JAN26-P183</t>
        </is>
      </c>
      <c r="B47" s="13" t="n">
        <v>183</v>
      </c>
      <c r="C47" s="13" t="inlineStr"/>
      <c r="D47" s="25" t="n"/>
      <c r="E47" s="13" t="inlineStr">
        <is>
          <t>OWLIDECK NATURAL 361 SAVERLACE eT [Osa] TY wR] enya] TC</t>
        </is>
      </c>
      <c r="F47" s="13" t="inlineStr"/>
      <c r="G47" s="15" t="inlineStr">
        <is>
          <t>. OLUMENTE | SAMPAIO MATERIAL DE CONSTRUCAO | ac suis | EIRELI - SAMPAIO CONSTRUCOES: Renowes Lo — | AVENIDA MONSENHOR ANTONIO SAMPAEO 264-DERCEL | oyna | aco VERE Saino” [1] Gedo poral eos | eT er 8 ‘onella do auintendade ww poral aacionsl dl</t>
        </is>
      </c>
      <c r="H47" s="13" t="inlineStr"/>
      <c r="I47" s="13" t="inlineStr"/>
      <c r="J47" s="13" t="inlineStr"/>
      <c r="K47" s="13" t="inlineStr"/>
      <c r="L47" s="16" t="n"/>
      <c r="M47" s="16" t="n"/>
      <c r="N47" s="16" t="n"/>
      <c r="O47" s="16" t="n"/>
      <c r="P47" s="16" t="n"/>
      <c r="Q47" s="16" t="n"/>
      <c r="R47" s="13" t="inlineStr">
        <is>
          <t>Revisar</t>
        </is>
      </c>
      <c r="S47" s="13" t="inlineStr">
        <is>
          <t>Baixa</t>
        </is>
      </c>
      <c r="T47" s="15" t="inlineStr">
        <is>
          <t>NOTAS FISCAIS DE COMPRA JANEIRO 2026.pdf - p. 183</t>
        </is>
      </c>
    </row>
    <row r="48">
      <c r="A48" s="13" t="inlineStr">
        <is>
          <t>JAN26-P184</t>
        </is>
      </c>
      <c r="B48" s="13" t="n">
        <v>184</v>
      </c>
      <c r="C48" s="13" t="inlineStr"/>
      <c r="D48" s="25" t="n"/>
      <c r="E48" s="13" t="inlineStr">
        <is>
          <t>VENDA DE MERCADORTA ADQUIRIDA FRE BomOUS40774 80 6}. 2026 97 ATL</t>
        </is>
      </c>
      <c r="F48" s="13" t="inlineStr"/>
      <c r="G48" s="15" t="inlineStr">
        <is>
          <t>DOCEMRTO | SAMPAIO MATERIAL DE CONSTRUCAQ | sLxuiac ba | EIRELI- SAMPAIO CONSTRUCOES | SUTARN | ‘ARCO VERDE HIRST Cy Canwulta ds ratcntsidade no poral aavional da NF. | (¢4211-145 PARNATBA - PI ws ‘Consulta de autentividade 0 portal nacional da NF | ‘on 22720724) aided swat ol fused pov bryant!</t>
        </is>
      </c>
      <c r="H48" s="13" t="inlineStr"/>
      <c r="I48" s="13" t="inlineStr"/>
      <c r="J48" s="13" t="inlineStr"/>
      <c r="K48" s="13" t="inlineStr"/>
      <c r="L48" s="16" t="n"/>
      <c r="M48" s="16" t="n"/>
      <c r="N48" s="16" t="n"/>
      <c r="O48" s="16" t="n"/>
      <c r="P48" s="16" t="n"/>
      <c r="Q48" s="16" t="n"/>
      <c r="R48" s="13" t="inlineStr">
        <is>
          <t>Revisar</t>
        </is>
      </c>
      <c r="S48" s="13" t="inlineStr">
        <is>
          <t>Baixa</t>
        </is>
      </c>
      <c r="T48" s="15" t="inlineStr">
        <is>
          <t>NOTAS FISCAIS DE COMPRA JANEIRO 2026.pdf - p. 184</t>
        </is>
      </c>
    </row>
    <row r="49">
      <c r="A49" s="13" t="inlineStr">
        <is>
          <t>JAN26-P186</t>
        </is>
      </c>
      <c r="B49" s="13" t="n">
        <v>186</v>
      </c>
      <c r="C49" s="13" t="inlineStr"/>
      <c r="D49" s="25" t="n">
        <v>46051</v>
      </c>
      <c r="E49" s="13" t="inlineStr">
        <is>
          <t>VENDA DE MERCADORIA ADQUIRIDA OU RECEBIDA DE TERCE 322260002299794 - 29/01/2026 0:05:40</t>
        </is>
      </c>
      <c r="F49" s="13" t="inlineStr">
        <is>
          <t>08.318.541/0001-74</t>
        </is>
      </c>
      <c r="G49" s="15" t="inlineStr">
        <is>
          <t>poser wnral iene rae fost | elon re | mo vor | se [mefoe [oom [zc |] ea oa oo | CALCULODO I5SQN Pronied&gt; Oesca no She ne cumoaty! | omer ee oo | DAOSABKIONAIS__—_—OCOCOCOOOOOOCCCCOCOCNCSNT_____ OOOO ||</t>
        </is>
      </c>
      <c r="H49" s="13" t="inlineStr"/>
      <c r="I49" s="13" t="inlineStr"/>
      <c r="J49" s="13" t="inlineStr"/>
      <c r="K49" s="13" t="inlineStr"/>
      <c r="L49" s="16" t="n"/>
      <c r="M49" s="16" t="n"/>
      <c r="N49" s="16" t="n"/>
      <c r="O49" s="16" t="n"/>
      <c r="P49" s="16" t="n"/>
      <c r="Q49" s="16" t="n"/>
      <c r="R49" s="13" t="inlineStr">
        <is>
          <t>Revisar</t>
        </is>
      </c>
      <c r="S49" s="13" t="inlineStr">
        <is>
          <t>Media</t>
        </is>
      </c>
      <c r="T49" s="15" t="inlineStr">
        <is>
          <t>NOTAS FISCAIS DE COMPRA JANEIRO 2026.pdf - p. 186</t>
        </is>
      </c>
    </row>
    <row r="50">
      <c r="A50" s="13" t="inlineStr">
        <is>
          <t>JAN26-P188</t>
        </is>
      </c>
      <c r="B50" s="13" t="n">
        <v>188</v>
      </c>
      <c r="C50" s="13" t="inlineStr"/>
      <c r="D50" s="25" t="n"/>
      <c r="E50" s="13" t="inlineStr">
        <is>
          <t>JAVENIDA SAQ FRANCISCO - N 4000. EXTREMA 64O7H=150 | ORM ZUZG</t>
        </is>
      </c>
      <c r="F50" s="13" t="inlineStr"/>
      <c r="G50" s="15" t="inlineStr">
        <is>
          <t>. pOCuMENTO | SAMPAIO MATERIAL DE CONSTRUCAQ | Alanna | EIRELE-SAMPAIO CONSTRUCOES | STARS | 6a EE ee SEIKO [1] 2 Sata mir we psd oon Sh | fistrretty gut see nf. fade se began | HE .</t>
        </is>
      </c>
      <c r="H50" s="13" t="inlineStr"/>
      <c r="I50" s="13" t="inlineStr"/>
      <c r="J50" s="13" t="inlineStr"/>
      <c r="K50" s="13" t="inlineStr"/>
      <c r="L50" s="16" t="n"/>
      <c r="M50" s="16" t="n"/>
      <c r="N50" s="16" t="n"/>
      <c r="O50" s="16" t="n"/>
      <c r="P50" s="16" t="n"/>
      <c r="Q50" s="16" t="n"/>
      <c r="R50" s="13" t="inlineStr">
        <is>
          <t>Revisar</t>
        </is>
      </c>
      <c r="S50" s="13" t="inlineStr">
        <is>
          <t>Baixa</t>
        </is>
      </c>
      <c r="T50" s="15" t="inlineStr">
        <is>
          <t>NOTAS FISCAIS DE COMPRA JANEIRO 2026.pdf - p. 188</t>
        </is>
      </c>
    </row>
    <row r="51">
      <c r="A51" s="13" t="inlineStr">
        <is>
          <t>JAN26-P189</t>
        </is>
      </c>
      <c r="B51" s="13" t="n">
        <v>189</v>
      </c>
      <c r="C51" s="13" t="inlineStr"/>
      <c r="D51" s="25" t="n">
        <v>46051</v>
      </c>
      <c r="E51" s="13" t="inlineStr">
        <is>
          <t>‘TERESINA MANGUEIRAS E PARAFUSOS LTDA | Eetrade: 0 ‘2226 (1157 9764 T7ON 0124 S508 1000 0037 6715 2841 9273.</t>
        </is>
      </c>
      <c r="F51" s="13" t="inlineStr"/>
      <c r="G51" s="15" t="inlineStr">
        <is>
          <t>— Dovumento auxiliae | ‘TERESINA MANGUEIRAS E PARAFUSOS LTDA | Eetrade: 0 ‘2226 (1157 9764 T7ON 0124 S508 1000 0037 6715 2841 9273. | ‘Avenida industrial Gi] Mutrins, 1393 Letra B PL If = | “Tebaleta (86) 99987-9997 IN": 3767 wet nage potions Seat sche asada | Série: 1</t>
        </is>
      </c>
      <c r="H51" s="13" t="inlineStr"/>
      <c r="I51" s="13" t="inlineStr"/>
      <c r="J51" s="13" t="inlineStr"/>
      <c r="K51" s="13" t="inlineStr"/>
      <c r="L51" s="16" t="n"/>
      <c r="M51" s="16" t="n"/>
      <c r="N51" s="16" t="n"/>
      <c r="O51" s="16" t="n"/>
      <c r="P51" s="16" t="n"/>
      <c r="Q51" s="16" t="n"/>
      <c r="R51" s="13" t="inlineStr">
        <is>
          <t>Revisar</t>
        </is>
      </c>
      <c r="S51" s="13" t="inlineStr">
        <is>
          <t>Baixa</t>
        </is>
      </c>
      <c r="T51" s="15" t="inlineStr">
        <is>
          <t>NOTAS FISCAIS DE COMPRA JANEIRO 2026.pdf - p. 189</t>
        </is>
      </c>
    </row>
    <row r="52">
      <c r="A52" s="13" t="inlineStr">
        <is>
          <t>JAN26-P190</t>
        </is>
      </c>
      <c r="B52" s="13" t="n">
        <v>190</v>
      </c>
      <c r="C52" s="13" t="inlineStr"/>
      <c r="D52" s="25" t="n">
        <v>46052</v>
      </c>
      <c r="E52" s="13" t="inlineStr">
        <is>
          <t>Praca Dora Tae DO TRS Teo DORA EE MEESTER | ve TOTAL BOUT” [WALGETOTALDA NTA</t>
        </is>
      </c>
      <c r="F52" s="13" t="inlineStr"/>
      <c r="G52" s="15" t="inlineStr">
        <is>
          <t>. DOCUMENTO AUXILIAR| H | CACIQUE PETROLEO LTDA DA NOTA FISCAL | lee ELETRONICA [73 106 6566 560845645509 200 000478160857 4364 | \EMCIQUE Avenids Henry Wall de Carvatho, 10750- | 0. vreana oC Baas eres sé | nn Angin salon Consulta de autenticidade no portal nacional da NF-€ | 64034-2786 TERESINA -FI Ne 478</t>
        </is>
      </c>
      <c r="H52" s="13" t="inlineStr"/>
      <c r="I52" s="13" t="inlineStr"/>
      <c r="J52" s="13" t="inlineStr"/>
      <c r="K52" s="13" t="inlineStr"/>
      <c r="L52" s="16" t="n"/>
      <c r="M52" s="16" t="n"/>
      <c r="N52" s="16" t="n"/>
      <c r="O52" s="16" t="n"/>
      <c r="P52" s="16" t="n"/>
      <c r="Q52" s="16" t="n"/>
      <c r="R52" s="13" t="inlineStr">
        <is>
          <t>Revisar</t>
        </is>
      </c>
      <c r="S52" s="13" t="inlineStr">
        <is>
          <t>Baixa</t>
        </is>
      </c>
      <c r="T52" s="15" t="inlineStr">
        <is>
          <t>NOTAS FISCAIS DE COMPRA JANEIRO 2026.pdf - p. 190</t>
        </is>
      </c>
    </row>
    <row r="53">
      <c r="A53" s="13" t="inlineStr">
        <is>
          <t>JAN26-P191</t>
        </is>
      </c>
      <c r="B53" s="13" t="n">
        <v>191</v>
      </c>
      <c r="C53" s="13" t="inlineStr"/>
      <c r="D53" s="25" t="n">
        <v>46052</v>
      </c>
      <c r="E53" s="13" t="inlineStr">
        <is>
          <t>scan AL AIO“ DRSTINATARIO.SRALENGENIAWA INDUSTRIA E CONERCIOLTNA.-HODHR 40,3183 A -SAO RATMUNDO ~</t>
        </is>
      </c>
      <c r="F53" s="13" t="inlineStr"/>
      <c r="G53" s="15" t="inlineStr">
        <is>
          <t>Siu ort MORCAts 3 2aeh VALOR TOTAL RS 168.0 | “UASS DAS MANGUEIRAS£ PARAFUSOS LEDA DANFE | Devons auxtiar | _, AV. MIGUEL ROSA. 6732 “ia Noa Fiteal | ; Elerion | A’ PIOxn eae: C] REDE RCTS</t>
        </is>
      </c>
      <c r="H53" s="13" t="inlineStr"/>
      <c r="I53" s="13" t="inlineStr"/>
      <c r="J53" s="13" t="inlineStr"/>
      <c r="K53" s="13" t="inlineStr"/>
      <c r="L53" s="16" t="n"/>
      <c r="M53" s="16" t="n"/>
      <c r="N53" s="16" t="n"/>
      <c r="O53" s="16" t="n"/>
      <c r="P53" s="16" t="n"/>
      <c r="Q53" s="16" t="n"/>
      <c r="R53" s="13" t="inlineStr">
        <is>
          <t>Revisar</t>
        </is>
      </c>
      <c r="S53" s="13" t="inlineStr">
        <is>
          <t>Baixa</t>
        </is>
      </c>
      <c r="T53" s="15" t="inlineStr">
        <is>
          <t>NOTAS FISCAIS DE COMPRA JANEIRO 2026.pdf - p. 191</t>
        </is>
      </c>
    </row>
    <row r="54">
      <c r="A54" s="13" t="inlineStr">
        <is>
          <t>JAN26-P193</t>
        </is>
      </c>
      <c r="B54" s="13" t="n">
        <v>193</v>
      </c>
      <c r="C54" s="13" t="inlineStr"/>
      <c r="D54" s="25" t="n">
        <v>46052</v>
      </c>
      <c r="E54" s="13" t="inlineStr">
        <is>
          <t>fae leemrncowmoneniet {souave ow [oamiow sacl —_tatol _raao] nonl aol cool — ovo! cool ano]</t>
        </is>
      </c>
      <c r="F54" s="13" t="inlineStr"/>
      <c r="G54" s="15" t="inlineStr">
        <is>
          <t>P oenne AAO 50 ETENTE, DANFE | FONTENELE PECAS LTDA OCLAMENTO AUNILIAR DA (I | A NOTA FISCAL ELETRONICA | OF TABULETA, Cursguoz- OE TERESINA. EER’ 1] ee | FL Ne 000010395 1.1 /L owaeeiiale so olin | “en</t>
        </is>
      </c>
      <c r="H54" s="13" t="inlineStr"/>
      <c r="I54" s="13" t="inlineStr"/>
      <c r="J54" s="13" t="inlineStr"/>
      <c r="K54" s="13" t="inlineStr"/>
      <c r="L54" s="16" t="n"/>
      <c r="M54" s="16" t="n"/>
      <c r="N54" s="16" t="n"/>
      <c r="O54" s="16" t="n"/>
      <c r="P54" s="16" t="n"/>
      <c r="Q54" s="16" t="n"/>
      <c r="R54" s="13" t="inlineStr">
        <is>
          <t>Revisar</t>
        </is>
      </c>
      <c r="S54" s="13" t="inlineStr">
        <is>
          <t>Baixa</t>
        </is>
      </c>
      <c r="T54" s="15" t="inlineStr">
        <is>
          <t>NOTAS FISCAIS DE COMPRA JANEIRO 2026.pdf - p. 193</t>
        </is>
      </c>
    </row>
    <row r="55">
      <c r="A55" s="13" t="inlineStr">
        <is>
          <t>JAN26-P194</t>
        </is>
      </c>
      <c r="B55" s="13" t="n">
        <v>194</v>
      </c>
      <c r="C55" s="13" t="inlineStr"/>
      <c r="D55" s="25" t="n">
        <v>46051</v>
      </c>
      <c r="E55" s="13" t="inlineStr">
        <is>
          <t>TERESINA MANGUEIRAS E PARAFUSOS LTDA Ewrsds: © 12226 0157 9764 7798 9124 5506 1006 037 HG 1247 6751</t>
        </is>
      </c>
      <c r="F55" s="13" t="inlineStr"/>
      <c r="G55" s="15" t="inlineStr">
        <is>
          <t>[REESTEN ES BE TEREBINA MaNGUEIRAG E PARAFUSOS UTDA 08 PROUUTOUBERVICOS CONSTANTES WA NOTA FISCAT ELETRONTC | |INDICADA AO LADO - DESTINATARS). SKAL ENGENHARIA INDUSTRIA E COMERCIO LTDA.- AVENIDA SAO FRANCISCO, 0- EXTREMA - | emus“ -GAD Debs VALOR TOTAL-RESgpO</t>
        </is>
      </c>
      <c r="H55" s="13" t="inlineStr"/>
      <c r="I55" s="13" t="inlineStr"/>
      <c r="J55" s="13" t="inlineStr"/>
      <c r="K55" s="13" t="inlineStr"/>
      <c r="L55" s="16" t="n"/>
      <c r="M55" s="16" t="n"/>
      <c r="N55" s="16" t="n"/>
      <c r="O55" s="16" t="n"/>
      <c r="P55" s="16" t="n"/>
      <c r="Q55" s="16" t="n"/>
      <c r="R55" s="13" t="inlineStr">
        <is>
          <t>Revisar</t>
        </is>
      </c>
      <c r="S55" s="13" t="inlineStr">
        <is>
          <t>Baixa</t>
        </is>
      </c>
      <c r="T55" s="15" t="inlineStr">
        <is>
          <t>NOTAS FISCAIS DE COMPRA JANEIRO 2026.pdf - p. 194</t>
        </is>
      </c>
    </row>
    <row r="56">
      <c r="A56" s="13" t="inlineStr">
        <is>
          <t>JAN26-P195</t>
        </is>
      </c>
      <c r="B56" s="13" t="n">
        <v>195</v>
      </c>
      <c r="C56" s="13" t="inlineStr"/>
      <c r="D56" s="25" t="n"/>
      <c r="E56" s="13" t="inlineStr">
        <is>
          <t>[Formenfesmctenomeor fro] wa [oon] [ anu: [namin] vr cco cai oevae[ oon] vr Feel</t>
        </is>
      </c>
      <c r="F56" s="13" t="inlineStr"/>
      <c r="G56" s="15" t="inlineStr"/>
      <c r="H56" s="13" t="inlineStr"/>
      <c r="I56" s="13" t="inlineStr"/>
      <c r="J56" s="13" t="inlineStr"/>
      <c r="K56" s="13" t="inlineStr"/>
      <c r="L56" s="16" t="n"/>
      <c r="M56" s="16" t="n"/>
      <c r="N56" s="16" t="n"/>
      <c r="O56" s="16" t="n"/>
      <c r="P56" s="16" t="n"/>
      <c r="Q56" s="16" t="n"/>
      <c r="R56" s="13" t="inlineStr">
        <is>
          <t>Revisar</t>
        </is>
      </c>
      <c r="S56" s="13" t="inlineStr">
        <is>
          <t>Baixa</t>
        </is>
      </c>
      <c r="T56" s="15" t="inlineStr">
        <is>
          <t>NOTAS FISCAIS DE COMPRA JANEIRO 2026.pdf - p. 195</t>
        </is>
      </c>
    </row>
    <row r="57">
      <c r="A57" s="13" t="inlineStr">
        <is>
          <t>JAN26-P196</t>
        </is>
      </c>
      <c r="B57" s="13" t="n">
        <v>196</v>
      </c>
      <c r="C57" s="13" t="inlineStr">
        <is>
          <t>36789</t>
        </is>
      </c>
      <c r="D57" s="25" t="n"/>
      <c r="E57" s="13" t="inlineStr">
        <is>
          <t>‘VENDA DE MERCADORIA ADQUIRIDA OU RECEBIDA DE TARCE 227250000217805 117122025 16:40:11 |</t>
        </is>
      </c>
      <c r="F57" s="13" t="inlineStr">
        <is>
          <t>27.591.360/0001-61</t>
        </is>
      </c>
      <c r="G57" s="15" t="inlineStr"/>
      <c r="H57" s="13" t="inlineStr"/>
      <c r="I57" s="13" t="inlineStr"/>
      <c r="J57" s="13" t="inlineStr"/>
      <c r="K57" s="13" t="inlineStr"/>
      <c r="L57" s="16" t="n"/>
      <c r="M57" s="16" t="n"/>
      <c r="N57" s="16" t="n"/>
      <c r="O57" s="16" t="n"/>
      <c r="P57" s="16" t="n"/>
      <c r="Q57" s="16" t="n"/>
      <c r="R57" s="13" t="inlineStr">
        <is>
          <t>Revisar</t>
        </is>
      </c>
      <c r="S57" s="13" t="inlineStr">
        <is>
          <t>Alta</t>
        </is>
      </c>
      <c r="T57" s="15" t="inlineStr">
        <is>
          <t>NOTAS FISCAIS DE COMPRA JANEIRO 2026.pdf - p. 196</t>
        </is>
      </c>
    </row>
    <row r="58">
      <c r="A58" s="13" t="inlineStr">
        <is>
          <t>JAN26-P202</t>
        </is>
      </c>
      <c r="B58" s="13" t="n">
        <v>202</v>
      </c>
      <c r="C58" s="13" t="inlineStr"/>
      <c r="D58" s="25" t="n"/>
      <c r="E58" s="13" t="inlineStr">
        <is>
          <t>SUT _PRIVA CREPE 722 IND BMNIXSIM ADELDAA baie ia eB Sat) Feet Tap sep RY</t>
        </is>
      </c>
      <c r="F58" s="13" t="inlineStr"/>
      <c r="G58" s="15" t="inlineStr">
        <is>
          <t>OCEMERTO | ISAMPAIO MATERIAL DE CONSTRUCAO | avaLianna | EIRELI-SAMPAIO CONSTRUCOES | XUTAR | AXENIDA MONSERHOR ANTONIO SAMBAEOSIS-DIRCEU | grap | ARCO VERDE ‘ENTRADA | saaine Conwlta Je alent dase we poral sional da NE-e</t>
        </is>
      </c>
      <c r="H58" s="13" t="inlineStr"/>
      <c r="I58" s="13" t="inlineStr"/>
      <c r="J58" s="13" t="inlineStr"/>
      <c r="K58" s="13" t="inlineStr"/>
      <c r="L58" s="16" t="n"/>
      <c r="M58" s="16" t="n"/>
      <c r="N58" s="16" t="n"/>
      <c r="O58" s="16" t="n"/>
      <c r="P58" s="16" t="n"/>
      <c r="Q58" s="16" t="n"/>
      <c r="R58" s="13" t="inlineStr">
        <is>
          <t>Revisar</t>
        </is>
      </c>
      <c r="S58" s="13" t="inlineStr">
        <is>
          <t>Baixa</t>
        </is>
      </c>
      <c r="T58" s="15" t="inlineStr">
        <is>
          <t>NOTAS FISCAIS DE COMPRA JANEIRO 2026.pdf - p. 202</t>
        </is>
      </c>
    </row>
    <row r="59">
      <c r="A59" s="13" t="inlineStr">
        <is>
          <t>JAN26-P203</t>
        </is>
      </c>
      <c r="B59" s="13" t="n">
        <v>203</v>
      </c>
      <c r="C59" s="13" t="inlineStr"/>
      <c r="D59" s="25" t="n"/>
      <c r="E59" s="13" t="inlineStr">
        <is>
          <t>JAVENIDA SAG ERANCISCO- N 4000 EXTREMA cin76.150| 2010/2026</t>
        </is>
      </c>
      <c r="F59" s="13" t="inlineStr"/>
      <c r="G59" s="15" t="inlineStr"/>
      <c r="H59" s="13" t="inlineStr"/>
      <c r="I59" s="13" t="inlineStr"/>
      <c r="J59" s="13" t="inlineStr"/>
      <c r="K59" s="13" t="inlineStr"/>
      <c r="L59" s="16" t="n"/>
      <c r="M59" s="16" t="n"/>
      <c r="N59" s="16" t="n"/>
      <c r="O59" s="16" t="n"/>
      <c r="P59" s="16" t="n"/>
      <c r="Q59" s="16" t="n"/>
      <c r="R59" s="13" t="inlineStr">
        <is>
          <t>Revisar</t>
        </is>
      </c>
      <c r="S59" s="13" t="inlineStr">
        <is>
          <t>Baixa</t>
        </is>
      </c>
      <c r="T59" s="15" t="inlineStr">
        <is>
          <t>NOTAS FISCAIS DE COMPRA JANEIRO 2026.pdf - p. 203</t>
        </is>
      </c>
    </row>
    <row r="60">
      <c r="A60" s="13" t="inlineStr">
        <is>
          <t>JAN26-P208</t>
        </is>
      </c>
      <c r="B60" s="13" t="n">
        <v>208</v>
      </c>
      <c r="C60" s="13" t="inlineStr"/>
      <c r="D60" s="25" t="n"/>
      <c r="E60" s="13" t="inlineStr">
        <is>
          <t>I NENIDA SA0 FRANCISCO, 4000, GALPOD FANCREDO NEVES Taatzoe8</t>
        </is>
      </c>
      <c r="F60" s="13" t="inlineStr"/>
      <c r="G60" s="15" t="inlineStr"/>
      <c r="H60" s="13" t="inlineStr"/>
      <c r="I60" s="13" t="inlineStr"/>
      <c r="J60" s="13" t="inlineStr"/>
      <c r="K60" s="13" t="inlineStr"/>
      <c r="L60" s="16" t="n"/>
      <c r="M60" s="16" t="n"/>
      <c r="N60" s="16" t="n"/>
      <c r="O60" s="16" t="n"/>
      <c r="P60" s="16" t="n"/>
      <c r="Q60" s="16" t="n"/>
      <c r="R60" s="13" t="inlineStr">
        <is>
          <t>Revisar</t>
        </is>
      </c>
      <c r="S60" s="13" t="inlineStr">
        <is>
          <t>Baixa</t>
        </is>
      </c>
      <c r="T60" s="15" t="inlineStr">
        <is>
          <t>NOTAS FISCAIS DE COMPRA JANEIRO 2026.pdf - p. 208</t>
        </is>
      </c>
    </row>
    <row r="61">
      <c r="A61" s="13" t="inlineStr">
        <is>
          <t>JAN26-P212</t>
        </is>
      </c>
      <c r="B61" s="13" t="n">
        <v>212</v>
      </c>
      <c r="C61" s="13" t="inlineStr"/>
      <c r="D61" s="25" t="n"/>
      <c r="E61" s="13" t="inlineStr">
        <is>
          <t>¥ H SOARES COM E SERVICOS [Pocumento Auxiliar ds Nota</t>
        </is>
      </c>
      <c r="F61" s="13" t="inlineStr">
        <is>
          <t>03.866.775/0001-32</t>
        </is>
      </c>
      <c r="G61" s="15" t="inlineStr"/>
      <c r="H61" s="13" t="inlineStr"/>
      <c r="I61" s="13" t="inlineStr"/>
      <c r="J61" s="13" t="inlineStr"/>
      <c r="K61" s="13" t="inlineStr"/>
      <c r="L61" s="16" t="n"/>
      <c r="M61" s="16" t="n"/>
      <c r="N61" s="16" t="n"/>
      <c r="O61" s="16" t="n"/>
      <c r="P61" s="16" t="n"/>
      <c r="Q61" s="16" t="n"/>
      <c r="R61" s="13" t="inlineStr">
        <is>
          <t>Revisar</t>
        </is>
      </c>
      <c r="S61" s="13" t="inlineStr">
        <is>
          <t>Media</t>
        </is>
      </c>
      <c r="T61" s="15" t="inlineStr">
        <is>
          <t>NOTAS FISCAIS DE COMPRA JANEIRO 2026.pdf - p. 212</t>
        </is>
      </c>
    </row>
    <row r="62">
      <c r="A62" s="13" t="inlineStr">
        <is>
          <t>JAN26-P217</t>
        </is>
      </c>
      <c r="B62" s="13" t="n">
        <v>217</v>
      </c>
      <c r="C62" s="13" t="inlineStr"/>
      <c r="D62" s="25" t="n"/>
      <c r="E62" s="13">
        <f> 9 rors i Noni. — |</f>
        <v/>
      </c>
      <c r="F62" s="13" t="inlineStr"/>
      <c r="G62" s="15" t="inlineStr"/>
      <c r="H62" s="13" t="inlineStr"/>
      <c r="I62" s="13" t="inlineStr"/>
      <c r="J62" s="13" t="inlineStr"/>
      <c r="K62" s="13" t="inlineStr"/>
      <c r="L62" s="16" t="n"/>
      <c r="M62" s="16" t="n"/>
      <c r="N62" s="16" t="n"/>
      <c r="O62" s="16" t="n"/>
      <c r="P62" s="16" t="n"/>
      <c r="Q62" s="16" t="n"/>
      <c r="R62" s="13" t="inlineStr">
        <is>
          <t>Revisar</t>
        </is>
      </c>
      <c r="S62" s="13" t="inlineStr">
        <is>
          <t>Baixa</t>
        </is>
      </c>
      <c r="T62" s="15" t="inlineStr">
        <is>
          <t>NOTAS FISCAIS DE COMPRA JANEIRO 2026.pdf - p. 217</t>
        </is>
      </c>
    </row>
    <row r="63">
      <c r="A63" s="13" t="inlineStr">
        <is>
          <t>JAN26-P223</t>
        </is>
      </c>
      <c r="B63" s="13" t="n">
        <v>223</v>
      </c>
      <c r="C63" s="13" t="inlineStr"/>
      <c r="D63" s="25" t="n">
        <v>46035</v>
      </c>
      <c r="E63" s="13" t="inlineStr">
        <is>
          <t>VENDA DE MERCADORIA ADQUIRIDA OU RECEBIDA DE TERCE</t>
        </is>
      </c>
      <c r="F63" s="13" t="inlineStr">
        <is>
          <t>08.318.541/0001-74</t>
        </is>
      </c>
      <c r="G63" s="15" t="inlineStr">
        <is>
          <t>JEROLAMENTOS LTDA | DA.NOTA FISCAL | ELETRONICA | SERIE</t>
        </is>
      </c>
      <c r="H63" s="13" t="inlineStr"/>
      <c r="I63" s="13" t="inlineStr"/>
      <c r="J63" s="13" t="inlineStr"/>
      <c r="K63" s="13" t="inlineStr"/>
      <c r="L63" s="16" t="n"/>
      <c r="M63" s="16" t="n"/>
      <c r="N63" s="16" t="n"/>
      <c r="O63" s="16" t="n"/>
      <c r="P63" s="16" t="n"/>
      <c r="Q63" s="16" t="n"/>
      <c r="R63" s="13" t="inlineStr">
        <is>
          <t>Revisar</t>
        </is>
      </c>
      <c r="S63" s="13" t="inlineStr">
        <is>
          <t>Media</t>
        </is>
      </c>
      <c r="T63" s="15" t="inlineStr">
        <is>
          <t>NOTAS FISCAIS DE COMPRA JANEIRO 2026.pdf - p. 223</t>
        </is>
      </c>
    </row>
    <row r="64">
      <c r="A64" s="13" t="inlineStr">
        <is>
          <t>JAN26-P224</t>
        </is>
      </c>
      <c r="B64" s="13" t="n">
        <v>224</v>
      </c>
      <c r="C64" s="13" t="inlineStr"/>
      <c r="D64" s="25" t="n">
        <v>46035</v>
      </c>
      <c r="E64" s="13" t="inlineStr">
        <is>
          <t>SERIE 001 | nwwaniefazendagov beporul ou no site da Sefor Autorizadora</t>
        </is>
      </c>
      <c r="F64" s="13" t="inlineStr">
        <is>
          <t>00.384.377/0001-91</t>
        </is>
      </c>
      <c r="G64" s="15" t="inlineStr">
        <is>
          <t>DANFE, | MATEO MATERIALS ELETRICOS € Documento | CONSTRE COESLTDA ‘Auntliat da Nota | Avenida Leonidas Melo, 150 Fiscal Eletrdnica | CHAVE DE ACESSO | Prox 0- ENTRADA 2226-0100 3843 7700 0191 5840 1000 1526 4311 19103809 | cereavis 20 1-SAIDA !</t>
        </is>
      </c>
      <c r="H64" s="13" t="inlineStr"/>
      <c r="I64" s="13" t="inlineStr"/>
      <c r="J64" s="13" t="inlineStr"/>
      <c r="K64" s="13" t="inlineStr"/>
      <c r="L64" s="16" t="n"/>
      <c r="M64" s="16" t="n"/>
      <c r="N64" s="16" t="n"/>
      <c r="O64" s="16" t="n"/>
      <c r="P64" s="16" t="n"/>
      <c r="Q64" s="16" t="n"/>
      <c r="R64" s="13" t="inlineStr">
        <is>
          <t>Revisar</t>
        </is>
      </c>
      <c r="S64" s="13" t="inlineStr">
        <is>
          <t>Media</t>
        </is>
      </c>
      <c r="T64" s="15" t="inlineStr">
        <is>
          <t>NOTAS FISCAIS DE COMPRA JANEIRO 2026.pdf - p. 224</t>
        </is>
      </c>
    </row>
    <row r="65">
      <c r="A65" s="13" t="inlineStr">
        <is>
          <t>JAN26-P226</t>
        </is>
      </c>
      <c r="B65" s="13" t="n">
        <v>226</v>
      </c>
      <c r="C65" s="13" t="inlineStr"/>
      <c r="D65" s="25" t="n"/>
      <c r="E65" s="13" t="inlineStr">
        <is>
          <t>“ parzne 08 DE EAL ENDED NDONTIA BCOUERCO LTDA 08 PRADUTOS CONSTARTES HA NOTA HSCAL MOLADN? ] NF-e</t>
        </is>
      </c>
      <c r="F65" s="13" t="inlineStr"/>
      <c r="G65" s="15" t="inlineStr"/>
      <c r="H65" s="13" t="inlineStr"/>
      <c r="I65" s="13" t="inlineStr"/>
      <c r="J65" s="13" t="inlineStr"/>
      <c r="K65" s="13" t="inlineStr"/>
      <c r="L65" s="16" t="n"/>
      <c r="M65" s="16" t="n"/>
      <c r="N65" s="16" t="n"/>
      <c r="O65" s="16" t="n"/>
      <c r="P65" s="16" t="n"/>
      <c r="Q65" s="16" t="n"/>
      <c r="R65" s="13" t="inlineStr">
        <is>
          <t>Revisar</t>
        </is>
      </c>
      <c r="S65" s="13" t="inlineStr">
        <is>
          <t>Baixa</t>
        </is>
      </c>
      <c r="T65" s="15" t="inlineStr">
        <is>
          <t>NOTAS FISCAIS DE COMPRA JANEIRO 2026.pdf - p. 226</t>
        </is>
      </c>
    </row>
    <row r="66">
      <c r="A66" s="13" t="inlineStr">
        <is>
          <t>JAN26-P228</t>
        </is>
      </c>
      <c r="B66" s="13" t="n">
        <v>228</v>
      </c>
      <c r="C66" s="13" t="inlineStr"/>
      <c r="D66" s="25" t="n"/>
      <c r="E66" s="13" t="inlineStr">
        <is>
          <t>‘Sicerreauc oc samen femme Powe</t>
        </is>
      </c>
      <c r="F66" s="13" t="inlineStr"/>
      <c r="G66" s="15" t="inlineStr"/>
      <c r="H66" s="13" t="inlineStr"/>
      <c r="I66" s="13" t="inlineStr"/>
      <c r="J66" s="13" t="inlineStr"/>
      <c r="K66" s="13" t="inlineStr"/>
      <c r="L66" s="16" t="n"/>
      <c r="M66" s="16" t="n"/>
      <c r="N66" s="16" t="n"/>
      <c r="O66" s="16" t="n"/>
      <c r="P66" s="16" t="n"/>
      <c r="Q66" s="16" t="n"/>
      <c r="R66" s="13" t="inlineStr">
        <is>
          <t>Revisar</t>
        </is>
      </c>
      <c r="S66" s="13" t="inlineStr">
        <is>
          <t>Baixa</t>
        </is>
      </c>
      <c r="T66" s="15" t="inlineStr">
        <is>
          <t>NOTAS FISCAIS DE COMPRA JANEIRO 2026.pdf - p. 228</t>
        </is>
      </c>
    </row>
    <row r="67">
      <c r="A67" s="13" t="inlineStr">
        <is>
          <t>JAN26-P231</t>
        </is>
      </c>
      <c r="B67" s="13" t="n">
        <v>231</v>
      </c>
      <c r="C67" s="13" t="inlineStr"/>
      <c r="D67" s="25" t="n">
        <v>46031</v>
      </c>
      <c r="E67" s="13" t="inlineStr">
        <is>
          <t>r:. LOURTVAL PARENTE - TERESINA - Pl- t TsaiDa SENG OUND agg) cnn nbd E88 Men ALS 12a ATTY SRA</t>
        </is>
      </c>
      <c r="F67" s="13" t="inlineStr"/>
      <c r="G67" s="15" t="inlineStr">
        <is>
          <t>sere cxsencho mo racTo smc worn [co [oe on] oot | vate fetta] i [cdma] we pace | m peEa] | oa BERDO R ARE ara] om [aro] — Tana} Trai] — vane) — ae] — too =) =| arabs | 5 ncuas Lona</t>
        </is>
      </c>
      <c r="H67" s="13" t="inlineStr"/>
      <c r="I67" s="13" t="inlineStr"/>
      <c r="J67" s="13" t="inlineStr"/>
      <c r="K67" s="13" t="inlineStr"/>
      <c r="L67" s="16" t="n"/>
      <c r="M67" s="16" t="n"/>
      <c r="N67" s="16" t="n"/>
      <c r="O67" s="16" t="n"/>
      <c r="P67" s="16" t="n"/>
      <c r="Q67" s="16" t="n"/>
      <c r="R67" s="13" t="inlineStr">
        <is>
          <t>Revisar</t>
        </is>
      </c>
      <c r="S67" s="13" t="inlineStr">
        <is>
          <t>Baixa</t>
        </is>
      </c>
      <c r="T67" s="15" t="inlineStr">
        <is>
          <t>NOTAS FISCAIS DE COMPRA JANEIRO 2026.pdf - p. 231</t>
        </is>
      </c>
    </row>
    <row r="68">
      <c r="A68" s="13" t="inlineStr">
        <is>
          <t>JAN26-P236</t>
        </is>
      </c>
      <c r="B68" s="13" t="n">
        <v>236</v>
      </c>
      <c r="C68" s="13" t="inlineStr"/>
      <c r="D68" s="25" t="n"/>
      <c r="E68" s="13" t="inlineStr">
        <is>
          <t>Aageaso em mexin de fechar nota pelo Usearios 4 NANIMBA. Nota Flecal Emitide pelo; Usnario;</t>
        </is>
      </c>
      <c r="F68" s="13" t="inlineStr"/>
      <c r="G68" s="15" t="inlineStr"/>
      <c r="H68" s="13" t="inlineStr"/>
      <c r="I68" s="13" t="inlineStr"/>
      <c r="J68" s="13" t="inlineStr"/>
      <c r="K68" s="13" t="inlineStr"/>
      <c r="L68" s="16" t="n"/>
      <c r="M68" s="16" t="n"/>
      <c r="N68" s="16" t="n"/>
      <c r="O68" s="16" t="n"/>
      <c r="P68" s="16" t="n"/>
      <c r="Q68" s="16" t="n"/>
      <c r="R68" s="13" t="inlineStr">
        <is>
          <t>Revisar</t>
        </is>
      </c>
      <c r="S68" s="13" t="inlineStr">
        <is>
          <t>Baixa</t>
        </is>
      </c>
      <c r="T68" s="15" t="inlineStr">
        <is>
          <t>NOTAS FISCAIS DE COMPRA JANEIRO 2026.pdf - p. 236</t>
        </is>
      </c>
    </row>
    <row r="69">
      <c r="A69" s="13" t="inlineStr">
        <is>
          <t>JAN26-P237</t>
        </is>
      </c>
      <c r="B69" s="13" t="n">
        <v>237</v>
      </c>
      <c r="C69" s="13" t="inlineStr"/>
      <c r="D69" s="25" t="n"/>
      <c r="E69" s="13" t="inlineStr">
        <is>
          <t>[Reccbeans de RAIMUNDO PIEROTE FILAIO ME cx prodine ica trv contains du Nota Fac Eten Valea wo as. WF.</t>
        </is>
      </c>
      <c r="F69" s="13" t="inlineStr"/>
      <c r="G69" s="15" t="inlineStr"/>
      <c r="H69" s="13" t="inlineStr"/>
      <c r="I69" s="13" t="inlineStr"/>
      <c r="J69" s="13" t="inlineStr"/>
      <c r="K69" s="13" t="inlineStr"/>
      <c r="L69" s="16" t="n"/>
      <c r="M69" s="16" t="n"/>
      <c r="N69" s="16" t="n"/>
      <c r="O69" s="16" t="n"/>
      <c r="P69" s="16" t="n"/>
      <c r="Q69" s="16" t="n"/>
      <c r="R69" s="13" t="inlineStr">
        <is>
          <t>Revisar</t>
        </is>
      </c>
      <c r="S69" s="13" t="inlineStr">
        <is>
          <t>Baixa</t>
        </is>
      </c>
      <c r="T69" s="15" t="inlineStr">
        <is>
          <t>NOTAS FISCAIS DE COMPRA JANEIRO 2026.pdf - p. 237</t>
        </is>
      </c>
    </row>
    <row r="70">
      <c r="A70" s="13" t="inlineStr">
        <is>
          <t>JAN26-P242</t>
        </is>
      </c>
      <c r="B70" s="13" t="n">
        <v>242</v>
      </c>
      <c r="C70" s="13" t="inlineStr"/>
      <c r="D70" s="25" t="n">
        <v>46051</v>
      </c>
      <c r="E70" s="13" t="inlineStr">
        <is>
          <t>L ‘TERESINA-P| Fome/Fax: 4882202782 pain wwntatacendagevine/porta ou ne a da Sotex Autorizaéore</t>
        </is>
      </c>
      <c r="F70" s="13" t="inlineStr"/>
      <c r="G70" s="15" t="inlineStr"/>
      <c r="H70" s="13" t="inlineStr"/>
      <c r="I70" s="13" t="inlineStr"/>
      <c r="J70" s="13" t="inlineStr"/>
      <c r="K70" s="13" t="inlineStr"/>
      <c r="L70" s="16" t="n"/>
      <c r="M70" s="16" t="n"/>
      <c r="N70" s="16" t="n"/>
      <c r="O70" s="16" t="n"/>
      <c r="P70" s="16" t="n"/>
      <c r="Q70" s="16" t="n"/>
      <c r="R70" s="13" t="inlineStr">
        <is>
          <t>Revisar</t>
        </is>
      </c>
      <c r="S70" s="13" t="inlineStr">
        <is>
          <t>Baixa</t>
        </is>
      </c>
      <c r="T70" s="15" t="inlineStr">
        <is>
          <t>NOTAS FISCAIS DE COMPRA JANEIRO 2026.pdf - p. 242</t>
        </is>
      </c>
    </row>
    <row r="71">
      <c r="A71" s="13" t="inlineStr">
        <is>
          <t>JAN26-P255</t>
        </is>
      </c>
      <c r="B71" s="13" t="n">
        <v>255</v>
      </c>
      <c r="C71" s="13" t="inlineStr"/>
      <c r="D71" s="25" t="n"/>
      <c r="E71" s="13" t="inlineStr">
        <is>
          <t>seo. vimass! VEN. 104 OP:2088 COND: SABOAGAMENTOPRE FANT: Bk MFEREABRICAC/[——</t>
        </is>
      </c>
      <c r="F71" s="13" t="inlineStr"/>
      <c r="G71" s="15" t="inlineStr"/>
      <c r="H71" s="13" t="inlineStr"/>
      <c r="I71" s="13" t="inlineStr"/>
      <c r="J71" s="13" t="inlineStr"/>
      <c r="K71" s="13" t="inlineStr"/>
      <c r="L71" s="16" t="n"/>
      <c r="M71" s="16" t="n"/>
      <c r="N71" s="16" t="n"/>
      <c r="O71" s="16" t="n"/>
      <c r="P71" s="16" t="n"/>
      <c r="Q71" s="16" t="n"/>
      <c r="R71" s="13" t="inlineStr">
        <is>
          <t>Revisar</t>
        </is>
      </c>
      <c r="S71" s="13" t="inlineStr">
        <is>
          <t>Baixa</t>
        </is>
      </c>
      <c r="T71" s="15" t="inlineStr">
        <is>
          <t>NOTAS FISCAIS DE COMPRA JANEIRO 2026.pdf - p. 255</t>
        </is>
      </c>
    </row>
    <row r="72">
      <c r="A72" s="13" t="inlineStr">
        <is>
          <t>JAN26-P259</t>
        </is>
      </c>
      <c r="B72" s="13" t="n">
        <v>259</v>
      </c>
      <c r="C72" s="13" t="inlineStr"/>
      <c r="D72" s="25" t="n"/>
      <c r="E72" s="13" t="inlineStr">
        <is>
          <t>|S1e2/405 VENDA MERC. DENT. ESTADO ___trmaevoparecses 1201026 145057</t>
        </is>
      </c>
      <c r="F72" s="13" t="inlineStr"/>
      <c r="G72" s="15" t="inlineStr">
        <is>
          <t>laowosie leet pretteggntinn Ie imccase er | TA __ VENCIMENTO. FATOUW [Anour vENciieNTo vaLon | Farr VENCRAENTO. VALOR | iz 185,04] . | : a aaa —— va —— Tanaka. Ween —~ [yan aS | = wl FT hina me | a aramomt "Wamaen eto</t>
        </is>
      </c>
      <c r="H72" s="13" t="inlineStr"/>
      <c r="I72" s="13" t="inlineStr"/>
      <c r="J72" s="13" t="inlineStr"/>
      <c r="K72" s="13" t="inlineStr"/>
      <c r="L72" s="16" t="n"/>
      <c r="M72" s="16" t="n"/>
      <c r="N72" s="16" t="n"/>
      <c r="O72" s="16" t="n"/>
      <c r="P72" s="16" t="n"/>
      <c r="Q72" s="16" t="n"/>
      <c r="R72" s="13" t="inlineStr">
        <is>
          <t>Revisar</t>
        </is>
      </c>
      <c r="S72" s="13" t="inlineStr">
        <is>
          <t>Baixa</t>
        </is>
      </c>
      <c r="T72" s="15" t="inlineStr">
        <is>
          <t>NOTAS FISCAIS DE COMPRA JANEIRO 2026.pdf - p. 259</t>
        </is>
      </c>
    </row>
    <row r="73">
      <c r="A73" s="13" t="inlineStr">
        <is>
          <t>JAN26-P265</t>
        </is>
      </c>
      <c r="B73" s="13" t="n">
        <v>265</v>
      </c>
      <c r="C73" s="13" t="inlineStr"/>
      <c r="D73" s="25" t="n">
        <v>46050</v>
      </c>
      <c r="E73" s="13" t="inlineStr">
        <is>
          <t>IVeuda de mercadoria sdquirida au receblda de teretivex em op. 22I269002 591389 - 18/01/1026 40:85</t>
        </is>
      </c>
      <c r="F73" s="13" t="inlineStr"/>
      <c r="G73" s="15" t="inlineStr"/>
      <c r="H73" s="13" t="inlineStr"/>
      <c r="I73" s="13" t="inlineStr"/>
      <c r="J73" s="13" t="inlineStr"/>
      <c r="K73" s="13" t="inlineStr"/>
      <c r="L73" s="16" t="n"/>
      <c r="M73" s="16" t="n"/>
      <c r="N73" s="16" t="n"/>
      <c r="O73" s="16" t="n"/>
      <c r="P73" s="16" t="n"/>
      <c r="Q73" s="16" t="n"/>
      <c r="R73" s="13" t="inlineStr">
        <is>
          <t>Revisar</t>
        </is>
      </c>
      <c r="S73" s="13" t="inlineStr">
        <is>
          <t>Baixa</t>
        </is>
      </c>
      <c r="T73" s="15" t="inlineStr">
        <is>
          <t>NOTAS FISCAIS DE COMPRA JANEIRO 2026.pdf - p. 265</t>
        </is>
      </c>
    </row>
    <row r="74">
      <c r="A74" s="13" t="inlineStr">
        <is>
          <t>JAN26-P266</t>
        </is>
      </c>
      <c r="B74" s="13" t="n">
        <v>266</v>
      </c>
      <c r="C74" s="13" t="inlineStr">
        <is>
          <t>12579206</t>
        </is>
      </c>
      <c r="D74" s="25" t="n"/>
      <c r="E74" s="13" t="inlineStr">
        <is>
          <t>‘VENDA DE MERCADORIA ADQUIRIDA OU RECEBIDA DE TERCE 722260001897073 21012026 10:08:54</t>
        </is>
      </c>
      <c r="F74" s="13" t="inlineStr">
        <is>
          <t>20.422.108/0001-80</t>
        </is>
      </c>
      <c r="G74" s="15" t="inlineStr"/>
      <c r="H74" s="13" t="inlineStr"/>
      <c r="I74" s="13" t="inlineStr"/>
      <c r="J74" s="13" t="inlineStr"/>
      <c r="K74" s="13" t="inlineStr"/>
      <c r="L74" s="16" t="n"/>
      <c r="M74" s="16" t="n"/>
      <c r="N74" s="16" t="n"/>
      <c r="O74" s="16" t="n"/>
      <c r="P74" s="16" t="n"/>
      <c r="Q74" s="16" t="n"/>
      <c r="R74" s="13" t="inlineStr">
        <is>
          <t>Revisar</t>
        </is>
      </c>
      <c r="S74" s="13" t="inlineStr">
        <is>
          <t>Alta</t>
        </is>
      </c>
      <c r="T74" s="15" t="inlineStr">
        <is>
          <t>NOTAS FISCAIS DE COMPRA JANEIRO 2026.pdf - p. 266</t>
        </is>
      </c>
    </row>
    <row r="75">
      <c r="A75" s="13" t="inlineStr">
        <is>
          <t>JAN26-P270</t>
        </is>
      </c>
      <c r="B75" s="13" t="n">
        <v>270</v>
      </c>
      <c r="C75" s="13" t="inlineStr"/>
      <c r="D75" s="25" t="n">
        <v>46038</v>
      </c>
      <c r="E75" s="13" t="inlineStr">
        <is>
          <t>EUEREMOs iM SANTOS AUTOPECAS |-TDA 05 PRODUTOS BOW SFR\</t>
        </is>
      </c>
      <c r="F75" s="13" t="inlineStr"/>
      <c r="G75" s="15" t="inlineStr">
        <is>
          <t>EUEREMOs iM SANTOS AUTOPECAS |-TDA 05 PRODUTOS BOW SFR\ | TADKO EMISSAO 1401034 VALOR TOTAL: RE 270.00 DESTINATARIO: | TANCINCU A000 ESSTREMA Teresi | Nt-e</t>
        </is>
      </c>
      <c r="H75" s="13" t="inlineStr"/>
      <c r="I75" s="13" t="inlineStr"/>
      <c r="J75" s="13" t="inlineStr"/>
      <c r="K75" s="13" t="inlineStr"/>
      <c r="L75" s="16" t="n"/>
      <c r="M75" s="16" t="n"/>
      <c r="N75" s="16" t="n"/>
      <c r="O75" s="16" t="n"/>
      <c r="P75" s="16" t="n"/>
      <c r="Q75" s="16" t="n"/>
      <c r="R75" s="13" t="inlineStr">
        <is>
          <t>Revisar</t>
        </is>
      </c>
      <c r="S75" s="13" t="inlineStr">
        <is>
          <t>Baixa</t>
        </is>
      </c>
      <c r="T75" s="15" t="inlineStr">
        <is>
          <t>NOTAS FISCAIS DE COMPRA JANEIRO 2026.pdf - p. 270</t>
        </is>
      </c>
    </row>
    <row r="76">
      <c r="A76" s="13" t="inlineStr">
        <is>
          <t>JAN26-P275</t>
        </is>
      </c>
      <c r="B76" s="13" t="n">
        <v>275</v>
      </c>
      <c r="C76" s="13" t="inlineStr"/>
      <c r="D76" s="25" t="n">
        <v>46031</v>
      </c>
      <c r="E76" s="13" t="inlineStr">
        <is>
          <t>ENGENI JA ENDUSTRIA E COMERCIO LTDA. 123.655.03¢ 12-89, 9-01-2026</t>
        </is>
      </c>
      <c r="F76" s="13" t="inlineStr"/>
      <c r="G76" s="15" t="inlineStr">
        <is>
          <t>[GAGA DAS MANGUEIRAS E PARAFUSOS LTDA | AV. MIGUEL ROSA, 6732 | PIO XI | Tevesina</t>
        </is>
      </c>
      <c r="H76" s="13" t="inlineStr"/>
      <c r="I76" s="13" t="inlineStr"/>
      <c r="J76" s="13" t="inlineStr"/>
      <c r="K76" s="13" t="inlineStr"/>
      <c r="L76" s="16" t="n"/>
      <c r="M76" s="16" t="n"/>
      <c r="N76" s="16" t="n"/>
      <c r="O76" s="16" t="n"/>
      <c r="P76" s="16" t="n"/>
      <c r="Q76" s="16" t="n"/>
      <c r="R76" s="13" t="inlineStr">
        <is>
          <t>Revisar</t>
        </is>
      </c>
      <c r="S76" s="13" t="inlineStr">
        <is>
          <t>Baixa</t>
        </is>
      </c>
      <c r="T76" s="15" t="inlineStr">
        <is>
          <t>NOTAS FISCAIS DE COMPRA JANEIRO 2026.pdf - p. 275</t>
        </is>
      </c>
    </row>
    <row r="77">
      <c r="A77" s="13" t="inlineStr">
        <is>
          <t>JAN26-P276</t>
        </is>
      </c>
      <c r="B77" s="13" t="n">
        <v>276</v>
      </c>
      <c r="C77" s="13" t="inlineStr"/>
      <c r="D77" s="25" t="n">
        <v>46045</v>
      </c>
      <c r="E77" s="13" t="inlineStr">
        <is>
          <t>VENDA DE MERCADORIA ADQUIRIDA OU RECEBID;</t>
        </is>
      </c>
      <c r="F77" s="13" t="inlineStr"/>
      <c r="G77" s="15" t="inlineStr">
        <is>
          <t>SE ROLAMENTOS LTDA | "SATUREZA UA OPERACAO™ | VENDA DE MERCADORIA ADQUIRIDA OU RECEBID; | TDOCRICAO ESTA.</t>
        </is>
      </c>
      <c r="H77" s="13" t="inlineStr"/>
      <c r="I77" s="13" t="inlineStr"/>
      <c r="J77" s="13" t="inlineStr"/>
      <c r="K77" s="13" t="inlineStr"/>
      <c r="L77" s="16" t="n"/>
      <c r="M77" s="16" t="n"/>
      <c r="N77" s="16" t="n"/>
      <c r="O77" s="16" t="n"/>
      <c r="P77" s="16" t="n"/>
      <c r="Q77" s="16" t="n"/>
      <c r="R77" s="13" t="inlineStr">
        <is>
          <t>Revisar</t>
        </is>
      </c>
      <c r="S77" s="13" t="inlineStr">
        <is>
          <t>Baixa</t>
        </is>
      </c>
      <c r="T77" s="15" t="inlineStr">
        <is>
          <t>NOTAS FISCAIS DE COMPRA JANEIRO 2026.pdf - p. 276</t>
        </is>
      </c>
    </row>
    <row r="78">
      <c r="A78" s="13" t="inlineStr">
        <is>
          <t>JAN26-P277</t>
        </is>
      </c>
      <c r="B78" s="13" t="n">
        <v>277</v>
      </c>
      <c r="C78" s="13" t="inlineStr"/>
      <c r="D78" s="25" t="n">
        <v>46045</v>
      </c>
      <c r="E78" s="13" t="inlineStr">
        <is>
          <t>1S DE CARTRE WARETEIRAS 7 FARA SS LTDA OS RORY SERUICOS CONSTANTES NA NOTA RCA ELETRORICK</t>
        </is>
      </c>
      <c r="F78" s="13" t="inlineStr"/>
      <c r="G78" s="15" t="inlineStr">
        <is>
          <t>; (ASA DAS MANGUEIRAS E PARAFUSOS LTDA DANFE | Elation | Pro xt</t>
        </is>
      </c>
      <c r="H78" s="13" t="inlineStr"/>
      <c r="I78" s="13" t="inlineStr"/>
      <c r="J78" s="13" t="inlineStr"/>
      <c r="K78" s="13" t="inlineStr"/>
      <c r="L78" s="16" t="n"/>
      <c r="M78" s="16" t="n"/>
      <c r="N78" s="16" t="n"/>
      <c r="O78" s="16" t="n"/>
      <c r="P78" s="16" t="n"/>
      <c r="Q78" s="16" t="n"/>
      <c r="R78" s="13" t="inlineStr">
        <is>
          <t>Revisar</t>
        </is>
      </c>
      <c r="S78" s="13" t="inlineStr">
        <is>
          <t>Baixa</t>
        </is>
      </c>
      <c r="T78" s="15" t="inlineStr">
        <is>
          <t>NOTAS FISCAIS DE COMPRA JANEIRO 2026.pdf - p. 277</t>
        </is>
      </c>
    </row>
    <row r="79">
      <c r="A79" s="13" t="inlineStr">
        <is>
          <t>JAN26-P278</t>
        </is>
      </c>
      <c r="B79" s="13" t="n">
        <v>278</v>
      </c>
      <c r="C79" s="13" t="inlineStr"/>
      <c r="D79" s="25" t="n">
        <v>46044</v>
      </c>
      <c r="E79" s="13" t="inlineStr">
        <is>
          <t>VENDA DE MERCADORIA ADQUIRIDA OU RECEBIDA DE TERCE. ‘EITOCAONETA0 708 «2201/2006 10:45</t>
        </is>
      </c>
      <c r="F79" s="13" t="inlineStr">
        <is>
          <t>08.318.541/0001-74</t>
        </is>
      </c>
      <c r="G79" s="15" t="inlineStr">
        <is>
          <t>a ES ed ee | chucopowser 2? } pesca ecprocesse’ | ae TAD TAL Da EO = SRE RECAE DORE RESO | eet ee om | | DADOSADICIONAIS Sr? | SERAEACORS CERETLSSENT ARES ESET ART ORO | ce pages npronntadaaents 40,(30 tama, aendar ON Walison Re p: | aS RSNA eta BG lo crue sates @ Na pce mutesmnea| — W4tlgont Ble Paula | ~AL/OL 146</t>
        </is>
      </c>
      <c r="H79" s="13" t="inlineStr"/>
      <c r="I79" s="13" t="inlineStr"/>
      <c r="J79" s="13" t="inlineStr"/>
      <c r="K79" s="13" t="inlineStr"/>
      <c r="L79" s="16" t="n"/>
      <c r="M79" s="16" t="n"/>
      <c r="N79" s="16" t="n"/>
      <c r="O79" s="16" t="n"/>
      <c r="P79" s="16" t="n"/>
      <c r="Q79" s="16" t="n"/>
      <c r="R79" s="13" t="inlineStr">
        <is>
          <t>Revisar</t>
        </is>
      </c>
      <c r="S79" s="13" t="inlineStr">
        <is>
          <t>Media</t>
        </is>
      </c>
      <c r="T79" s="15" t="inlineStr">
        <is>
          <t>NOTAS FISCAIS DE COMPRA JANEIRO 2026.pdf - p. 278</t>
        </is>
      </c>
    </row>
    <row r="80">
      <c r="A80" s="13" t="inlineStr">
        <is>
          <t>JAN26-P279</t>
        </is>
      </c>
      <c r="B80" s="13" t="n">
        <v>279</v>
      </c>
      <c r="C80" s="13" t="inlineStr"/>
      <c r="D80" s="25" t="n"/>
      <c r="E80" s="13" t="inlineStr">
        <is>
          <t>"VENDA DE MERCADORIA ADQUIRIDA OU RECEBIDA DE TERCE 7722600015003 2001/2026 16:37:46</t>
        </is>
      </c>
      <c r="F80" s="13" t="inlineStr"/>
      <c r="G80" s="15" t="inlineStr">
        <is>
          <t>DANFE | RALVES DO NASCIMENTO LTDA | mameriatee: | cena 4 | FRRBUSOS) svcuwronsuen s-cowmno norme-renesna-n | MO ewan | CEP: 64000-900 N° 000.127,845 2226 DL41 508L 0200 0108 5500 3000 1278 4510 0127 $467 | roe 022 018 Senco</t>
        </is>
      </c>
      <c r="H80" s="13" t="inlineStr"/>
      <c r="I80" s="13" t="inlineStr"/>
      <c r="J80" s="13" t="inlineStr"/>
      <c r="K80" s="13" t="inlineStr"/>
      <c r="L80" s="16" t="n"/>
      <c r="M80" s="16" t="n"/>
      <c r="N80" s="16" t="n"/>
      <c r="O80" s="16" t="n"/>
      <c r="P80" s="16" t="n"/>
      <c r="Q80" s="16" t="n"/>
      <c r="R80" s="13" t="inlineStr">
        <is>
          <t>Revisar</t>
        </is>
      </c>
      <c r="S80" s="13" t="inlineStr">
        <is>
          <t>Baixa</t>
        </is>
      </c>
      <c r="T80" s="15" t="inlineStr">
        <is>
          <t>NOTAS FISCAIS DE COMPRA JANEIRO 2026.pdf - p. 279</t>
        </is>
      </c>
    </row>
    <row r="81">
      <c r="A81" s="13" t="inlineStr">
        <is>
          <t>JAN26-P281</t>
        </is>
      </c>
      <c r="B81" s="13" t="n">
        <v>281</v>
      </c>
      <c r="C81" s="13" t="inlineStr"/>
      <c r="D81" s="25" t="n"/>
      <c r="E81" s="13" t="inlineStr">
        <is>
          <t>[coo eran. (DO PROOUTO 7M 04 | aur. [vurrrivao] vrais [v.oeacowto]: awbo] ec. rcwa] voce | vrs</t>
        </is>
      </c>
      <c r="F81" s="13" t="inlineStr"/>
      <c r="G81" s="15" t="inlineStr"/>
      <c r="H81" s="13" t="inlineStr"/>
      <c r="I81" s="13" t="inlineStr"/>
      <c r="J81" s="13" t="inlineStr"/>
      <c r="K81" s="13" t="inlineStr"/>
      <c r="L81" s="16" t="n"/>
      <c r="M81" s="16" t="n"/>
      <c r="N81" s="16" t="n"/>
      <c r="O81" s="16" t="n"/>
      <c r="P81" s="16" t="n"/>
      <c r="Q81" s="16" t="n"/>
      <c r="R81" s="13" t="inlineStr">
        <is>
          <t>Revisar</t>
        </is>
      </c>
      <c r="S81" s="13" t="inlineStr">
        <is>
          <t>Baixa</t>
        </is>
      </c>
      <c r="T81" s="15" t="inlineStr">
        <is>
          <t>NOTAS FISCAIS DE COMPRA JANEIRO 2026.pdf - p. 281</t>
        </is>
      </c>
    </row>
    <row r="82">
      <c r="A82" s="13" t="inlineStr">
        <is>
          <t>JAN26-P282</t>
        </is>
      </c>
      <c r="B82" s="13" t="n">
        <v>282</v>
      </c>
      <c r="C82" s="13" t="inlineStr"/>
      <c r="D82" s="25" t="n"/>
      <c r="E82" s="13" t="inlineStr">
        <is>
          <t>‘VENDA DE MERCADORIA ADQUIRIDA OU RECEBIDA DE TERCEIROS 7122400040049 190172026 14:21:38 7</t>
        </is>
      </c>
      <c r="F82" s="13" t="inlineStr"/>
      <c r="G82" s="15" t="inlineStr"/>
      <c r="H82" s="13" t="inlineStr"/>
      <c r="I82" s="13" t="inlineStr"/>
      <c r="J82" s="13" t="inlineStr"/>
      <c r="K82" s="13" t="inlineStr"/>
      <c r="L82" s="16" t="n"/>
      <c r="M82" s="16" t="n"/>
      <c r="N82" s="16" t="n"/>
      <c r="O82" s="16" t="n"/>
      <c r="P82" s="16" t="n"/>
      <c r="Q82" s="16" t="n"/>
      <c r="R82" s="13" t="inlineStr">
        <is>
          <t>Revisar</t>
        </is>
      </c>
      <c r="S82" s="13" t="inlineStr">
        <is>
          <t>Baixa</t>
        </is>
      </c>
      <c r="T82" s="15" t="inlineStr">
        <is>
          <t>NOTAS FISCAIS DE COMPRA JANEIRO 2026.pdf - p. 282</t>
        </is>
      </c>
    </row>
    <row r="83">
      <c r="A83" s="13" t="inlineStr">
        <is>
          <t>JAN26-P283</t>
        </is>
      </c>
      <c r="B83" s="13" t="n">
        <v>283</v>
      </c>
      <c r="C83" s="13" t="inlineStr"/>
      <c r="D83" s="25" t="n">
        <v>46041</v>
      </c>
      <c r="E83" s="13" t="inlineStr">
        <is>
          <t>Rua Sao Francisco, 4000 Tancredo Neves 64076-038 19/01/2026,</t>
        </is>
      </c>
      <c r="F83" s="13" t="inlineStr">
        <is>
          <t>00.434.904/0004-78</t>
        </is>
      </c>
      <c r="G83" s="15" t="inlineStr"/>
      <c r="H83" s="13" t="inlineStr"/>
      <c r="I83" s="13" t="inlineStr"/>
      <c r="J83" s="13" t="inlineStr"/>
      <c r="K83" s="13" t="inlineStr"/>
      <c r="L83" s="16" t="n"/>
      <c r="M83" s="16" t="n"/>
      <c r="N83" s="16" t="n"/>
      <c r="O83" s="16" t="n"/>
      <c r="P83" s="16" t="n"/>
      <c r="Q83" s="16" t="n"/>
      <c r="R83" s="13" t="inlineStr">
        <is>
          <t>Revisar</t>
        </is>
      </c>
      <c r="S83" s="13" t="inlineStr">
        <is>
          <t>Media</t>
        </is>
      </c>
      <c r="T83" s="15" t="inlineStr">
        <is>
          <t>NOTAS FISCAIS DE COMPRA JANEIRO 2026.pdf - p. 283</t>
        </is>
      </c>
    </row>
    <row r="84">
      <c r="A84" s="13" t="inlineStr">
        <is>
          <t>JAN26-P287</t>
        </is>
      </c>
      <c r="B84" s="13" t="n">
        <v>287</v>
      </c>
      <c r="C84" s="13" t="inlineStr"/>
      <c r="D84" s="25" t="n">
        <v>46043</v>
      </c>
      <c r="E84" s="13" t="inlineStr">
        <is>
          <t>[VENDA DE MERCADURIA ADQUIRIDA OU RECBBIDA DE TERCEIROS: 21/01/2026 09:56:00</t>
        </is>
      </c>
      <c r="F84" s="13" t="inlineStr"/>
      <c r="G84" s="15" t="inlineStr"/>
      <c r="H84" s="13" t="inlineStr"/>
      <c r="I84" s="13" t="inlineStr"/>
      <c r="J84" s="13" t="inlineStr"/>
      <c r="K84" s="13" t="inlineStr"/>
      <c r="L84" s="16" t="n"/>
      <c r="M84" s="16" t="n"/>
      <c r="N84" s="16" t="n"/>
      <c r="O84" s="16" t="n"/>
      <c r="P84" s="16" t="n"/>
      <c r="Q84" s="16" t="n"/>
      <c r="R84" s="13" t="inlineStr">
        <is>
          <t>Revisar</t>
        </is>
      </c>
      <c r="S84" s="13" t="inlineStr">
        <is>
          <t>Baixa</t>
        </is>
      </c>
      <c r="T84" s="15" t="inlineStr">
        <is>
          <t>NOTAS FISCAIS DE COMPRA JANEIRO 2026.pdf - p. 287</t>
        </is>
      </c>
    </row>
    <row r="85">
      <c r="A85" s="13" t="inlineStr">
        <is>
          <t>JAN26-P290</t>
        </is>
      </c>
      <c r="B85" s="13" t="n">
        <v>290</v>
      </c>
      <c r="C85" s="13" t="inlineStr"/>
      <c r="D85" s="25" t="n"/>
      <c r="E85" s="13" t="inlineStr">
        <is>
          <t>SERIE 001 | wow:nfe.fazenda.gov.briportal ou no site da Sefaz Autorizadors</t>
        </is>
      </c>
      <c r="F85" s="13" t="inlineStr"/>
      <c r="G85" s="15" t="inlineStr"/>
      <c r="H85" s="13" t="inlineStr"/>
      <c r="I85" s="13" t="inlineStr"/>
      <c r="J85" s="13" t="inlineStr"/>
      <c r="K85" s="13" t="inlineStr"/>
      <c r="L85" s="16" t="n"/>
      <c r="M85" s="16" t="n"/>
      <c r="N85" s="16" t="n"/>
      <c r="O85" s="16" t="n"/>
      <c r="P85" s="16" t="n"/>
      <c r="Q85" s="16" t="n"/>
      <c r="R85" s="13" t="inlineStr">
        <is>
          <t>Revisar</t>
        </is>
      </c>
      <c r="S85" s="13" t="inlineStr">
        <is>
          <t>Baixa</t>
        </is>
      </c>
      <c r="T85" s="15" t="inlineStr">
        <is>
          <t>NOTAS FISCAIS DE COMPRA JANEIRO 2026.pdf - p. 290</t>
        </is>
      </c>
    </row>
    <row r="86">
      <c r="A86" s="13" t="inlineStr">
        <is>
          <t>JAN26-P293</t>
        </is>
      </c>
      <c r="B86" s="13" t="n">
        <v>293</v>
      </c>
      <c r="C86" s="13" t="inlineStr"/>
      <c r="D86" s="25" t="n"/>
      <c r="E86" s="13" t="inlineStr">
        <is>
          <t>Re Ee tet CAT SARS fan BEST INn LSC RAL EXORTSNIA NDC STWA ECOMERCIOLION: AN PRIDA ASO NF 4</t>
        </is>
      </c>
      <c r="F86" s="13" t="inlineStr"/>
      <c r="G86" s="15" t="inlineStr">
        <is>
          <t>baccarat Nou | M &amp; SANTOS AUTOPECAS LTDA. Floral Ehsenioa | ‘Rodeva 216 $109, 15100 09 LOJAS OSE 9? ggg (1) fraenexens—— ~~ | IANGELIM De BAIN = 64000010, 1SAIDA | ‘eens Pi Fan a (06 9899-8202 i aea3s: 2220 08.325 490 198 590 Hes 67 LENS O4z E04 | URES Casle S weniwns wa por racial dae</t>
        </is>
      </c>
      <c r="H86" s="13" t="inlineStr"/>
      <c r="I86" s="13" t="inlineStr"/>
      <c r="J86" s="13" t="inlineStr"/>
      <c r="K86" s="13" t="inlineStr"/>
      <c r="L86" s="16" t="n"/>
      <c r="M86" s="16" t="n"/>
      <c r="N86" s="16" t="n"/>
      <c r="O86" s="16" t="n"/>
      <c r="P86" s="16" t="n"/>
      <c r="Q86" s="16" t="n"/>
      <c r="R86" s="13" t="inlineStr">
        <is>
          <t>Revisar</t>
        </is>
      </c>
      <c r="S86" s="13" t="inlineStr">
        <is>
          <t>Baixa</t>
        </is>
      </c>
      <c r="T86" s="15" t="inlineStr">
        <is>
          <t>NOTAS FISCAIS DE COMPRA JANEIRO 2026.pdf - p. 293</t>
        </is>
      </c>
    </row>
    <row r="87">
      <c r="A87" s="13" t="inlineStr">
        <is>
          <t>JAN26-P297</t>
        </is>
      </c>
      <c r="B87" s="13" t="n">
        <v>297</v>
      </c>
      <c r="C87" s="13" t="inlineStr"/>
      <c r="D87" s="25" t="n">
        <v>46028</v>
      </c>
      <c r="E87" s="13" t="inlineStr">
        <is>
          <t>f (861 3248-2654 64001490 NP: 80160 ‘ww wanie,fazcada. gor.b¢ uu na site da Sefaz Autorizadora</t>
        </is>
      </c>
      <c r="F87" s="13" t="inlineStr"/>
      <c r="G87" s="15" t="inlineStr">
        <is>
          <t>: : : Série: 1 | TCASA DAS MANGUEIRAS E PARAFUSOS LTDA DANFE | : Documents wanriar | i a AV. MIGUEL ROSA, 6732 da Naw Fireal | " Elsen | Feared 13226 01092690 4600 6145 8808 1040 0601 6014 9414.48</t>
        </is>
      </c>
      <c r="H87" s="13" t="inlineStr"/>
      <c r="I87" s="13" t="inlineStr"/>
      <c r="J87" s="13" t="inlineStr"/>
      <c r="K87" s="13" t="inlineStr"/>
      <c r="L87" s="16" t="n"/>
      <c r="M87" s="16" t="n"/>
      <c r="N87" s="16" t="n"/>
      <c r="O87" s="16" t="n"/>
      <c r="P87" s="16" t="n"/>
      <c r="Q87" s="16" t="n"/>
      <c r="R87" s="13" t="inlineStr">
        <is>
          <t>Revisar</t>
        </is>
      </c>
      <c r="S87" s="13" t="inlineStr">
        <is>
          <t>Baixa</t>
        </is>
      </c>
      <c r="T87" s="15" t="inlineStr">
        <is>
          <t>NOTAS FISCAIS DE COMPRA JANEIRO 2026.pdf - p. 297</t>
        </is>
      </c>
    </row>
    <row r="88">
      <c r="A88" s="13" t="inlineStr">
        <is>
          <t>JAN26-P302</t>
        </is>
      </c>
      <c r="B88" s="13" t="n">
        <v>302</v>
      </c>
      <c r="C88" s="13" t="inlineStr"/>
      <c r="D88" s="25" t="n">
        <v>46045</v>
      </c>
      <c r="E88" s="13" t="inlineStr">
        <is>
          <t>REDERETOR BE NORDESTE DESL FDR GY RODU OREO SERVICES CONT ANTES DA ROTA PRLACELETRONNCA POH ESTO TOTP</t>
        </is>
      </c>
      <c r="F88" s="13" t="inlineStr">
        <is>
          <t>01.674.104/0001-44</t>
        </is>
      </c>
      <c r="G88" s="15" t="inlineStr"/>
      <c r="H88" s="13" t="inlineStr"/>
      <c r="I88" s="13" t="inlineStr"/>
      <c r="J88" s="13" t="inlineStr"/>
      <c r="K88" s="13" t="inlineStr"/>
      <c r="L88" s="16" t="n"/>
      <c r="M88" s="16" t="n"/>
      <c r="N88" s="16" t="n"/>
      <c r="O88" s="16" t="n"/>
      <c r="P88" s="16" t="n"/>
      <c r="Q88" s="16" t="n"/>
      <c r="R88" s="13" t="inlineStr">
        <is>
          <t>Revisar</t>
        </is>
      </c>
      <c r="S88" s="13" t="inlineStr">
        <is>
          <t>Media</t>
        </is>
      </c>
      <c r="T88" s="15" t="inlineStr">
        <is>
          <t>NOTAS FISCAIS DE COMPRA JANEIRO 2026.pdf - p. 302</t>
        </is>
      </c>
    </row>
    <row r="89">
      <c r="A89" s="13" t="inlineStr">
        <is>
          <t>JAN26-P303</t>
        </is>
      </c>
      <c r="B89" s="13" t="n">
        <v>303</v>
      </c>
      <c r="C89" s="13" t="inlineStr"/>
      <c r="D89" s="25" t="n">
        <v>46045</v>
      </c>
      <c r="E89" s="13" t="inlineStr">
        <is>
          <t>SERIE 001 | wowmnie.fazenda gov bripartal ou no site da Sofa Autorizadona</t>
        </is>
      </c>
      <c r="F89" s="13" t="inlineStr"/>
      <c r="G89" s="15" t="inlineStr"/>
      <c r="H89" s="13" t="inlineStr"/>
      <c r="I89" s="13" t="inlineStr"/>
      <c r="J89" s="13" t="inlineStr"/>
      <c r="K89" s="13" t="inlineStr"/>
      <c r="L89" s="16" t="n"/>
      <c r="M89" s="16" t="n"/>
      <c r="N89" s="16" t="n"/>
      <c r="O89" s="16" t="n"/>
      <c r="P89" s="16" t="n"/>
      <c r="Q89" s="16" t="n"/>
      <c r="R89" s="13" t="inlineStr">
        <is>
          <t>Revisar</t>
        </is>
      </c>
      <c r="S89" s="13" t="inlineStr">
        <is>
          <t>Baixa</t>
        </is>
      </c>
      <c r="T89" s="15" t="inlineStr">
        <is>
          <t>NOTAS FISCAIS DE COMPRA JANEIRO 2026.pdf - p. 303</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U66"/>
  <sheetViews>
    <sheetView showGridLines="0" workbookViewId="0">
      <pane ySplit="1" topLeftCell="A2" activePane="bottomLeft" state="frozen"/>
      <selection pane="bottomLeft" activeCell="A1" sqref="A1"/>
    </sheetView>
  </sheetViews>
  <sheetFormatPr baseColWidth="8" defaultRowHeight="15"/>
  <cols>
    <col width="15" customWidth="1" min="1" max="1"/>
    <col width="8" customWidth="1" min="2" max="2"/>
    <col width="16" customWidth="1" min="3" max="3"/>
    <col width="13" customWidth="1" min="4" max="4"/>
    <col width="40" customWidth="1" min="5" max="5"/>
    <col width="20" customWidth="1" min="6" max="6"/>
    <col width="68" customWidth="1" min="7" max="7"/>
    <col width="15" customWidth="1" min="8" max="8"/>
    <col width="12" customWidth="1" min="9" max="9"/>
    <col width="12" customWidth="1" min="10" max="10"/>
    <col width="12" customWidth="1" min="11" max="11"/>
    <col width="13" customWidth="1" min="12" max="12"/>
    <col width="13" customWidth="1" min="13" max="13"/>
    <col width="12" customWidth="1" min="14" max="14"/>
    <col width="15" customWidth="1" min="15" max="15"/>
    <col width="13" customWidth="1" min="16" max="16"/>
    <col width="15" customWidth="1" min="17" max="17"/>
    <col width="15" customWidth="1" min="18" max="18"/>
    <col width="14" customWidth="1" min="19" max="19"/>
    <col width="13" customWidth="1" min="20" max="20"/>
    <col width="42" customWidth="1" min="21" max="21"/>
  </cols>
  <sheetData>
    <row r="1" ht="36" customHeight="1">
      <c r="A1" s="12" t="inlineStr">
        <is>
          <t>Doc_ID</t>
        </is>
      </c>
      <c r="B1" s="12" t="inlineStr">
        <is>
          <t>Pagina</t>
        </is>
      </c>
      <c r="C1" s="12" t="inlineStr">
        <is>
          <t>NFS_e</t>
        </is>
      </c>
      <c r="D1" s="12" t="inlineStr">
        <is>
          <t>Data</t>
        </is>
      </c>
      <c r="E1" s="12" t="inlineStr">
        <is>
          <t>Prestador</t>
        </is>
      </c>
      <c r="F1" s="12" t="inlineStr">
        <is>
          <t>CNPJ</t>
        </is>
      </c>
      <c r="G1" s="12" t="inlineStr">
        <is>
          <t>Descricao_Servico_OCR</t>
        </is>
      </c>
      <c r="H1" s="12" t="inlineStr">
        <is>
          <t>Valor_Servico</t>
        </is>
      </c>
      <c r="I1" s="12" t="inlineStr">
        <is>
          <t>BC_ISS</t>
        </is>
      </c>
      <c r="J1" s="12" t="inlineStr">
        <is>
          <t>Aliq_ISS</t>
        </is>
      </c>
      <c r="K1" s="12" t="inlineStr">
        <is>
          <t>ISS</t>
        </is>
      </c>
      <c r="L1" s="12" t="inlineStr">
        <is>
          <t>IRRF_Retido</t>
        </is>
      </c>
      <c r="M1" s="12" t="inlineStr">
        <is>
          <t>CSLL_Retida</t>
        </is>
      </c>
      <c r="N1" s="12" t="inlineStr">
        <is>
          <t>PIS_Retido</t>
        </is>
      </c>
      <c r="O1" s="12" t="inlineStr">
        <is>
          <t>COFINS_Retido</t>
        </is>
      </c>
      <c r="P1" s="12" t="inlineStr">
        <is>
          <t>INSS_Retido</t>
        </is>
      </c>
      <c r="Q1" s="12" t="inlineStr">
        <is>
          <t>Valor_Liquido</t>
        </is>
      </c>
      <c r="R1" s="12" t="inlineStr">
        <is>
          <t>Soma_Contabil</t>
        </is>
      </c>
      <c r="S1" s="12" t="inlineStr">
        <is>
          <t>Duplicado_de</t>
        </is>
      </c>
      <c r="T1" s="12" t="inlineStr">
        <is>
          <t>Confianca</t>
        </is>
      </c>
      <c r="U1" s="12" t="inlineStr">
        <is>
          <t>Fonte</t>
        </is>
      </c>
    </row>
    <row r="2">
      <c r="A2" s="13" t="inlineStr">
        <is>
          <t>JAN26-P012</t>
        </is>
      </c>
      <c r="B2" s="13" t="n">
        <v>12</v>
      </c>
      <c r="C2" s="13" t="inlineStr">
        <is>
          <t>863</t>
        </is>
      </c>
      <c r="D2" s="25" t="n">
        <v>46022</v>
      </c>
      <c r="E2" s="13" t="inlineStr">
        <is>
          <t>GESTAO - INOVACAO EMPRESARIAL LTDA</t>
        </is>
      </c>
      <c r="F2" s="13" t="inlineStr">
        <is>
          <t>20.504.019/0001-82</t>
        </is>
      </c>
      <c r="G2" s="15" t="inlineStr">
        <is>
          <t>SERVICO DE ACOMPANHAMENTO DE PROCESSOS ADMINISTRATIVOS, REFERENTE AO MES DE NOVEMBRO DE 2025</t>
        </is>
      </c>
      <c r="H2" s="16" t="n">
        <v>759</v>
      </c>
      <c r="I2" s="16" t="n"/>
      <c r="J2" s="17" t="n"/>
      <c r="K2" s="16" t="n"/>
      <c r="L2" s="16" t="n"/>
      <c r="M2" s="16" t="n"/>
      <c r="N2" s="16" t="n"/>
      <c r="O2" s="16" t="n"/>
      <c r="P2" s="16" t="n"/>
      <c r="Q2" s="16" t="n"/>
      <c r="R2" s="13" t="inlineStr">
        <is>
          <t>Sim</t>
        </is>
      </c>
      <c r="S2" s="13" t="inlineStr"/>
      <c r="T2" s="13" t="inlineStr">
        <is>
          <t>Alta</t>
        </is>
      </c>
      <c r="U2" s="15" t="inlineStr">
        <is>
          <t>NOTAS FISCAIS DE COMPRA JANEIRO 2026.pdf - p. 12</t>
        </is>
      </c>
    </row>
    <row r="3">
      <c r="A3" s="13" t="inlineStr">
        <is>
          <t>JAN26-P028</t>
        </is>
      </c>
      <c r="B3" s="13" t="n">
        <v>28</v>
      </c>
      <c r="C3" s="13" t="inlineStr"/>
      <c r="D3" s="25" t="n">
        <v>46055</v>
      </c>
      <c r="E3" s="13" t="inlineStr">
        <is>
          <t>TERRA NOVA (LOT. Meco 16459, SAO SEBASTIAO.</t>
        </is>
      </c>
      <c r="F3" s="13" t="inlineStr"/>
      <c r="G3" s="15" t="inlineStr"/>
      <c r="H3" s="16" t="n">
        <v>7.5</v>
      </c>
      <c r="I3" s="16" t="n"/>
      <c r="J3" s="17" t="n"/>
      <c r="K3" s="16" t="n"/>
      <c r="L3" s="16" t="n"/>
      <c r="M3" s="16" t="n"/>
      <c r="N3" s="16" t="n"/>
      <c r="O3" s="16" t="n"/>
      <c r="P3" s="16" t="n"/>
      <c r="Q3" s="16" t="n"/>
      <c r="R3" s="13" t="inlineStr">
        <is>
          <t>Sim</t>
        </is>
      </c>
      <c r="S3" s="13" t="inlineStr"/>
      <c r="T3" s="13" t="inlineStr">
        <is>
          <t>Media</t>
        </is>
      </c>
      <c r="U3" s="15" t="inlineStr">
        <is>
          <t>NOTAS FISCAIS DE COMPRA JANEIRO 2026.pdf - p. 28</t>
        </is>
      </c>
    </row>
    <row r="4">
      <c r="A4" s="13" t="inlineStr">
        <is>
          <t>JAN26-P029</t>
        </is>
      </c>
      <c r="B4" s="13" t="n">
        <v>29</v>
      </c>
      <c r="C4" s="13" t="inlineStr"/>
      <c r="D4" s="25" t="n">
        <v>46055</v>
      </c>
      <c r="E4" s="13" t="inlineStr">
        <is>
          <t>RIGARDO RODRIGUES DE SOUSA 90931442370</t>
        </is>
      </c>
      <c r="F4" s="13" t="inlineStr">
        <is>
          <t>40.439.061/0001-74</t>
        </is>
      </c>
      <c r="G4" s="15" t="inlineStr"/>
      <c r="H4" s="16" t="n"/>
      <c r="I4" s="16" t="n"/>
      <c r="J4" s="17" t="n"/>
      <c r="K4" s="16" t="n"/>
      <c r="L4" s="16" t="n"/>
      <c r="M4" s="16" t="n"/>
      <c r="N4" s="16" t="n"/>
      <c r="O4" s="16" t="n"/>
      <c r="P4" s="16" t="n"/>
      <c r="Q4" s="16" t="n"/>
      <c r="R4" s="13" t="inlineStr">
        <is>
          <t>Revisar</t>
        </is>
      </c>
      <c r="S4" s="13" t="inlineStr"/>
      <c r="T4" s="13" t="inlineStr">
        <is>
          <t>Media</t>
        </is>
      </c>
      <c r="U4" s="15" t="inlineStr">
        <is>
          <t>NOTAS FISCAIS DE COMPRA JANEIRO 2026.pdf - p. 29</t>
        </is>
      </c>
    </row>
    <row r="5">
      <c r="A5" s="13" t="inlineStr">
        <is>
          <t>JAN26-P030</t>
        </is>
      </c>
      <c r="B5" s="13" t="n">
        <v>30</v>
      </c>
      <c r="C5" s="13" t="inlineStr"/>
      <c r="D5" s="25" t="n">
        <v>46048</v>
      </c>
      <c r="E5" s="13" t="inlineStr">
        <is>
          <t>JESUINO@APOIOCONTABILP.COM</t>
        </is>
      </c>
      <c r="F5" s="13" t="inlineStr"/>
      <c r="G5" s="15" t="inlineStr"/>
      <c r="H5" s="16" t="n">
        <v>4198</v>
      </c>
      <c r="I5" s="16" t="n"/>
      <c r="J5" s="17" t="n"/>
      <c r="K5" s="16" t="n">
        <v>4198</v>
      </c>
      <c r="L5" s="16" t="n"/>
      <c r="M5" s="16" t="n"/>
      <c r="N5" s="16" t="n"/>
      <c r="O5" s="16" t="n"/>
      <c r="P5" s="16" t="n"/>
      <c r="Q5" s="16" t="n"/>
      <c r="R5" s="13" t="inlineStr">
        <is>
          <t>Sim</t>
        </is>
      </c>
      <c r="S5" s="13" t="inlineStr"/>
      <c r="T5" s="13" t="inlineStr">
        <is>
          <t>Media</t>
        </is>
      </c>
      <c r="U5" s="15" t="inlineStr">
        <is>
          <t>NOTAS FISCAIS DE COMPRA JANEIRO 2026.pdf - p. 30</t>
        </is>
      </c>
    </row>
    <row r="6">
      <c r="A6" s="13" t="inlineStr">
        <is>
          <t>JAN26-P031</t>
        </is>
      </c>
      <c r="B6" s="13" t="n">
        <v>31</v>
      </c>
      <c r="C6" s="13" t="inlineStr">
        <is>
          <t>5</t>
        </is>
      </c>
      <c r="D6" s="25" t="n">
        <v>45996</v>
      </c>
      <c r="E6" s="13" t="inlineStr">
        <is>
          <t>- REPRESENTANTES COMERCIAIS E AGENTES DO COMERGIO DE MADEIRA, MATERIAL DE CONSTRUCAO E FERRAGENS,</t>
        </is>
      </c>
      <c r="F6" s="13" t="inlineStr"/>
      <c r="G6" s="15" t="inlineStr">
        <is>
          <t>CNAE, 4613. - REPRESENTANTES COMERCIAIS E AGENTES DO COMERGIO DE MADEIRA, MATERIAL DE CONSTRUCAO E FERRAGENS, Service 10,09 - REPRESENTAGAO DE QUALQUER NATUREZA, INCLUSIVE COMERCIAL. Local da prestacie do servigo Pais da prestagdo do servigo TERESINA PL BRASIL</t>
        </is>
      </c>
      <c r="H6" s="16" t="n">
        <v>797.5599999999999</v>
      </c>
      <c r="I6" s="16" t="n">
        <v>791.96</v>
      </c>
      <c r="J6" s="17" t="n"/>
      <c r="K6" s="16" t="n"/>
      <c r="L6" s="16" t="n"/>
      <c r="M6" s="16" t="n"/>
      <c r="N6" s="16" t="n"/>
      <c r="O6" s="16" t="n"/>
      <c r="P6" s="16" t="n"/>
      <c r="Q6" s="16" t="n"/>
      <c r="R6" s="13" t="inlineStr">
        <is>
          <t>Sim</t>
        </is>
      </c>
      <c r="S6" s="13" t="inlineStr"/>
      <c r="T6" s="13" t="inlineStr">
        <is>
          <t>Media</t>
        </is>
      </c>
      <c r="U6" s="15" t="inlineStr">
        <is>
          <t>NOTAS FISCAIS DE COMPRA JANEIRO 2026.pdf - p. 31</t>
        </is>
      </c>
    </row>
    <row r="7">
      <c r="A7" s="13" t="inlineStr">
        <is>
          <t>JAN26-P035</t>
        </is>
      </c>
      <c r="B7" s="13" t="n">
        <v>35</v>
      </c>
      <c r="C7" s="13" t="inlineStr">
        <is>
          <t>0</t>
        </is>
      </c>
      <c r="D7" s="25" t="n"/>
      <c r="E7" s="13" t="inlineStr">
        <is>
          <t>CONSULTING AND INFORMATION SERVICES LTOA</t>
        </is>
      </c>
      <c r="F7" s="13" t="inlineStr"/>
      <c r="G7" s="15" t="inlineStr"/>
      <c r="H7" s="16" t="n">
        <v>9689.93</v>
      </c>
      <c r="I7" s="16" t="n">
        <v>9.68</v>
      </c>
      <c r="J7" s="17" t="n"/>
      <c r="K7" s="16" t="n">
        <v>9689.93</v>
      </c>
      <c r="L7" s="16" t="n"/>
      <c r="M7" s="16" t="n"/>
      <c r="N7" s="16" t="n"/>
      <c r="O7" s="16" t="n"/>
      <c r="P7" s="16" t="n"/>
      <c r="Q7" s="16" t="n"/>
      <c r="R7" s="13" t="inlineStr">
        <is>
          <t>Sim</t>
        </is>
      </c>
      <c r="S7" s="13" t="inlineStr"/>
      <c r="T7" s="13" t="inlineStr">
        <is>
          <t>Media</t>
        </is>
      </c>
      <c r="U7" s="15" t="inlineStr">
        <is>
          <t>NOTAS FISCAIS DE COMPRA JANEIRO 2026.pdf - p. 35</t>
        </is>
      </c>
    </row>
    <row r="8">
      <c r="A8" s="13" t="inlineStr">
        <is>
          <t>JAN26-P039</t>
        </is>
      </c>
      <c r="B8" s="13" t="n">
        <v>39</v>
      </c>
      <c r="C8" s="13" t="inlineStr"/>
      <c r="D8" s="25" t="n">
        <v>46016</v>
      </c>
      <c r="E8" s="13" t="inlineStr">
        <is>
          <t>AUTO SHOP RASTREAMENTO LTDA</t>
        </is>
      </c>
      <c r="F8" s="13" t="inlineStr">
        <is>
          <t>24.625.077/0001-15</t>
        </is>
      </c>
      <c r="G8" s="15" t="inlineStr"/>
      <c r="H8" s="16" t="n">
        <v>1198</v>
      </c>
      <c r="I8" s="16" t="n"/>
      <c r="J8" s="17" t="n"/>
      <c r="K8" s="16" t="n"/>
      <c r="L8" s="16" t="n"/>
      <c r="M8" s="16" t="n"/>
      <c r="N8" s="16" t="n"/>
      <c r="O8" s="16" t="n"/>
      <c r="P8" s="16" t="n"/>
      <c r="Q8" s="16" t="n"/>
      <c r="R8" s="13" t="inlineStr">
        <is>
          <t>Sim</t>
        </is>
      </c>
      <c r="S8" s="13" t="inlineStr"/>
      <c r="T8" s="13" t="inlineStr">
        <is>
          <t>Media</t>
        </is>
      </c>
      <c r="U8" s="15" t="inlineStr">
        <is>
          <t>NOTAS FISCAIS DE COMPRA JANEIRO 2026.pdf - p. 39</t>
        </is>
      </c>
    </row>
    <row r="9">
      <c r="A9" s="13" t="inlineStr">
        <is>
          <t>JAN26-P040</t>
        </is>
      </c>
      <c r="B9" s="13" t="n">
        <v>40</v>
      </c>
      <c r="C9" s="13" t="inlineStr">
        <is>
          <t>2</t>
        </is>
      </c>
      <c r="D9" s="25" t="n"/>
      <c r="E9" s="13" t="inlineStr">
        <is>
          <t>E-moll</t>
        </is>
      </c>
      <c r="F9" s="13" t="inlineStr"/>
      <c r="G9" s="15" t="inlineStr"/>
      <c r="H9" s="16" t="n"/>
      <c r="I9" s="16" t="n"/>
      <c r="J9" s="17" t="n"/>
      <c r="K9" s="16" t="n"/>
      <c r="L9" s="16" t="n"/>
      <c r="M9" s="16" t="n"/>
      <c r="N9" s="16" t="n"/>
      <c r="O9" s="16" t="n"/>
      <c r="P9" s="16" t="n"/>
      <c r="Q9" s="16" t="n"/>
      <c r="R9" s="13" t="inlineStr">
        <is>
          <t>Revisar</t>
        </is>
      </c>
      <c r="S9" s="13" t="inlineStr"/>
      <c r="T9" s="13" t="inlineStr">
        <is>
          <t>Media</t>
        </is>
      </c>
      <c r="U9" s="15" t="inlineStr">
        <is>
          <t>NOTAS FISCAIS DE COMPRA JANEIRO 2026.pdf - p. 40</t>
        </is>
      </c>
    </row>
    <row r="10">
      <c r="A10" s="13" t="inlineStr">
        <is>
          <t>JAN26-P056</t>
        </is>
      </c>
      <c r="B10" s="13" t="n">
        <v>56</v>
      </c>
      <c r="C10" s="13" t="inlineStr">
        <is>
          <t>27</t>
        </is>
      </c>
      <c r="D10" s="25" t="n">
        <v>46045</v>
      </c>
      <c r="E10" s="13" t="inlineStr">
        <is>
          <t>JAILSON DA CONCEICAO PAIVA</t>
        </is>
      </c>
      <c r="F10" s="13" t="inlineStr">
        <is>
          <t>53.605.493/0001-50</t>
        </is>
      </c>
      <c r="G10" s="15" t="inlineStr">
        <is>
          <t>SERVICO DE CONFECCAO PARA ENSACADEIRA, ROSCA DA ENSACADEIRA, ROSCA DO MISTURADOR, BASE DOS MANCAIS DO ELEVADOR.</t>
        </is>
      </c>
      <c r="H10" s="16" t="n">
        <v>2000</v>
      </c>
      <c r="I10" s="16" t="n"/>
      <c r="J10" s="17" t="n"/>
      <c r="K10" s="16" t="n"/>
      <c r="L10" s="16" t="n"/>
      <c r="M10" s="16" t="n"/>
      <c r="N10" s="16" t="n"/>
      <c r="O10" s="16" t="n"/>
      <c r="P10" s="16" t="n"/>
      <c r="Q10" s="16" t="n"/>
      <c r="R10" s="13" t="inlineStr">
        <is>
          <t>Sim</t>
        </is>
      </c>
      <c r="S10" s="13" t="inlineStr"/>
      <c r="T10" s="13" t="inlineStr">
        <is>
          <t>Alta</t>
        </is>
      </c>
      <c r="U10" s="15" t="inlineStr">
        <is>
          <t>NOTAS FISCAIS DE COMPRA JANEIRO 2026.pdf - p. 56</t>
        </is>
      </c>
    </row>
    <row r="11">
      <c r="A11" s="13" t="inlineStr">
        <is>
          <t>JAN26-P057</t>
        </is>
      </c>
      <c r="B11" s="13" t="n">
        <v>57</v>
      </c>
      <c r="C11" s="13" t="inlineStr">
        <is>
          <t>24</t>
        </is>
      </c>
      <c r="D11" s="25" t="n">
        <v>46048</v>
      </c>
      <c r="E11" s="13" t="inlineStr">
        <is>
          <t>EMERSON CANDIDO DE AQUINO 56476779320</t>
        </is>
      </c>
      <c r="F11" s="13" t="inlineStr">
        <is>
          <t>45.264.826/0001-04</t>
        </is>
      </c>
      <c r="G11" s="15" t="inlineStr">
        <is>
          <t>SERVICO PRESTADO DE ENTREGA DE MERCADORIA</t>
        </is>
      </c>
      <c r="H11" s="16" t="n">
        <v>2500</v>
      </c>
      <c r="I11" s="16" t="n"/>
      <c r="J11" s="17" t="n"/>
      <c r="K11" s="16" t="n"/>
      <c r="L11" s="16" t="n"/>
      <c r="M11" s="16" t="n"/>
      <c r="N11" s="16" t="n"/>
      <c r="O11" s="16" t="n"/>
      <c r="P11" s="16" t="n"/>
      <c r="Q11" s="16" t="n"/>
      <c r="R11" s="13" t="inlineStr">
        <is>
          <t>Sim</t>
        </is>
      </c>
      <c r="S11" s="13" t="inlineStr"/>
      <c r="T11" s="13" t="inlineStr">
        <is>
          <t>Alta</t>
        </is>
      </c>
      <c r="U11" s="15" t="inlineStr">
        <is>
          <t>NOTAS FISCAIS DE COMPRA JANEIRO 2026.pdf - p. 57</t>
        </is>
      </c>
    </row>
    <row r="12">
      <c r="A12" s="13" t="inlineStr">
        <is>
          <t>JAN26-P058</t>
        </is>
      </c>
      <c r="B12" s="13" t="n">
        <v>58</v>
      </c>
      <c r="C12" s="13" t="inlineStr">
        <is>
          <t>960441</t>
        </is>
      </c>
      <c r="D12" s="25" t="n">
        <v>46042</v>
      </c>
      <c r="E12" s="13" t="inlineStr">
        <is>
          <t>HOSPITAIS E CLINICAS DO PIAUI S/S LTDA</t>
        </is>
      </c>
      <c r="F12" s="13" t="inlineStr">
        <is>
          <t>00.885.918/0001-65</t>
        </is>
      </c>
      <c r="G12" s="15" t="inlineStr">
        <is>
          <t>08 WDM 82 | 8s | 109,04 mesa | to F | cs | 3:795,94 Content M. 450 M. Ja Vendar E7266 H. Fatar | spares tet. 02601" Vencinen | 593203 | MP! | [Ries | esinatara</t>
        </is>
      </c>
      <c r="H12" s="16" t="n">
        <v>5901.18</v>
      </c>
      <c r="I12" s="16" t="n">
        <v>5901.18</v>
      </c>
      <c r="J12" s="17" t="n">
        <v>0.05</v>
      </c>
      <c r="K12" s="16" t="n">
        <v>295.05</v>
      </c>
      <c r="L12" s="16" t="n"/>
      <c r="M12" s="16" t="n"/>
      <c r="N12" s="16" t="n"/>
      <c r="O12" s="16" t="n"/>
      <c r="P12" s="16" t="n"/>
      <c r="Q12" s="16" t="n"/>
      <c r="R12" s="13" t="inlineStr">
        <is>
          <t>Sim</t>
        </is>
      </c>
      <c r="S12" s="13" t="inlineStr"/>
      <c r="T12" s="13" t="inlineStr">
        <is>
          <t>Alta</t>
        </is>
      </c>
      <c r="U12" s="15" t="inlineStr">
        <is>
          <t>NOTAS FISCAIS DE COMPRA JANEIRO 2026.pdf - p. 58</t>
        </is>
      </c>
    </row>
    <row r="13">
      <c r="A13" s="13" t="inlineStr">
        <is>
          <t>JAN26-P060</t>
        </is>
      </c>
      <c r="B13" s="13" t="n">
        <v>60</v>
      </c>
      <c r="C13" s="13" t="inlineStr">
        <is>
          <t>36</t>
        </is>
      </c>
      <c r="D13" s="25" t="n">
        <v>46045</v>
      </c>
      <c r="E13" s="13" t="inlineStr">
        <is>
          <t>MARCOS JOSE FONTANA HANUS</t>
        </is>
      </c>
      <c r="F13" s="13" t="inlineStr">
        <is>
          <t>57.460.869/0001-36</t>
        </is>
      </c>
      <c r="G13" s="15" t="inlineStr">
        <is>
          <t>REFERENTE A DESPESA NO PERIODO DE 21/01 A 23/01/2026</t>
        </is>
      </c>
      <c r="H13" s="16" t="n">
        <v>52</v>
      </c>
      <c r="I13" s="16" t="n"/>
      <c r="J13" s="17" t="n"/>
      <c r="K13" s="16" t="n"/>
      <c r="L13" s="16" t="n"/>
      <c r="M13" s="16" t="n"/>
      <c r="N13" s="16" t="n"/>
      <c r="O13" s="16" t="n"/>
      <c r="P13" s="16" t="n"/>
      <c r="Q13" s="16" t="n"/>
      <c r="R13" s="13" t="inlineStr">
        <is>
          <t>Sim</t>
        </is>
      </c>
      <c r="S13" s="13" t="inlineStr"/>
      <c r="T13" s="13" t="inlineStr">
        <is>
          <t>Alta</t>
        </is>
      </c>
      <c r="U13" s="15" t="inlineStr">
        <is>
          <t>NOTAS FISCAIS DE COMPRA JANEIRO 2026.pdf - p. 60</t>
        </is>
      </c>
    </row>
    <row r="14">
      <c r="A14" s="13" t="inlineStr">
        <is>
          <t>JAN26-P061</t>
        </is>
      </c>
      <c r="B14" s="13" t="n">
        <v>61</v>
      </c>
      <c r="C14" s="13" t="inlineStr">
        <is>
          <t>330</t>
        </is>
      </c>
      <c r="D14" s="25" t="n">
        <v>46027</v>
      </c>
      <c r="E14" s="13" t="inlineStr">
        <is>
          <t>MINERAR ENGENHARIA E MEIO AMBIENTE LTDA</t>
        </is>
      </c>
      <c r="F14" s="13" t="inlineStr">
        <is>
          <t>37.102.634/0001-65</t>
        </is>
      </c>
      <c r="G14" s="15" t="inlineStr">
        <is>
          <t>PRESTACAO DE SERVICO REFERENTE A CONSULTORIA MENSAL DE ENGENHARIA DE MINAS.</t>
        </is>
      </c>
      <c r="H14" s="16" t="n">
        <v>759</v>
      </c>
      <c r="I14" s="16" t="n"/>
      <c r="J14" s="17" t="n"/>
      <c r="K14" s="16" t="n">
        <v>759</v>
      </c>
      <c r="L14" s="16" t="n"/>
      <c r="M14" s="16" t="n"/>
      <c r="N14" s="16" t="n"/>
      <c r="O14" s="16" t="n"/>
      <c r="P14" s="16" t="n"/>
      <c r="Q14" s="16" t="n"/>
      <c r="R14" s="13" t="inlineStr">
        <is>
          <t>Sim</t>
        </is>
      </c>
      <c r="S14" s="13" t="inlineStr"/>
      <c r="T14" s="13" t="inlineStr">
        <is>
          <t>Alta</t>
        </is>
      </c>
      <c r="U14" s="15" t="inlineStr">
        <is>
          <t>NOTAS FISCAIS DE COMPRA JANEIRO 2026.pdf - p. 61</t>
        </is>
      </c>
    </row>
    <row r="15">
      <c r="A15" s="13" t="inlineStr">
        <is>
          <t>JAN26-P062</t>
        </is>
      </c>
      <c r="B15" s="13" t="n">
        <v>62</v>
      </c>
      <c r="C15" s="13" t="inlineStr">
        <is>
          <t>53</t>
        </is>
      </c>
      <c r="D15" s="25" t="n">
        <v>46031</v>
      </c>
      <c r="E15" s="13" t="inlineStr">
        <is>
          <t>KLESIO KENNEDY REPRESENTACAO DE MATERIAL DE CONSTRUCAO LTDA</t>
        </is>
      </c>
      <c r="F15" s="13" t="inlineStr">
        <is>
          <t>15.439.685/0001-99</t>
        </is>
      </c>
      <c r="G15" s="15" t="inlineStr">
        <is>
          <t>SERVICO DE REPRESENTACAO</t>
        </is>
      </c>
      <c r="H15" s="16" t="n">
        <v>14933</v>
      </c>
      <c r="I15" s="16" t="n">
        <v>14933</v>
      </c>
      <c r="J15" s="17" t="n">
        <v>0.05</v>
      </c>
      <c r="K15" s="16" t="n"/>
      <c r="L15" s="16" t="n"/>
      <c r="M15" s="16" t="n"/>
      <c r="N15" s="16" t="n"/>
      <c r="O15" s="16" t="n"/>
      <c r="P15" s="16" t="n"/>
      <c r="Q15" s="16" t="n"/>
      <c r="R15" s="13" t="inlineStr">
        <is>
          <t>Sim</t>
        </is>
      </c>
      <c r="S15" s="13" t="inlineStr"/>
      <c r="T15" s="13" t="inlineStr">
        <is>
          <t>Alta</t>
        </is>
      </c>
      <c r="U15" s="15" t="inlineStr">
        <is>
          <t>NOTAS FISCAIS DE COMPRA JANEIRO 2026.pdf - p. 62</t>
        </is>
      </c>
    </row>
    <row r="16">
      <c r="A16" s="13" t="inlineStr">
        <is>
          <t>JAN26-P063</t>
        </is>
      </c>
      <c r="B16" s="13" t="n">
        <v>63</v>
      </c>
      <c r="C16" s="13" t="inlineStr">
        <is>
          <t>244</t>
        </is>
      </c>
      <c r="D16" s="25" t="n">
        <v>45999</v>
      </c>
      <c r="E16" s="13" t="inlineStr">
        <is>
          <t>F. ALVES CAMINHA - ME</t>
        </is>
      </c>
      <c r="F16" s="13" t="inlineStr">
        <is>
          <t>29.100.059/0001-33</t>
        </is>
      </c>
      <c r="G16" s="15" t="inlineStr">
        <is>
          <t>COMISSAO DE VENDAS OUTUBRO E NOVEMBRO DE 2025</t>
        </is>
      </c>
      <c r="H16" s="16" t="n">
        <v>797.5599999999999</v>
      </c>
      <c r="I16" s="16" t="n">
        <v>707.58</v>
      </c>
      <c r="J16" s="17" t="n"/>
      <c r="K16" s="16" t="n"/>
      <c r="L16" s="16" t="n"/>
      <c r="M16" s="16" t="n"/>
      <c r="N16" s="16" t="n"/>
      <c r="O16" s="16" t="n"/>
      <c r="P16" s="16" t="n"/>
      <c r="Q16" s="16" t="n"/>
      <c r="R16" s="13" t="inlineStr">
        <is>
          <t>Sim</t>
        </is>
      </c>
      <c r="S16" s="13" t="inlineStr"/>
      <c r="T16" s="13" t="inlineStr">
        <is>
          <t>Alta</t>
        </is>
      </c>
      <c r="U16" s="15" t="inlineStr">
        <is>
          <t>NOTAS FISCAIS DE COMPRA JANEIRO 2026.pdf - p. 63</t>
        </is>
      </c>
    </row>
    <row r="17">
      <c r="A17" s="13" t="inlineStr">
        <is>
          <t>JAN26-P064</t>
        </is>
      </c>
      <c r="B17" s="13" t="n">
        <v>64</v>
      </c>
      <c r="C17" s="13" t="inlineStr">
        <is>
          <t>221</t>
        </is>
      </c>
      <c r="D17" s="25" t="n">
        <v>46029</v>
      </c>
      <c r="E17" s="13" t="inlineStr">
        <is>
          <t>E &amp; P SOARES DOS SANTOS LTDA - ME</t>
        </is>
      </c>
      <c r="F17" s="13" t="inlineStr">
        <is>
          <t>27.803.620/0001-15</t>
        </is>
      </c>
      <c r="G17" s="15" t="inlineStr">
        <is>
          <t>NF DE REPRESENTACAO COMERCIAL REFERENTE A COMPETENCIA DO MES DE DEZEMBRO DE 2025.</t>
        </is>
      </c>
      <c r="H17" s="16" t="n">
        <v>35238.7</v>
      </c>
      <c r="I17" s="16" t="n"/>
      <c r="J17" s="17" t="n"/>
      <c r="K17" s="16" t="n"/>
      <c r="L17" s="16" t="n"/>
      <c r="M17" s="16" t="n"/>
      <c r="N17" s="16" t="n"/>
      <c r="O17" s="16" t="n"/>
      <c r="P17" s="16" t="n"/>
      <c r="Q17" s="16" t="n"/>
      <c r="R17" s="13" t="inlineStr">
        <is>
          <t>Sim</t>
        </is>
      </c>
      <c r="S17" s="13" t="inlineStr"/>
      <c r="T17" s="13" t="inlineStr">
        <is>
          <t>Alta</t>
        </is>
      </c>
      <c r="U17" s="15" t="inlineStr">
        <is>
          <t>NOTAS FISCAIS DE COMPRA JANEIRO 2026.pdf - p. 64</t>
        </is>
      </c>
    </row>
    <row r="18">
      <c r="A18" s="13" t="inlineStr">
        <is>
          <t>JAN26-P065</t>
        </is>
      </c>
      <c r="B18" s="13" t="n">
        <v>65</v>
      </c>
      <c r="C18" s="13" t="inlineStr">
        <is>
          <t>57</t>
        </is>
      </c>
      <c r="D18" s="25" t="n">
        <v>46029</v>
      </c>
      <c r="E18" s="13" t="inlineStr">
        <is>
          <t>F J DE SOUSA REPRESENTACOES</t>
        </is>
      </c>
      <c r="F18" s="13" t="inlineStr">
        <is>
          <t>44.036.268/0001-59</t>
        </is>
      </c>
      <c r="G18" s="15" t="inlineStr">
        <is>
          <t>COMISSAO SOBRE VENDAS - DEZEMBRO/2025.</t>
        </is>
      </c>
      <c r="H18" s="16" t="n">
        <v>14232.77</v>
      </c>
      <c r="I18" s="16" t="n"/>
      <c r="J18" s="17" t="n"/>
      <c r="K18" s="16" t="n"/>
      <c r="L18" s="16" t="n"/>
      <c r="M18" s="16" t="n"/>
      <c r="N18" s="16" t="n"/>
      <c r="O18" s="16" t="n"/>
      <c r="P18" s="16" t="n"/>
      <c r="Q18" s="16" t="n"/>
      <c r="R18" s="13" t="inlineStr">
        <is>
          <t>Sim</t>
        </is>
      </c>
      <c r="S18" s="13" t="inlineStr"/>
      <c r="T18" s="13" t="inlineStr">
        <is>
          <t>Alta</t>
        </is>
      </c>
      <c r="U18" s="15" t="inlineStr">
        <is>
          <t>NOTAS FISCAIS DE COMPRA JANEIRO 2026.pdf - p. 65</t>
        </is>
      </c>
    </row>
    <row r="19">
      <c r="A19" s="13" t="inlineStr">
        <is>
          <t>JAN26-P066</t>
        </is>
      </c>
      <c r="B19" s="13" t="n">
        <v>66</v>
      </c>
      <c r="C19" s="13" t="inlineStr">
        <is>
          <t>32</t>
        </is>
      </c>
      <c r="D19" s="25" t="n">
        <v>46043</v>
      </c>
      <c r="E19" s="13" t="inlineStr">
        <is>
          <t>GRACILENE MARIA BEZERRA DOS SANTOS</t>
        </is>
      </c>
      <c r="F19" s="13" t="inlineStr">
        <is>
          <t>54.011.991/0001-37</t>
        </is>
      </c>
      <c r="G19" s="15" t="inlineStr">
        <is>
          <t>SERVICO DE PROMOCAO DE VENDAS. COMPETENCIA DEZEMBRO/2025.</t>
        </is>
      </c>
      <c r="H19" s="16" t="n">
        <v>4782.92</v>
      </c>
      <c r="I19" s="16" t="n"/>
      <c r="J19" s="17" t="n"/>
      <c r="K19" s="16" t="n"/>
      <c r="L19" s="16" t="n"/>
      <c r="M19" s="16" t="n"/>
      <c r="N19" s="16" t="n"/>
      <c r="O19" s="16" t="n"/>
      <c r="P19" s="16" t="n"/>
      <c r="Q19" s="16" t="n"/>
      <c r="R19" s="13" t="inlineStr">
        <is>
          <t>Sim</t>
        </is>
      </c>
      <c r="S19" s="13" t="inlineStr"/>
      <c r="T19" s="13" t="inlineStr">
        <is>
          <t>Alta</t>
        </is>
      </c>
      <c r="U19" s="15" t="inlineStr">
        <is>
          <t>NOTAS FISCAIS DE COMPRA JANEIRO 2026.pdf - p. 66</t>
        </is>
      </c>
    </row>
    <row r="20">
      <c r="A20" s="13" t="inlineStr">
        <is>
          <t>JAN26-P069</t>
        </is>
      </c>
      <c r="B20" s="13" t="n">
        <v>69</v>
      </c>
      <c r="C20" s="13" t="inlineStr">
        <is>
          <t>4</t>
        </is>
      </c>
      <c r="D20" s="25" t="n">
        <v>46048</v>
      </c>
      <c r="E20" s="13" t="inlineStr">
        <is>
          <t>JUVENCIO REPRESENTACOES LIMITADA</t>
        </is>
      </c>
      <c r="F20" s="13" t="inlineStr">
        <is>
          <t>07.352.685/0001-84</t>
        </is>
      </c>
      <c r="G20" s="15" t="inlineStr">
        <is>
          <t>COMISSAO SOBRE VENDAS REFERENTE AO MES DE DEZEMBRO DE 2025.</t>
        </is>
      </c>
      <c r="H20" s="16" t="n">
        <v>15662.93</v>
      </c>
      <c r="I20" s="16" t="n"/>
      <c r="J20" s="17" t="n"/>
      <c r="K20" s="16" t="n"/>
      <c r="L20" s="16" t="n"/>
      <c r="M20" s="16" t="n"/>
      <c r="N20" s="16" t="n"/>
      <c r="O20" s="16" t="n"/>
      <c r="P20" s="16" t="n"/>
      <c r="Q20" s="16" t="n"/>
      <c r="R20" s="13" t="inlineStr">
        <is>
          <t>Revisar</t>
        </is>
      </c>
      <c r="S20" s="13" t="inlineStr"/>
      <c r="T20" s="13" t="inlineStr">
        <is>
          <t>Alta</t>
        </is>
      </c>
      <c r="U20" s="15" t="inlineStr">
        <is>
          <t>NOTAS FISCAIS DE COMPRA JANEIRO 2026.pdf - p. 69</t>
        </is>
      </c>
    </row>
    <row r="21">
      <c r="A21" s="13" t="inlineStr">
        <is>
          <t>JAN26-P070</t>
        </is>
      </c>
      <c r="B21" s="13" t="n">
        <v>70</v>
      </c>
      <c r="C21" s="13" t="inlineStr">
        <is>
          <t>3</t>
        </is>
      </c>
      <c r="D21" s="25" t="n">
        <v>46030</v>
      </c>
      <c r="E21" s="13" t="inlineStr">
        <is>
          <t>JUVENCIO REPRESENTACOES LIMITADA</t>
        </is>
      </c>
      <c r="F21" s="13" t="inlineStr">
        <is>
          <t>07.352.685/0001-84</t>
        </is>
      </c>
      <c r="G21" s="15" t="inlineStr">
        <is>
          <t>COMISSAO SOBRE VENDAS REFERENTE AO MES DE DEZEMBRO DE 2025.</t>
        </is>
      </c>
      <c r="H21" s="16" t="n">
        <v>15662.93</v>
      </c>
      <c r="I21" s="16" t="n"/>
      <c r="J21" s="17" t="n"/>
      <c r="K21" s="16" t="n"/>
      <c r="L21" s="16" t="n"/>
      <c r="M21" s="16" t="n"/>
      <c r="N21" s="16" t="n"/>
      <c r="O21" s="16" t="n"/>
      <c r="P21" s="16" t="n"/>
      <c r="Q21" s="16" t="n"/>
      <c r="R21" s="13" t="inlineStr">
        <is>
          <t>Revisar</t>
        </is>
      </c>
      <c r="S21" s="13" t="inlineStr"/>
      <c r="T21" s="13" t="inlineStr">
        <is>
          <t>Alta</t>
        </is>
      </c>
      <c r="U21" s="15" t="inlineStr">
        <is>
          <t>NOTAS FISCAIS DE COMPRA JANEIRO 2026.pdf - p. 70</t>
        </is>
      </c>
    </row>
    <row r="22">
      <c r="A22" s="13" t="inlineStr">
        <is>
          <t>JAN26-P082</t>
        </is>
      </c>
      <c r="B22" s="13" t="n">
        <v>82</v>
      </c>
      <c r="C22" s="13" t="inlineStr">
        <is>
          <t>767</t>
        </is>
      </c>
      <c r="D22" s="25" t="n">
        <v>46036</v>
      </c>
      <c r="E22" s="13" t="inlineStr">
        <is>
          <t>EDWARD MOURA SOCIEDADE INDIVIDUAL DE ADVOCACIA</t>
        </is>
      </c>
      <c r="F22" s="13" t="inlineStr">
        <is>
          <t>09.244.087/0001-17</t>
        </is>
      </c>
      <c r="G22" s="15" t="inlineStr">
        <is>
          <t>HONORARIOS ADVOCATICIOS</t>
        </is>
      </c>
      <c r="H22" s="16" t="n">
        <v>4075</v>
      </c>
      <c r="I22" s="16" t="n"/>
      <c r="J22" s="17" t="n"/>
      <c r="K22" s="16" t="n">
        <v>4.07</v>
      </c>
      <c r="L22" s="16" t="n"/>
      <c r="M22" s="16" t="n"/>
      <c r="N22" s="16" t="n"/>
      <c r="O22" s="16" t="n"/>
      <c r="P22" s="16" t="n"/>
      <c r="Q22" s="16" t="n"/>
      <c r="R22" s="13" t="inlineStr">
        <is>
          <t>Sim</t>
        </is>
      </c>
      <c r="S22" s="13" t="inlineStr"/>
      <c r="T22" s="13" t="inlineStr">
        <is>
          <t>Alta</t>
        </is>
      </c>
      <c r="U22" s="15" t="inlineStr">
        <is>
          <t>NOTAS FISCAIS DE COMPRA JANEIRO 2026.pdf - p. 82</t>
        </is>
      </c>
    </row>
    <row r="23">
      <c r="A23" s="13" t="inlineStr">
        <is>
          <t>JAN26-P083</t>
        </is>
      </c>
      <c r="B23" s="13" t="n">
        <v>83</v>
      </c>
      <c r="C23" s="13" t="inlineStr">
        <is>
          <t>3331</t>
        </is>
      </c>
      <c r="D23" s="25" t="n">
        <v>46030</v>
      </c>
      <c r="E23" s="13" t="inlineStr">
        <is>
          <t>LCM CONSULTING AND INFORMATION SERVICES LTDA</t>
        </is>
      </c>
      <c r="F23" s="13" t="inlineStr">
        <is>
          <t>04.704.452/0001-05</t>
        </is>
      </c>
      <c r="G23" s="15" t="inlineStr">
        <is>
          <t>REFERENTE A PROPOSTA TOPI0027/2025, PROCEDIMENTO OPERACIONAL CREDITO E COBRANCA. PARCELA 01/03</t>
        </is>
      </c>
      <c r="H23" s="16" t="n">
        <v>9689.33</v>
      </c>
      <c r="I23" s="16" t="n"/>
      <c r="J23" s="17" t="n"/>
      <c r="K23" s="16" t="n">
        <v>9.880000000000001</v>
      </c>
      <c r="L23" s="16" t="n"/>
      <c r="M23" s="16" t="n"/>
      <c r="N23" s="16" t="n"/>
      <c r="O23" s="16" t="n"/>
      <c r="P23" s="16" t="n"/>
      <c r="Q23" s="16" t="n"/>
      <c r="R23" s="13" t="inlineStr">
        <is>
          <t>Sim</t>
        </is>
      </c>
      <c r="S23" s="13" t="inlineStr"/>
      <c r="T23" s="13" t="inlineStr">
        <is>
          <t>Alta</t>
        </is>
      </c>
      <c r="U23" s="15" t="inlineStr">
        <is>
          <t>NOTAS FISCAIS DE COMPRA JANEIRO 2026.pdf - p. 83</t>
        </is>
      </c>
    </row>
    <row r="24">
      <c r="A24" s="13" t="inlineStr">
        <is>
          <t>JAN26-P111</t>
        </is>
      </c>
      <c r="B24" s="13" t="n">
        <v>111</v>
      </c>
      <c r="C24" s="13" t="inlineStr">
        <is>
          <t>536943</t>
        </is>
      </c>
      <c r="D24" s="25" t="n">
        <v>46022</v>
      </c>
      <c r="E24" s="13" t="inlineStr">
        <is>
          <t>CONNECT INFORMACOES E TECNOLOGIA SA</t>
        </is>
      </c>
      <c r="F24" s="13" t="inlineStr">
        <is>
          <t>00.850.820/0001-72</t>
        </is>
      </c>
      <c r="G24" s="15" t="inlineStr">
        <is>
          <t>PROCESSAMENTO E GERENCIAMENTO DE COMUNICACAO DE DADOS PLATAFORMA CONNECTSA</t>
        </is>
      </c>
      <c r="H24" s="16" t="n">
        <v>460</v>
      </c>
      <c r="I24" s="16" t="n">
        <v>460</v>
      </c>
      <c r="J24" s="17" t="n">
        <v>0.02</v>
      </c>
      <c r="K24" s="16" t="n">
        <v>9.199999999999999</v>
      </c>
      <c r="L24" s="16" t="n"/>
      <c r="M24" s="16" t="n"/>
      <c r="N24" s="16" t="n"/>
      <c r="O24" s="16" t="n"/>
      <c r="P24" s="16" t="n"/>
      <c r="Q24" s="16" t="n"/>
      <c r="R24" s="13" t="inlineStr">
        <is>
          <t>Sim</t>
        </is>
      </c>
      <c r="S24" s="13" t="inlineStr"/>
      <c r="T24" s="13" t="inlineStr">
        <is>
          <t>Alta</t>
        </is>
      </c>
      <c r="U24" s="15" t="inlineStr">
        <is>
          <t>NOTAS FISCAIS DE COMPRA JANEIRO 2026.pdf - p. 111</t>
        </is>
      </c>
    </row>
    <row r="25">
      <c r="A25" s="13" t="inlineStr">
        <is>
          <t>JAN26-P113</t>
        </is>
      </c>
      <c r="B25" s="13" t="n">
        <v>113</v>
      </c>
      <c r="C25" s="13" t="inlineStr">
        <is>
          <t>22</t>
        </is>
      </c>
      <c r="D25" s="25" t="n">
        <v>46029</v>
      </c>
      <c r="E25" s="13" t="inlineStr">
        <is>
          <t>JORGE GUILHERME COSTA FERREIRA</t>
        </is>
      </c>
      <c r="F25" s="13" t="inlineStr">
        <is>
          <t>24.870.571/0001-45</t>
        </is>
      </c>
      <c r="G25" s="15" t="inlineStr">
        <is>
          <t>IMPLANTACAO DE PROJETO GOVERNANCA CORPORATIVA</t>
        </is>
      </c>
      <c r="H25" s="16" t="n">
        <v>500</v>
      </c>
      <c r="I25" s="16" t="n"/>
      <c r="J25" s="17" t="n"/>
      <c r="K25" s="16" t="n"/>
      <c r="L25" s="16" t="n"/>
      <c r="M25" s="16" t="n"/>
      <c r="N25" s="16" t="n"/>
      <c r="O25" s="16" t="n"/>
      <c r="P25" s="16" t="n"/>
      <c r="Q25" s="16" t="n"/>
      <c r="R25" s="13" t="inlineStr">
        <is>
          <t>Sim</t>
        </is>
      </c>
      <c r="S25" s="13" t="inlineStr"/>
      <c r="T25" s="13" t="inlineStr">
        <is>
          <t>Alta</t>
        </is>
      </c>
      <c r="U25" s="15" t="inlineStr">
        <is>
          <t>NOTAS FISCAIS DE COMPRA JANEIRO 2026.pdf - p. 113</t>
        </is>
      </c>
    </row>
    <row r="26">
      <c r="A26" s="13" t="inlineStr">
        <is>
          <t>JAN26-P131</t>
        </is>
      </c>
      <c r="B26" s="13" t="n">
        <v>131</v>
      </c>
      <c r="C26" s="13" t="inlineStr">
        <is>
          <t>167</t>
        </is>
      </c>
      <c r="D26" s="25" t="n">
        <v>46028</v>
      </c>
      <c r="E26" s="13" t="inlineStr">
        <is>
          <t>FENIX PRESTADORA DE SERVICOS LTDA</t>
        </is>
      </c>
      <c r="F26" s="13" t="inlineStr">
        <is>
          <t>51.998.593/0001-68</t>
        </is>
      </c>
      <c r="G26" s="15" t="inlineStr">
        <is>
          <t>PRESTACAO DE SERVICO LOCADO NA KALFIX EM TERESINA - PI. SERVICO DE AGENTE DE PORTARIA REFERENTE AO MES DE DEZEMBRO DE 2025.</t>
        </is>
      </c>
      <c r="H26" s="16" t="n">
        <v>8175</v>
      </c>
      <c r="I26" s="16" t="n"/>
      <c r="J26" s="17" t="n"/>
      <c r="K26" s="16" t="n"/>
      <c r="L26" s="16" t="n"/>
      <c r="M26" s="16" t="n"/>
      <c r="N26" s="16" t="n"/>
      <c r="O26" s="16" t="n"/>
      <c r="P26" s="16" t="n"/>
      <c r="Q26" s="16" t="n"/>
      <c r="R26" s="13" t="inlineStr">
        <is>
          <t>Sim</t>
        </is>
      </c>
      <c r="S26" s="13" t="inlineStr"/>
      <c r="T26" s="13" t="inlineStr">
        <is>
          <t>Alta</t>
        </is>
      </c>
      <c r="U26" s="15" t="inlineStr">
        <is>
          <t>NOTAS FISCAIS DE COMPRA JANEIRO 2026.pdf - p. 131</t>
        </is>
      </c>
    </row>
    <row r="27">
      <c r="A27" s="13" t="inlineStr">
        <is>
          <t>JAN26-P132</t>
        </is>
      </c>
      <c r="B27" s="13" t="n">
        <v>132</v>
      </c>
      <c r="C27" s="13" t="inlineStr">
        <is>
          <t>166</t>
        </is>
      </c>
      <c r="D27" s="25" t="n">
        <v>46028</v>
      </c>
      <c r="E27" s="13" t="inlineStr">
        <is>
          <t>FENIX PRESTADORA DE SERVICOS LTDA</t>
        </is>
      </c>
      <c r="F27" s="13" t="inlineStr">
        <is>
          <t>51.998.593/0001-68</t>
        </is>
      </c>
      <c r="G27" s="15" t="inlineStr">
        <is>
          <t>PRESTACAO DE SERVICO LOCADO NA CIMEX EM TERESINA - PI. SERVICO DE AGENTE DE PORTARIA REFERENTE AO MES DE DEZEMBRO DE 2025.</t>
        </is>
      </c>
      <c r="H27" s="16" t="n">
        <v>8175</v>
      </c>
      <c r="I27" s="16" t="n"/>
      <c r="J27" s="17" t="n"/>
      <c r="K27" s="16" t="n"/>
      <c r="L27" s="16" t="n"/>
      <c r="M27" s="16" t="n"/>
      <c r="N27" s="16" t="n"/>
      <c r="O27" s="16" t="n"/>
      <c r="P27" s="16" t="n"/>
      <c r="Q27" s="16" t="n"/>
      <c r="R27" s="13" t="inlineStr">
        <is>
          <t>Sim</t>
        </is>
      </c>
      <c r="S27" s="13" t="inlineStr"/>
      <c r="T27" s="13" t="inlineStr">
        <is>
          <t>Alta</t>
        </is>
      </c>
      <c r="U27" s="15" t="inlineStr">
        <is>
          <t>NOTAS FISCAIS DE COMPRA JANEIRO 2026.pdf - p. 132</t>
        </is>
      </c>
    </row>
    <row r="28">
      <c r="A28" s="13" t="inlineStr">
        <is>
          <t>JAN26-P133</t>
        </is>
      </c>
      <c r="B28" s="13" t="n">
        <v>133</v>
      </c>
      <c r="C28" s="13" t="inlineStr">
        <is>
          <t>22</t>
        </is>
      </c>
      <c r="D28" s="25" t="n">
        <v>46034</v>
      </c>
      <c r="E28" s="13" t="inlineStr">
        <is>
          <t>EMERSON CANDIDO DE AQUINO 56476779320</t>
        </is>
      </c>
      <c r="F28" s="13" t="inlineStr">
        <is>
          <t>45.264.826/0001-04</t>
        </is>
      </c>
      <c r="G28" s="15" t="inlineStr">
        <is>
          <t>SERVICO PRESTADO DE ENTREGA DE MERCADORIA</t>
        </is>
      </c>
      <c r="H28" s="16" t="n">
        <v>2000</v>
      </c>
      <c r="I28" s="16" t="n"/>
      <c r="J28" s="17" t="n"/>
      <c r="K28" s="16" t="n"/>
      <c r="L28" s="16" t="n"/>
      <c r="M28" s="16" t="n"/>
      <c r="N28" s="16" t="n"/>
      <c r="O28" s="16" t="n"/>
      <c r="P28" s="16" t="n"/>
      <c r="Q28" s="16" t="n"/>
      <c r="R28" s="13" t="inlineStr">
        <is>
          <t>Sim</t>
        </is>
      </c>
      <c r="S28" s="13" t="inlineStr"/>
      <c r="T28" s="13" t="inlineStr">
        <is>
          <t>Alta</t>
        </is>
      </c>
      <c r="U28" s="15" t="inlineStr">
        <is>
          <t>NOTAS FISCAIS DE COMPRA JANEIRO 2026.pdf - p. 133</t>
        </is>
      </c>
    </row>
    <row r="29">
      <c r="A29" s="13" t="inlineStr">
        <is>
          <t>JAN26-P135</t>
        </is>
      </c>
      <c r="B29" s="13" t="n">
        <v>135</v>
      </c>
      <c r="C29" s="13" t="inlineStr">
        <is>
          <t>16004</t>
        </is>
      </c>
      <c r="D29" s="25" t="n">
        <v>46010</v>
      </c>
      <c r="E29" s="13" t="inlineStr">
        <is>
          <t>LENCO CENTRO DE CONTROLE TECNOLOGICO LTDA</t>
        </is>
      </c>
      <c r="F29" s="13" t="inlineStr">
        <is>
          <t>11.257.580/0001-13</t>
        </is>
      </c>
      <c r="G29" s="15" t="inlineStr">
        <is>
          <t>SERVICO PRESTADO DE ENSAIO - ARGAMASSA DE REJUNTAMENTO ACRILICO BRANCO TIPO II LOTE KAL0925</t>
        </is>
      </c>
      <c r="H29" s="16" t="n">
        <v>750</v>
      </c>
      <c r="I29" s="16" t="n">
        <v>750</v>
      </c>
      <c r="J29" s="17" t="n">
        <v>0.05</v>
      </c>
      <c r="K29" s="16" t="n">
        <v>37.5</v>
      </c>
      <c r="L29" s="16" t="n">
        <v>11.25</v>
      </c>
      <c r="M29" s="16" t="n">
        <v>7.5</v>
      </c>
      <c r="N29" s="16" t="n">
        <v>4.88</v>
      </c>
      <c r="O29" s="16" t="n">
        <v>22.5</v>
      </c>
      <c r="P29" s="16" t="n"/>
      <c r="Q29" s="16" t="n"/>
      <c r="R29" s="13" t="inlineStr">
        <is>
          <t>Sim</t>
        </is>
      </c>
      <c r="S29" s="13" t="inlineStr"/>
      <c r="T29" s="13" t="inlineStr">
        <is>
          <t>Alta</t>
        </is>
      </c>
      <c r="U29" s="15" t="inlineStr">
        <is>
          <t>NOTAS FISCAIS DE COMPRA JANEIRO 2026.pdf - p. 135</t>
        </is>
      </c>
    </row>
    <row r="30">
      <c r="A30" s="13" t="inlineStr">
        <is>
          <t>JAN26-P136</t>
        </is>
      </c>
      <c r="B30" s="13" t="n">
        <v>136</v>
      </c>
      <c r="C30" s="13" t="inlineStr">
        <is>
          <t>3320</t>
        </is>
      </c>
      <c r="D30" s="25" t="n">
        <v>46029</v>
      </c>
      <c r="E30" s="13" t="inlineStr">
        <is>
          <t>LCM CONSULTING AND INFORMATION SERVICES LTDA</t>
        </is>
      </c>
      <c r="F30" s="13" t="inlineStr">
        <is>
          <t>04.704.452/0001-05</t>
        </is>
      </c>
      <c r="G30" s="15" t="inlineStr">
        <is>
          <t>REFERENTE AOS SERVICOS PRESTADOS NO MES DE DEZEMBRO/2025</t>
        </is>
      </c>
      <c r="H30" s="16" t="n">
        <v>1788.75</v>
      </c>
      <c r="I30" s="16" t="n"/>
      <c r="J30" s="17" t="n"/>
      <c r="K30" s="16" t="n"/>
      <c r="L30" s="16" t="n"/>
      <c r="M30" s="16" t="n"/>
      <c r="N30" s="16" t="n"/>
      <c r="O30" s="16" t="n"/>
      <c r="P30" s="16" t="n"/>
      <c r="Q30" s="16" t="n"/>
      <c r="R30" s="13" t="inlineStr">
        <is>
          <t>Sim</t>
        </is>
      </c>
      <c r="S30" s="13" t="inlineStr"/>
      <c r="T30" s="13" t="inlineStr">
        <is>
          <t>Alta</t>
        </is>
      </c>
      <c r="U30" s="15" t="inlineStr">
        <is>
          <t>NOTAS FISCAIS DE COMPRA JANEIRO 2026.pdf - p. 136</t>
        </is>
      </c>
    </row>
    <row r="31">
      <c r="A31" s="13" t="inlineStr">
        <is>
          <t>JAN26-P143</t>
        </is>
      </c>
      <c r="B31" s="13" t="n">
        <v>143</v>
      </c>
      <c r="C31" s="13" t="inlineStr">
        <is>
          <t>3</t>
        </is>
      </c>
      <c r="D31" s="25" t="n">
        <v>46030</v>
      </c>
      <c r="E31" s="13" t="inlineStr">
        <is>
          <t>MICHELA MEDEIROS FRANCO</t>
        </is>
      </c>
      <c r="F31" s="13" t="inlineStr">
        <is>
          <t>64.060.822/0001-40</t>
        </is>
      </c>
      <c r="G31" s="15" t="inlineStr">
        <is>
          <t>SERVICO PRESTADO REF. AO MES DE DEZEMBRO/2025</t>
        </is>
      </c>
      <c r="H31" s="16" t="n">
        <v>4800</v>
      </c>
      <c r="I31" s="16" t="n"/>
      <c r="J31" s="17" t="n"/>
      <c r="K31" s="16" t="n"/>
      <c r="L31" s="16" t="n"/>
      <c r="M31" s="16" t="n"/>
      <c r="N31" s="16" t="n"/>
      <c r="O31" s="16" t="n"/>
      <c r="P31" s="16" t="n"/>
      <c r="Q31" s="16" t="n"/>
      <c r="R31" s="13" t="inlineStr">
        <is>
          <t>Sim</t>
        </is>
      </c>
      <c r="S31" s="13" t="inlineStr"/>
      <c r="T31" s="13" t="inlineStr">
        <is>
          <t>Alta</t>
        </is>
      </c>
      <c r="U31" s="15" t="inlineStr">
        <is>
          <t>NOTAS FISCAIS DE COMPRA JANEIRO 2026.pdf - p. 143</t>
        </is>
      </c>
    </row>
    <row r="32">
      <c r="A32" s="13" t="inlineStr">
        <is>
          <t>JAN26-P144</t>
        </is>
      </c>
      <c r="B32" s="13" t="n">
        <v>144</v>
      </c>
      <c r="C32" s="13" t="inlineStr">
        <is>
          <t>18513</t>
        </is>
      </c>
      <c r="D32" s="25" t="n">
        <v>46000</v>
      </c>
      <c r="E32" s="13" t="inlineStr">
        <is>
          <t>VANGUARD PECAS E SERVICOS AUTOMOTIVOS LTDA</t>
        </is>
      </c>
      <c r="F32" s="13" t="inlineStr">
        <is>
          <t>10.708.117/0001-88</t>
        </is>
      </c>
      <c r="G32" s="15" t="inlineStr">
        <is>
          <t>SERVICO DE AFERICAO DE TACOGRAFO R$58,62; SELAGEM R$68,94; ENSAIO R$142,44.</t>
        </is>
      </c>
      <c r="H32" s="16" t="n">
        <v>270</v>
      </c>
      <c r="I32" s="16" t="n">
        <v>270</v>
      </c>
      <c r="J32" s="17" t="n">
        <v>0.05</v>
      </c>
      <c r="K32" s="16" t="n">
        <v>13.5</v>
      </c>
      <c r="L32" s="16" t="n"/>
      <c r="M32" s="16" t="n"/>
      <c r="N32" s="16" t="n"/>
      <c r="O32" s="16" t="n"/>
      <c r="P32" s="16" t="n"/>
      <c r="Q32" s="16" t="n"/>
      <c r="R32" s="13" t="inlineStr">
        <is>
          <t>Sim</t>
        </is>
      </c>
      <c r="S32" s="13" t="inlineStr"/>
      <c r="T32" s="13" t="inlineStr">
        <is>
          <t>Alta</t>
        </is>
      </c>
      <c r="U32" s="15" t="inlineStr">
        <is>
          <t>NOTAS FISCAIS DE COMPRA JANEIRO 2026.pdf - p. 144</t>
        </is>
      </c>
    </row>
    <row r="33">
      <c r="A33" s="13" t="inlineStr">
        <is>
          <t>JAN26-P145</t>
        </is>
      </c>
      <c r="B33" s="13" t="n">
        <v>145</v>
      </c>
      <c r="C33" s="13" t="inlineStr">
        <is>
          <t>9</t>
        </is>
      </c>
      <c r="D33" s="25" t="n">
        <v>46030</v>
      </c>
      <c r="E33" s="13" t="inlineStr">
        <is>
          <t>MARCEL DE MOURA GOMES LTDA</t>
        </is>
      </c>
      <c r="F33" s="13" t="inlineStr">
        <is>
          <t>55.944.213/0001-63</t>
        </is>
      </c>
      <c r="G33" s="15" t="inlineStr">
        <is>
          <t>PRESTACAO DE SERVICOS DE DIVULGACAO DE MARCA KALFIX</t>
        </is>
      </c>
      <c r="H33" s="16" t="n">
        <v>3000</v>
      </c>
      <c r="I33" s="16" t="n">
        <v>3000</v>
      </c>
      <c r="J33" s="17" t="n">
        <v>0.05</v>
      </c>
      <c r="K33" s="16" t="n">
        <v>150</v>
      </c>
      <c r="L33" s="16" t="n"/>
      <c r="M33" s="16" t="n"/>
      <c r="N33" s="16" t="n"/>
      <c r="O33" s="16" t="n"/>
      <c r="P33" s="16" t="n"/>
      <c r="Q33" s="16" t="n"/>
      <c r="R33" s="13" t="inlineStr">
        <is>
          <t>Sim</t>
        </is>
      </c>
      <c r="S33" s="13" t="inlineStr"/>
      <c r="T33" s="13" t="inlineStr">
        <is>
          <t>Alta</t>
        </is>
      </c>
      <c r="U33" s="15" t="inlineStr">
        <is>
          <t>NOTAS FISCAIS DE COMPRA JANEIRO 2026.pdf - p. 145</t>
        </is>
      </c>
    </row>
    <row r="34">
      <c r="A34" s="13" t="inlineStr">
        <is>
          <t>JAN26-P154</t>
        </is>
      </c>
      <c r="B34" s="13" t="n">
        <v>154</v>
      </c>
      <c r="C34" s="13" t="inlineStr">
        <is>
          <t>3992/U</t>
        </is>
      </c>
      <c r="D34" s="25" t="n">
        <v>46023</v>
      </c>
      <c r="E34" s="13" t="inlineStr">
        <is>
          <t>R F DAS B LEMOS - ME</t>
        </is>
      </c>
      <c r="F34" s="13" t="inlineStr">
        <is>
          <t>08.871.746/0001-90</t>
        </is>
      </c>
      <c r="G34" s="15" t="inlineStr">
        <is>
          <t>Monitoramento de sistemas de segurança.</t>
        </is>
      </c>
      <c r="H34" s="16" t="n">
        <v>751.47</v>
      </c>
      <c r="I34" s="16" t="n"/>
      <c r="J34" s="17" t="n"/>
      <c r="K34" s="16" t="n">
        <v>37.57</v>
      </c>
      <c r="L34" s="16" t="n"/>
      <c r="M34" s="16" t="n"/>
      <c r="N34" s="16" t="n"/>
      <c r="O34" s="16" t="n"/>
      <c r="P34" s="16" t="n"/>
      <c r="Q34" s="16" t="n"/>
      <c r="R34" s="13" t="inlineStr">
        <is>
          <t>Sim</t>
        </is>
      </c>
      <c r="S34" s="13" t="inlineStr"/>
      <c r="T34" s="13" t="inlineStr">
        <is>
          <t>Media</t>
        </is>
      </c>
      <c r="U34" s="15" t="inlineStr">
        <is>
          <t>NOTAS FISCAIS DE COMPRA JANEIRO 2026.pdf - p. 154</t>
        </is>
      </c>
    </row>
    <row r="35">
      <c r="A35" s="13" t="inlineStr">
        <is>
          <t>JAN26-P155</t>
        </is>
      </c>
      <c r="B35" s="13" t="n">
        <v>155</v>
      </c>
      <c r="C35" s="13" t="inlineStr"/>
      <c r="D35" s="25" t="n"/>
      <c r="E35" s="13" t="inlineStr">
        <is>
          <t>snessonaonene3 ‘KAL ENGENHARIA NUSTRIAE COMERCIOLTOA</t>
        </is>
      </c>
      <c r="F35" s="13" t="inlineStr"/>
      <c r="G35" s="15" t="inlineStr"/>
      <c r="H35" s="16" t="n"/>
      <c r="I35" s="16" t="n"/>
      <c r="J35" s="17" t="n"/>
      <c r="K35" s="16" t="n"/>
      <c r="L35" s="16" t="n"/>
      <c r="M35" s="16" t="n"/>
      <c r="N35" s="16" t="n"/>
      <c r="O35" s="16" t="n"/>
      <c r="P35" s="16" t="n"/>
      <c r="Q35" s="16" t="n"/>
      <c r="R35" s="13" t="inlineStr">
        <is>
          <t>Revisar</t>
        </is>
      </c>
      <c r="S35" s="13" t="inlineStr"/>
      <c r="T35" s="13" t="inlineStr">
        <is>
          <t>Baixa</t>
        </is>
      </c>
      <c r="U35" s="15" t="inlineStr">
        <is>
          <t>NOTAS FISCAIS DE COMPRA JANEIRO 2026.pdf - p. 155</t>
        </is>
      </c>
    </row>
    <row r="36">
      <c r="A36" s="13" t="inlineStr">
        <is>
          <t>JAN26-P157</t>
        </is>
      </c>
      <c r="B36" s="13" t="n">
        <v>157</v>
      </c>
      <c r="C36" s="13" t="inlineStr">
        <is>
          <t>154628/U</t>
        </is>
      </c>
      <c r="D36" s="25" t="n">
        <v>46023</v>
      </c>
      <c r="E36" s="13" t="inlineStr">
        <is>
          <t>NATUS AMBIENTAL LTDA</t>
        </is>
      </c>
      <c r="F36" s="13" t="inlineStr">
        <is>
          <t>12.710.740/0001-09</t>
        </is>
      </c>
      <c r="G36" s="15" t="inlineStr">
        <is>
          <t>Coleta de resíduos.</t>
        </is>
      </c>
      <c r="H36" s="16" t="n">
        <v>1265.53</v>
      </c>
      <c r="I36" s="16" t="n"/>
      <c r="J36" s="17" t="n"/>
      <c r="K36" s="16" t="n">
        <v>37.96</v>
      </c>
      <c r="L36" s="16" t="n"/>
      <c r="M36" s="16" t="n"/>
      <c r="N36" s="16" t="n"/>
      <c r="O36" s="16" t="n"/>
      <c r="P36" s="16" t="n"/>
      <c r="Q36" s="16" t="n"/>
      <c r="R36" s="13" t="inlineStr">
        <is>
          <t>Sim</t>
        </is>
      </c>
      <c r="S36" s="13" t="inlineStr"/>
      <c r="T36" s="13" t="inlineStr">
        <is>
          <t>Baixa</t>
        </is>
      </c>
      <c r="U36" s="15" t="inlineStr">
        <is>
          <t>NOTAS FISCAIS DE COMPRA JANEIRO 2026.pdf - p. 157</t>
        </is>
      </c>
    </row>
    <row r="37">
      <c r="A37" s="13" t="inlineStr">
        <is>
          <t>JAN26-P158</t>
        </is>
      </c>
      <c r="B37" s="13" t="n">
        <v>158</v>
      </c>
      <c r="C37" s="13" t="inlineStr">
        <is>
          <t>154627/U</t>
        </is>
      </c>
      <c r="D37" s="25" t="n">
        <v>46023</v>
      </c>
      <c r="E37" s="13" t="inlineStr">
        <is>
          <t>NATUS AMBIENTAL LTDA</t>
        </is>
      </c>
      <c r="F37" s="13" t="inlineStr">
        <is>
          <t>12.710.740/0001-09</t>
        </is>
      </c>
      <c r="G37" s="15" t="inlineStr">
        <is>
          <t>Tratamento e disposição de efluentes/resíduos.</t>
        </is>
      </c>
      <c r="H37" s="16" t="n">
        <v>250.57</v>
      </c>
      <c r="I37" s="16" t="n"/>
      <c r="J37" s="17" t="n"/>
      <c r="K37" s="16" t="n">
        <v>7.51</v>
      </c>
      <c r="L37" s="16" t="n"/>
      <c r="M37" s="16" t="n"/>
      <c r="N37" s="16" t="n"/>
      <c r="O37" s="16" t="n"/>
      <c r="P37" s="16" t="n"/>
      <c r="Q37" s="16" t="n"/>
      <c r="R37" s="13" t="inlineStr">
        <is>
          <t>Sim</t>
        </is>
      </c>
      <c r="S37" s="13" t="inlineStr"/>
      <c r="T37" s="13" t="inlineStr">
        <is>
          <t>Media</t>
        </is>
      </c>
      <c r="U37" s="15" t="inlineStr">
        <is>
          <t>NOTAS FISCAIS DE COMPRA JANEIRO 2026.pdf - p. 158</t>
        </is>
      </c>
    </row>
    <row r="38">
      <c r="A38" s="13" t="inlineStr">
        <is>
          <t>JAN26-P159</t>
        </is>
      </c>
      <c r="B38" s="13" t="n">
        <v>159</v>
      </c>
      <c r="C38" s="13" t="inlineStr">
        <is>
          <t>21</t>
        </is>
      </c>
      <c r="D38" s="25" t="n">
        <v>46024</v>
      </c>
      <c r="E38" s="13" t="inlineStr">
        <is>
          <t>24.870.571 JORGE GUILHERME COSTA FERREIRA</t>
        </is>
      </c>
      <c r="F38" s="13" t="inlineStr">
        <is>
          <t>24.870.571/0001-45</t>
        </is>
      </c>
      <c r="G38" s="15" t="inlineStr">
        <is>
          <t>Serviço de Gerenciamento Financeiro.</t>
        </is>
      </c>
      <c r="H38" s="16" t="n">
        <v>7000</v>
      </c>
      <c r="I38" s="16" t="n"/>
      <c r="J38" s="17" t="n"/>
      <c r="K38" s="16" t="n"/>
      <c r="L38" s="16" t="n"/>
      <c r="M38" s="16" t="n"/>
      <c r="N38" s="16" t="n"/>
      <c r="O38" s="16" t="n"/>
      <c r="P38" s="16" t="n"/>
      <c r="Q38" s="16" t="n"/>
      <c r="R38" s="13" t="inlineStr">
        <is>
          <t>Sim</t>
        </is>
      </c>
      <c r="S38" s="13" t="inlineStr"/>
      <c r="T38" s="13" t="inlineStr">
        <is>
          <t>Baixa</t>
        </is>
      </c>
      <c r="U38" s="15" t="inlineStr">
        <is>
          <t>NOTAS FISCAIS DE COMPRA JANEIRO 2026.pdf - p. 159</t>
        </is>
      </c>
    </row>
    <row r="39">
      <c r="A39" s="13" t="inlineStr">
        <is>
          <t>JAN26-P162</t>
        </is>
      </c>
      <c r="B39" s="13" t="n">
        <v>162</v>
      </c>
      <c r="C39" s="13" t="inlineStr"/>
      <c r="D39" s="25" t="n"/>
      <c r="E39" s="13" t="inlineStr">
        <is>
          <t>[:-Xasmceac cons has anspor car seiniano om moet uaa cupwbr ma eka cusp ovo</t>
        </is>
      </c>
      <c r="F39" s="13" t="inlineStr"/>
      <c r="G39" s="15" t="inlineStr"/>
      <c r="H39" s="16" t="n"/>
      <c r="I39" s="16" t="n"/>
      <c r="J39" s="17" t="n"/>
      <c r="K39" s="16" t="n"/>
      <c r="L39" s="16" t="n"/>
      <c r="M39" s="16" t="n"/>
      <c r="N39" s="16" t="n"/>
      <c r="O39" s="16" t="n"/>
      <c r="P39" s="16" t="n"/>
      <c r="Q39" s="16" t="n"/>
      <c r="R39" s="13" t="inlineStr">
        <is>
          <t>Revisar</t>
        </is>
      </c>
      <c r="S39" s="13" t="inlineStr"/>
      <c r="T39" s="13" t="inlineStr">
        <is>
          <t>Baixa</t>
        </is>
      </c>
      <c r="U39" s="15" t="inlineStr">
        <is>
          <t>NOTAS FISCAIS DE COMPRA JANEIRO 2026.pdf - p. 162</t>
        </is>
      </c>
    </row>
    <row r="40">
      <c r="A40" s="13" t="inlineStr">
        <is>
          <t>JAN26-P163</t>
        </is>
      </c>
      <c r="B40" s="13" t="n">
        <v>163</v>
      </c>
      <c r="C40" s="13" t="inlineStr"/>
      <c r="D40" s="25" t="n"/>
      <c r="E40" s="13" t="inlineStr">
        <is>
          <t>PORTARIA HOMES DE OEZEMBRO DE 2026, LOCADOS EM TERESINA,</t>
        </is>
      </c>
      <c r="F40" s="13" t="inlineStr"/>
      <c r="G40" s="15" t="inlineStr"/>
      <c r="H40" s="16" t="n"/>
      <c r="I40" s="16" t="n"/>
      <c r="J40" s="17" t="n"/>
      <c r="K40" s="16" t="n"/>
      <c r="L40" s="16" t="n"/>
      <c r="M40" s="16" t="n"/>
      <c r="N40" s="16" t="n"/>
      <c r="O40" s="16" t="n"/>
      <c r="P40" s="16" t="n"/>
      <c r="Q40" s="16" t="n"/>
      <c r="R40" s="13" t="inlineStr">
        <is>
          <t>Revisar</t>
        </is>
      </c>
      <c r="S40" s="13" t="inlineStr"/>
      <c r="T40" s="13" t="inlineStr">
        <is>
          <t>Baixa</t>
        </is>
      </c>
      <c r="U40" s="15" t="inlineStr">
        <is>
          <t>NOTAS FISCAIS DE COMPRA JANEIRO 2026.pdf - p. 163</t>
        </is>
      </c>
    </row>
    <row r="41">
      <c r="A41" s="13" t="inlineStr">
        <is>
          <t>JAN26-P164</t>
        </is>
      </c>
      <c r="B41" s="13" t="n">
        <v>164</v>
      </c>
      <c r="C41" s="13" t="inlineStr"/>
      <c r="D41" s="25" t="n"/>
      <c r="E41" s="13" t="inlineStr">
        <is>
          <t>[FRESTAGKO DE SERVICO FINAIS DE SEMANA E FERIADOS REFERENTE AO UES DE DEZENGRO OF 725, LOCADOS EM TERI Sar |</t>
        </is>
      </c>
      <c r="F41" s="13" t="inlineStr"/>
      <c r="G41" s="15" t="inlineStr"/>
      <c r="H41" s="16" t="n"/>
      <c r="I41" s="16" t="n"/>
      <c r="J41" s="17" t="n"/>
      <c r="K41" s="16" t="n"/>
      <c r="L41" s="16" t="n"/>
      <c r="M41" s="16" t="n"/>
      <c r="N41" s="16" t="n"/>
      <c r="O41" s="16" t="n"/>
      <c r="P41" s="16" t="n"/>
      <c r="Q41" s="16" t="n"/>
      <c r="R41" s="13" t="inlineStr">
        <is>
          <t>Revisar</t>
        </is>
      </c>
      <c r="S41" s="13" t="inlineStr"/>
      <c r="T41" s="13" t="inlineStr">
        <is>
          <t>Baixa</t>
        </is>
      </c>
      <c r="U41" s="15" t="inlineStr">
        <is>
          <t>NOTAS FISCAIS DE COMPRA JANEIRO 2026.pdf - p. 164</t>
        </is>
      </c>
    </row>
    <row r="42">
      <c r="A42" s="13" t="inlineStr">
        <is>
          <t>JAN26-P169</t>
        </is>
      </c>
      <c r="B42" s="13" t="n">
        <v>169</v>
      </c>
      <c r="C42" s="13" t="inlineStr"/>
      <c r="D42" s="25" t="n"/>
      <c r="E42" s="13" t="inlineStr">
        <is>
          <t>IV WHISOM ROSADO DE SA, 9, KM 412. BALA0S, AEROPORTO —-MOBSORO. RN 50607-260</t>
        </is>
      </c>
      <c r="F42" s="13" t="inlineStr"/>
      <c r="G42" s="15" t="inlineStr"/>
      <c r="H42" s="16" t="n"/>
      <c r="I42" s="16" t="n"/>
      <c r="J42" s="17" t="n"/>
      <c r="K42" s="16" t="n"/>
      <c r="L42" s="16" t="n"/>
      <c r="M42" s="16" t="n"/>
      <c r="N42" s="16" t="n"/>
      <c r="O42" s="16" t="n"/>
      <c r="P42" s="16" t="n"/>
      <c r="Q42" s="16" t="n"/>
      <c r="R42" s="13" t="inlineStr">
        <is>
          <t>Revisar</t>
        </is>
      </c>
      <c r="S42" s="13" t="inlineStr"/>
      <c r="T42" s="13" t="inlineStr">
        <is>
          <t>Baixa</t>
        </is>
      </c>
      <c r="U42" s="15" t="inlineStr">
        <is>
          <t>NOTAS FISCAIS DE COMPRA JANEIRO 2026.pdf - p. 169</t>
        </is>
      </c>
    </row>
    <row r="43">
      <c r="A43" s="13" t="inlineStr">
        <is>
          <t>JAN26-P174</t>
        </is>
      </c>
      <c r="B43" s="13" t="n">
        <v>174</v>
      </c>
      <c r="C43" s="13" t="inlineStr">
        <is>
          <t>242/U</t>
        </is>
      </c>
      <c r="D43" s="25" t="n">
        <v>46053</v>
      </c>
      <c r="E43" s="13" t="inlineStr">
        <is>
          <t>BOA VISTA AUTO ELETRICA LTDA</t>
        </is>
      </c>
      <c r="F43" s="13" t="inlineStr">
        <is>
          <t>18.414.737/0001-16</t>
        </is>
      </c>
      <c r="G43" s="15" t="inlineStr">
        <is>
          <t>Serviço em motor de partida.</t>
        </is>
      </c>
      <c r="H43" s="16" t="n">
        <v>1426</v>
      </c>
      <c r="I43" s="16" t="n"/>
      <c r="J43" s="17" t="n"/>
      <c r="K43" s="16" t="n"/>
      <c r="L43" s="16" t="n"/>
      <c r="M43" s="16" t="n"/>
      <c r="N43" s="16" t="n"/>
      <c r="O43" s="16" t="n"/>
      <c r="P43" s="16" t="n"/>
      <c r="Q43" s="16" t="n"/>
      <c r="R43" s="13" t="inlineStr">
        <is>
          <t>Sim</t>
        </is>
      </c>
      <c r="S43" s="13" t="inlineStr"/>
      <c r="T43" s="13" t="inlineStr">
        <is>
          <t>Baixa</t>
        </is>
      </c>
      <c r="U43" s="15" t="inlineStr">
        <is>
          <t>NOTAS FISCAIS DE COMPRA JANEIRO 2026.pdf - p. 174</t>
        </is>
      </c>
    </row>
    <row r="44">
      <c r="A44" s="13" t="inlineStr">
        <is>
          <t>JAN26-P175</t>
        </is>
      </c>
      <c r="B44" s="13" t="n">
        <v>175</v>
      </c>
      <c r="C44" s="13" t="inlineStr"/>
      <c r="D44" s="25" t="n"/>
      <c r="E44" s="13" t="inlineStr">
        <is>
          <t>£620-008-00- SERVICOS DE MANUTENCAQ E REPARACAD ELETRICA OE VENCULOS AUTOMOTORES.</t>
        </is>
      </c>
      <c r="F44" s="13" t="inlineStr"/>
      <c r="G44" s="15" t="inlineStr"/>
      <c r="H44" s="16" t="n"/>
      <c r="I44" s="16" t="n"/>
      <c r="J44" s="17" t="n"/>
      <c r="K44" s="16" t="n"/>
      <c r="L44" s="16" t="n"/>
      <c r="M44" s="16" t="n"/>
      <c r="N44" s="16" t="n"/>
      <c r="O44" s="16" t="n"/>
      <c r="P44" s="16" t="n"/>
      <c r="Q44" s="16" t="n"/>
      <c r="R44" s="13" t="inlineStr">
        <is>
          <t>Revisar</t>
        </is>
      </c>
      <c r="S44" s="13" t="inlineStr"/>
      <c r="T44" s="13" t="inlineStr">
        <is>
          <t>Baixa</t>
        </is>
      </c>
      <c r="U44" s="15" t="inlineStr">
        <is>
          <t>NOTAS FISCAIS DE COMPRA JANEIRO 2026.pdf - p. 175</t>
        </is>
      </c>
    </row>
    <row r="45">
      <c r="A45" s="13" t="inlineStr">
        <is>
          <t>JAN26-P185</t>
        </is>
      </c>
      <c r="B45" s="13" t="n">
        <v>185</v>
      </c>
      <c r="C45" s="13" t="inlineStr"/>
      <c r="D45" s="25" t="n"/>
      <c r="E45" s="13" t="inlineStr">
        <is>
          <t>altidate fo SOK arheipte ds ecoencia 8015081 aspanasil sao rncoktmame So1$80H |</t>
        </is>
      </c>
      <c r="F45" s="13" t="inlineStr"/>
      <c r="G45" s="15" t="inlineStr"/>
      <c r="H45" s="16" t="n"/>
      <c r="I45" s="16" t="n"/>
      <c r="J45" s="17" t="n"/>
      <c r="K45" s="16" t="n"/>
      <c r="L45" s="16" t="n"/>
      <c r="M45" s="16" t="n"/>
      <c r="N45" s="16" t="n"/>
      <c r="O45" s="16" t="n"/>
      <c r="P45" s="16" t="n"/>
      <c r="Q45" s="16" t="n"/>
      <c r="R45" s="13" t="inlineStr">
        <is>
          <t>Revisar</t>
        </is>
      </c>
      <c r="S45" s="13" t="inlineStr"/>
      <c r="T45" s="13" t="inlineStr">
        <is>
          <t>Baixa</t>
        </is>
      </c>
      <c r="U45" s="15" t="inlineStr">
        <is>
          <t>NOTAS FISCAIS DE COMPRA JANEIRO 2026.pdf - p. 185</t>
        </is>
      </c>
    </row>
    <row r="46">
      <c r="A46" s="13" t="inlineStr">
        <is>
          <t>JAN26-P201</t>
        </is>
      </c>
      <c r="B46" s="13" t="n">
        <v>201</v>
      </c>
      <c r="C46" s="13" t="inlineStr"/>
      <c r="D46" s="25" t="n"/>
      <c r="E46" s="13" t="inlineStr">
        <is>
          <t>f'oe0 522 MICHELA MEDEIROS FRANCO MICHELAMEDEIROBZ3€2GMAILCOM</t>
        </is>
      </c>
      <c r="F46" s="13" t="inlineStr"/>
      <c r="G46" s="15" t="inlineStr"/>
      <c r="H46" s="16" t="n"/>
      <c r="I46" s="16" t="n"/>
      <c r="J46" s="17" t="n"/>
      <c r="K46" s="16" t="n"/>
      <c r="L46" s="16" t="n"/>
      <c r="M46" s="16" t="n"/>
      <c r="N46" s="16" t="n"/>
      <c r="O46" s="16" t="n"/>
      <c r="P46" s="16" t="n"/>
      <c r="Q46" s="16" t="n"/>
      <c r="R46" s="13" t="inlineStr">
        <is>
          <t>Revisar</t>
        </is>
      </c>
      <c r="S46" s="13" t="inlineStr"/>
      <c r="T46" s="13" t="inlineStr">
        <is>
          <t>Baixa</t>
        </is>
      </c>
      <c r="U46" s="15" t="inlineStr">
        <is>
          <t>NOTAS FISCAIS DE COMPRA JANEIRO 2026.pdf - p. 201</t>
        </is>
      </c>
    </row>
    <row r="47">
      <c r="A47" s="13" t="inlineStr">
        <is>
          <t>JAN26-P205</t>
        </is>
      </c>
      <c r="B47" s="13" t="n">
        <v>205</v>
      </c>
      <c r="C47" s="13" t="inlineStr"/>
      <c r="D47" s="25" t="n"/>
      <c r="E47" s="13" t="inlineStr">
        <is>
          <t>ErENDR Sho rNcRCO mom SAND EXTREMA Fences i aRAGL Srares80</t>
        </is>
      </c>
      <c r="F47" s="13" t="inlineStr"/>
      <c r="G47" s="15" t="inlineStr"/>
      <c r="H47" s="16" t="n">
        <v>75</v>
      </c>
      <c r="I47" s="16" t="n"/>
      <c r="J47" s="17" t="n"/>
      <c r="K47" s="16" t="n"/>
      <c r="L47" s="16" t="n"/>
      <c r="M47" s="16" t="n"/>
      <c r="N47" s="16" t="n"/>
      <c r="O47" s="16" t="n"/>
      <c r="P47" s="16" t="n"/>
      <c r="Q47" s="16" t="n"/>
      <c r="R47" s="13" t="inlineStr">
        <is>
          <t>Revisar</t>
        </is>
      </c>
      <c r="S47" s="13" t="inlineStr"/>
      <c r="T47" s="13" t="inlineStr">
        <is>
          <t>Media</t>
        </is>
      </c>
      <c r="U47" s="15" t="inlineStr">
        <is>
          <t>NOTAS FISCAIS DE COMPRA JANEIRO 2026.pdf - p. 205</t>
        </is>
      </c>
    </row>
    <row r="48">
      <c r="A48" s="13" t="inlineStr">
        <is>
          <t>JAN26-P215</t>
        </is>
      </c>
      <c r="B48" s="13" t="n">
        <v>215</v>
      </c>
      <c r="C48" s="13" t="inlineStr">
        <is>
          <t>1706/U</t>
        </is>
      </c>
      <c r="D48" s="25" t="n">
        <v>46020</v>
      </c>
      <c r="E48" s="13" t="inlineStr">
        <is>
          <t>MILMAQ METALURGICA E MANUTENCAO INDUSTRIAL LTDA - ME</t>
        </is>
      </c>
      <c r="F48" s="13" t="inlineStr">
        <is>
          <t>03.800.995/0001-63</t>
        </is>
      </c>
      <c r="G48" s="15" t="inlineStr">
        <is>
          <t>Recuperação da carambola do elevador.</t>
        </is>
      </c>
      <c r="H48" s="16" t="n">
        <v>1500</v>
      </c>
      <c r="I48" s="16" t="n"/>
      <c r="J48" s="17" t="n"/>
      <c r="K48" s="16" t="n"/>
      <c r="L48" s="16" t="n"/>
      <c r="M48" s="16" t="n"/>
      <c r="N48" s="16" t="n"/>
      <c r="O48" s="16" t="n"/>
      <c r="P48" s="16" t="n"/>
      <c r="Q48" s="16" t="n"/>
      <c r="R48" s="13" t="inlineStr">
        <is>
          <t>Sim</t>
        </is>
      </c>
      <c r="S48" s="13" t="inlineStr"/>
      <c r="T48" s="13" t="inlineStr">
        <is>
          <t>Media</t>
        </is>
      </c>
      <c r="U48" s="15" t="inlineStr">
        <is>
          <t>NOTAS FISCAIS DE COMPRA JANEIRO 2026.pdf - p. 215</t>
        </is>
      </c>
    </row>
    <row r="49">
      <c r="A49" s="13" t="inlineStr">
        <is>
          <t>JAN26-P220</t>
        </is>
      </c>
      <c r="B49" s="13" t="n">
        <v>220</v>
      </c>
      <c r="C49" s="13" t="inlineStr">
        <is>
          <t>0</t>
        </is>
      </c>
      <c r="D49" s="25" t="n"/>
      <c r="E49" s="13" t="inlineStr">
        <is>
          <t>Local da preszagdo do sarvigo aia da prectagso do servigo</t>
        </is>
      </c>
      <c r="F49" s="13" t="inlineStr"/>
      <c r="G49" s="15" t="inlineStr">
        <is>
          <t>CNAEICRO 4871-G/00-01 - INSTALACAO ELETRICA, INCLUSIVE DE ANTENAS. Sanvee. 109.02- EXECUCAO, POR ADMINISTRAGAO, EMPREITADA OU SUBEMPREITADA, DE OBRAS DE CONSTRUCAD CIM, HIDRALLICA QU ELETRICA E DE OTRAS Local da preszagdo do sarvigo aia da prectagso do servigo TERESINAIP! BRASIL, DESCRIGAO DO SERVICO PRESTADO. ervigo de inatalagls « samtanpie alderion TRIBUTAGAO MUNICIPAL Exigiblicdads do 1350H_ Municipio du inekéénala to ISSGN- Responsitvel pelo recofhiimente do 18304 Exigivel TERESINA - PI PRESTADOR DO SERVIQO: FRatangho do 180M “Shuapo do prestador do servi parante © Slopes Nacional Regime espacial de tite oS NADRETIOO NAO OPTANTE: - CALCULO DOISsQN</t>
        </is>
      </c>
      <c r="H49" s="16" t="n">
        <v>4000</v>
      </c>
      <c r="I49" s="16" t="n"/>
      <c r="J49" s="17" t="n"/>
      <c r="K49" s="16" t="n">
        <v>170</v>
      </c>
      <c r="L49" s="16" t="n"/>
      <c r="M49" s="16" t="n"/>
      <c r="N49" s="16" t="n"/>
      <c r="O49" s="16" t="n"/>
      <c r="P49" s="16" t="n"/>
      <c r="Q49" s="16" t="n"/>
      <c r="R49" s="13" t="inlineStr">
        <is>
          <t>Revisar</t>
        </is>
      </c>
      <c r="S49" s="13" t="inlineStr"/>
      <c r="T49" s="13" t="inlineStr">
        <is>
          <t>Media</t>
        </is>
      </c>
      <c r="U49" s="15" t="inlineStr">
        <is>
          <t>NOTAS FISCAIS DE COMPRA JANEIRO 2026.pdf - p. 220</t>
        </is>
      </c>
    </row>
    <row r="50">
      <c r="A50" s="13" t="inlineStr">
        <is>
          <t>JAN26-P230</t>
        </is>
      </c>
      <c r="B50" s="13" t="n">
        <v>230</v>
      </c>
      <c r="C50" s="13" t="inlineStr"/>
      <c r="D50" s="25" t="n"/>
      <c r="E50" s="13" t="inlineStr">
        <is>
          <t>INTERMEDIARIO DO SERVIC NAO IDENTIACADO NA NFE'S.</t>
        </is>
      </c>
      <c r="F50" s="13" t="inlineStr"/>
      <c r="G50" s="15" t="inlineStr">
        <is>
          <t>“TRIEUTAQAS MUNICIPAL Troutagbo do S50 Dole Reeutedo ca Prectente Go Bane Municbio de nekdnca tSSQM —° Fagen Eapaci! ds Trt ‘Speragto Titavel : Terosna =P) Nenhum Too do imvcidove Suppernto a EXbwANde o1SSON Nima Procean Suspense Benateo Hunkpal Herrse gece Dasconte Incondcionade ‘Tota Dedugdenodurdes (Caio do BA BcissaN Aquot Aphcaa went do1ssaN t22QW Asuras YRIGUTAGKO FEDERAL co op osu m3 corns Ratan do PISICOPNS. ‘TOTAL TRIBUTAGAO FEDERAL</t>
        </is>
      </c>
      <c r="H50" s="16" t="n">
        <v>1708.72</v>
      </c>
      <c r="I50" s="16" t="n"/>
      <c r="J50" s="17" t="n"/>
      <c r="K50" s="16" t="n"/>
      <c r="L50" s="16" t="n"/>
      <c r="M50" s="16" t="n"/>
      <c r="N50" s="16" t="n"/>
      <c r="O50" s="16" t="n"/>
      <c r="P50" s="16" t="n"/>
      <c r="Q50" s="16" t="n"/>
      <c r="R50" s="13" t="inlineStr">
        <is>
          <t>Revisar</t>
        </is>
      </c>
      <c r="S50" s="13" t="inlineStr"/>
      <c r="T50" s="13" t="inlineStr">
        <is>
          <t>Media</t>
        </is>
      </c>
      <c r="U50" s="15" t="inlineStr">
        <is>
          <t>NOTAS FISCAIS DE COMPRA JANEIRO 2026.pdf - p. 230</t>
        </is>
      </c>
    </row>
    <row r="51">
      <c r="A51" s="13" t="inlineStr">
        <is>
          <t>JAN26-P246</t>
        </is>
      </c>
      <c r="B51" s="13" t="n">
        <v>246</v>
      </c>
      <c r="C51" s="13" t="inlineStr">
        <is>
          <t>97351/U</t>
        </is>
      </c>
      <c r="D51" s="25" t="n">
        <v>46015</v>
      </c>
      <c r="E51" s="13" t="inlineStr">
        <is>
          <t>CACIQUE PNEUS INDUSTRIA E COMERCIO LTDA</t>
        </is>
      </c>
      <c r="F51" s="13" t="inlineStr"/>
      <c r="G51" s="15" t="inlineStr">
        <is>
          <t>Recauchutagem/regeneração de pneus.</t>
        </is>
      </c>
      <c r="H51" s="16" t="n">
        <v>2104.68</v>
      </c>
      <c r="I51" s="16" t="n"/>
      <c r="J51" s="17" t="n"/>
      <c r="K51" s="16" t="n">
        <v>105.23</v>
      </c>
      <c r="L51" s="16" t="n"/>
      <c r="M51" s="16" t="n"/>
      <c r="N51" s="16" t="n"/>
      <c r="O51" s="16" t="n"/>
      <c r="P51" s="16" t="n"/>
      <c r="Q51" s="16" t="n"/>
      <c r="R51" s="13" t="inlineStr">
        <is>
          <t>Sim</t>
        </is>
      </c>
      <c r="S51" s="13" t="inlineStr"/>
      <c r="T51" s="13" t="inlineStr">
        <is>
          <t>Baixa</t>
        </is>
      </c>
      <c r="U51" s="15" t="inlineStr">
        <is>
          <t>NOTAS FISCAIS DE COMPRA JANEIRO 2026.pdf - p. 246</t>
        </is>
      </c>
    </row>
    <row r="52">
      <c r="A52" s="13" t="inlineStr">
        <is>
          <t>JAN26-P247</t>
        </is>
      </c>
      <c r="B52" s="13" t="n">
        <v>247</v>
      </c>
      <c r="C52" s="13" t="inlineStr">
        <is>
          <t>35</t>
        </is>
      </c>
      <c r="D52" s="25" t="n">
        <v>46044</v>
      </c>
      <c r="E52" s="13" t="inlineStr">
        <is>
          <t>MARCOS JOSE FONTANA HANUS</t>
        </is>
      </c>
      <c r="F52" s="13" t="inlineStr">
        <is>
          <t>57.460.869/0001-36</t>
        </is>
      </c>
      <c r="G52" s="15" t="inlineStr">
        <is>
          <t>Hospedagem 21/01 a 23/01/2026.</t>
        </is>
      </c>
      <c r="H52" s="16" t="n">
        <v>440</v>
      </c>
      <c r="I52" s="16" t="n"/>
      <c r="J52" s="17" t="n"/>
      <c r="K52" s="16" t="n"/>
      <c r="L52" s="16" t="n"/>
      <c r="M52" s="16" t="n"/>
      <c r="N52" s="16" t="n"/>
      <c r="O52" s="16" t="n"/>
      <c r="P52" s="16" t="n"/>
      <c r="Q52" s="16" t="n"/>
      <c r="R52" s="13" t="inlineStr">
        <is>
          <t>Sim</t>
        </is>
      </c>
      <c r="S52" s="13" t="inlineStr"/>
      <c r="T52" s="13" t="inlineStr">
        <is>
          <t>Media</t>
        </is>
      </c>
      <c r="U52" s="15" t="inlineStr">
        <is>
          <t>NOTAS FISCAIS DE COMPRA JANEIRO 2026.pdf - p. 247</t>
        </is>
      </c>
    </row>
    <row r="53">
      <c r="A53" s="13" t="inlineStr">
        <is>
          <t>JAN26-P249</t>
        </is>
      </c>
      <c r="B53" s="13" t="n">
        <v>249</v>
      </c>
      <c r="C53" s="13" t="inlineStr">
        <is>
          <t>382/U</t>
        </is>
      </c>
      <c r="D53" s="25" t="n">
        <v>46041</v>
      </c>
      <c r="E53" s="13" t="inlineStr">
        <is>
          <t>FRANCISCO DAS CHAGAS BISPO DE ARAUJO JUNIOR</t>
        </is>
      </c>
      <c r="F53" s="13" t="inlineStr">
        <is>
          <t>30.729.559/0001-18</t>
        </is>
      </c>
      <c r="G53" s="15" t="inlineStr">
        <is>
          <t>Manutenção/reparo motor Cummins / retífica.</t>
        </is>
      </c>
      <c r="H53" s="16" t="n">
        <v>14000</v>
      </c>
      <c r="I53" s="16" t="n"/>
      <c r="J53" s="17" t="n"/>
      <c r="K53" s="16" t="n">
        <v>700</v>
      </c>
      <c r="L53" s="16" t="n"/>
      <c r="M53" s="16" t="n"/>
      <c r="N53" s="16" t="n"/>
      <c r="O53" s="16" t="n"/>
      <c r="P53" s="16" t="n"/>
      <c r="Q53" s="16" t="n"/>
      <c r="R53" s="13" t="inlineStr">
        <is>
          <t>Sim</t>
        </is>
      </c>
      <c r="S53" s="13" t="inlineStr"/>
      <c r="T53" s="13" t="inlineStr">
        <is>
          <t>Media</t>
        </is>
      </c>
      <c r="U53" s="15" t="inlineStr">
        <is>
          <t>NOTAS FISCAIS DE COMPRA JANEIRO 2026.pdf - p. 249</t>
        </is>
      </c>
    </row>
    <row r="54">
      <c r="A54" s="13" t="inlineStr">
        <is>
          <t>JAN26-P250</t>
        </is>
      </c>
      <c r="B54" s="13" t="n">
        <v>250</v>
      </c>
      <c r="C54" s="13" t="inlineStr">
        <is>
          <t>383/U</t>
        </is>
      </c>
      <c r="D54" s="25" t="n">
        <v>46041</v>
      </c>
      <c r="E54" s="13" t="inlineStr">
        <is>
          <t>FRANCISCO DAS CHAGAS BISPO DE ARAUJO JUNIOR</t>
        </is>
      </c>
      <c r="F54" s="13" t="inlineStr">
        <is>
          <t>30.729.559/0001-18</t>
        </is>
      </c>
      <c r="G54" s="15" t="inlineStr">
        <is>
          <t>Serviço do cabeçote.</t>
        </is>
      </c>
      <c r="H54" s="16" t="n">
        <v>800</v>
      </c>
      <c r="I54" s="16" t="n"/>
      <c r="J54" s="17" t="n"/>
      <c r="K54" s="16" t="n">
        <v>40</v>
      </c>
      <c r="L54" s="16" t="n"/>
      <c r="M54" s="16" t="n"/>
      <c r="N54" s="16" t="n"/>
      <c r="O54" s="16" t="n"/>
      <c r="P54" s="16" t="n"/>
      <c r="Q54" s="16" t="n"/>
      <c r="R54" s="13" t="inlineStr">
        <is>
          <t>Sim</t>
        </is>
      </c>
      <c r="S54" s="13" t="inlineStr"/>
      <c r="T54" s="13" t="inlineStr">
        <is>
          <t>Media</t>
        </is>
      </c>
      <c r="U54" s="15" t="inlineStr">
        <is>
          <t>NOTAS FISCAIS DE COMPRA JANEIRO 2026.pdf - p. 250</t>
        </is>
      </c>
    </row>
    <row r="55">
      <c r="A55" s="13" t="inlineStr">
        <is>
          <t>JAN26-P251</t>
        </is>
      </c>
      <c r="B55" s="13" t="n">
        <v>251</v>
      </c>
      <c r="C55" s="13" t="inlineStr">
        <is>
          <t>26589/U</t>
        </is>
      </c>
      <c r="D55" s="25" t="n">
        <v>46041</v>
      </c>
      <c r="E55" s="13" t="inlineStr">
        <is>
          <t>ATHOS MED SERVICOS EM SAUDE - LTDA</t>
        </is>
      </c>
      <c r="F55" s="13" t="inlineStr">
        <is>
          <t>19.480.050/0001-41</t>
        </is>
      </c>
      <c r="G55" s="15" t="inlineStr">
        <is>
          <t>Exames complementares de saúde ocupacional.</t>
        </is>
      </c>
      <c r="H55" s="16" t="n">
        <v>5922</v>
      </c>
      <c r="I55" s="16" t="n"/>
      <c r="J55" s="17" t="n"/>
      <c r="K55" s="16" t="n">
        <v>177.66</v>
      </c>
      <c r="L55" s="16" t="n">
        <v>88.83</v>
      </c>
      <c r="M55" s="16" t="n">
        <v>59.22</v>
      </c>
      <c r="N55" s="16" t="n">
        <v>38.49</v>
      </c>
      <c r="O55" s="16" t="n">
        <v>177.66</v>
      </c>
      <c r="P55" s="16" t="n"/>
      <c r="Q55" s="16" t="n">
        <v>5557.8</v>
      </c>
      <c r="R55" s="13" t="inlineStr">
        <is>
          <t>Sim</t>
        </is>
      </c>
      <c r="S55" s="13" t="inlineStr"/>
      <c r="T55" s="13" t="inlineStr">
        <is>
          <t>Media</t>
        </is>
      </c>
      <c r="U55" s="15" t="inlineStr">
        <is>
          <t>NOTAS FISCAIS DE COMPRA JANEIRO 2026.pdf - p. 251</t>
        </is>
      </c>
    </row>
    <row r="56">
      <c r="A56" s="13" t="inlineStr">
        <is>
          <t>JAN26-P252</t>
        </is>
      </c>
      <c r="B56" s="13" t="n">
        <v>252</v>
      </c>
      <c r="C56" s="13" t="inlineStr"/>
      <c r="D56" s="25" t="n"/>
      <c r="E56" s="13" t="inlineStr">
        <is>
          <t>jlorentea autora de 2" Siperisto Gini ¢ .)</t>
        </is>
      </c>
      <c r="F56" s="13" t="inlineStr"/>
      <c r="G56" s="15" t="inlineStr"/>
      <c r="H56" s="16" t="n"/>
      <c r="I56" s="16" t="n"/>
      <c r="J56" s="17" t="n"/>
      <c r="K56" s="16" t="n"/>
      <c r="L56" s="16" t="n"/>
      <c r="M56" s="16" t="n"/>
      <c r="N56" s="16" t="n"/>
      <c r="O56" s="16" t="n"/>
      <c r="P56" s="16" t="n"/>
      <c r="Q56" s="16" t="n"/>
      <c r="R56" s="13" t="inlineStr">
        <is>
          <t>Revisar</t>
        </is>
      </c>
      <c r="S56" s="13" t="inlineStr"/>
      <c r="T56" s="13" t="inlineStr">
        <is>
          <t>Baixa</t>
        </is>
      </c>
      <c r="U56" s="15" t="inlineStr">
        <is>
          <t>NOTAS FISCAIS DE COMPRA JANEIRO 2026.pdf - p. 252</t>
        </is>
      </c>
    </row>
    <row r="57">
      <c r="A57" s="13" t="inlineStr">
        <is>
          <t>JAN26-P253</t>
        </is>
      </c>
      <c r="B57" s="13" t="n">
        <v>253</v>
      </c>
      <c r="C57" s="13" t="inlineStr">
        <is>
          <t>23</t>
        </is>
      </c>
      <c r="D57" s="25" t="n">
        <v>46042</v>
      </c>
      <c r="E57" s="13" t="inlineStr">
        <is>
          <t>MARCOS JOSE FONTANA HANUS</t>
        </is>
      </c>
      <c r="F57" s="13" t="inlineStr">
        <is>
          <t>57.460.869/0001-36</t>
        </is>
      </c>
      <c r="G57" s="15" t="inlineStr">
        <is>
          <t>Hospedagem 19/01 a 21/01/2026.</t>
        </is>
      </c>
      <c r="H57" s="16" t="n">
        <v>440</v>
      </c>
      <c r="I57" s="16" t="n"/>
      <c r="J57" s="17" t="n"/>
      <c r="K57" s="16" t="n"/>
      <c r="L57" s="16" t="n"/>
      <c r="M57" s="16" t="n"/>
      <c r="N57" s="16" t="n"/>
      <c r="O57" s="16" t="n"/>
      <c r="P57" s="16" t="n"/>
      <c r="Q57" s="16" t="n"/>
      <c r="R57" s="13" t="inlineStr">
        <is>
          <t>Sim</t>
        </is>
      </c>
      <c r="S57" s="13" t="inlineStr"/>
      <c r="T57" s="13" t="inlineStr">
        <is>
          <t>Media</t>
        </is>
      </c>
      <c r="U57" s="15" t="inlineStr">
        <is>
          <t>NOTAS FISCAIS DE COMPRA JANEIRO 2026.pdf - p. 253</t>
        </is>
      </c>
    </row>
    <row r="58">
      <c r="A58" s="13" t="inlineStr">
        <is>
          <t>JAN26-P261</t>
        </is>
      </c>
      <c r="B58" s="13" t="n">
        <v>261</v>
      </c>
      <c r="C58" s="13" t="inlineStr"/>
      <c r="D58" s="25" t="n">
        <v>46048</v>
      </c>
      <c r="E58" s="13" t="inlineStr">
        <is>
          <t>ANDRE VIANA VIEIRA ME</t>
        </is>
      </c>
      <c r="F58" s="13" t="inlineStr"/>
      <c r="G58" s="15" t="inlineStr"/>
      <c r="H58" s="16" t="n"/>
      <c r="I58" s="16" t="n"/>
      <c r="J58" s="17" t="n"/>
      <c r="K58" s="16" t="n"/>
      <c r="L58" s="16" t="n"/>
      <c r="M58" s="16" t="n"/>
      <c r="N58" s="16" t="n"/>
      <c r="O58" s="16" t="n"/>
      <c r="P58" s="16" t="n"/>
      <c r="Q58" s="16" t="n"/>
      <c r="R58" s="13" t="inlineStr">
        <is>
          <t>Revisar</t>
        </is>
      </c>
      <c r="S58" s="13" t="inlineStr"/>
      <c r="T58" s="13" t="inlineStr">
        <is>
          <t>Baixa</t>
        </is>
      </c>
      <c r="U58" s="15" t="inlineStr">
        <is>
          <t>NOTAS FISCAIS DE COMPRA JANEIRO 2026.pdf - p. 261</t>
        </is>
      </c>
    </row>
    <row r="59">
      <c r="A59" s="13" t="inlineStr">
        <is>
          <t>JAN26-P264</t>
        </is>
      </c>
      <c r="B59" s="13" t="n">
        <v>264</v>
      </c>
      <c r="C59" s="13" t="inlineStr">
        <is>
          <t>4</t>
        </is>
      </c>
      <c r="D59" s="25" t="n">
        <v>46045</v>
      </c>
      <c r="E59" s="13" t="inlineStr">
        <is>
          <t>G R DE MORAES CONSTRUCOES</t>
        </is>
      </c>
      <c r="F59" s="13" t="inlineStr">
        <is>
          <t>15.563.146/0001-12</t>
        </is>
      </c>
      <c r="G59" s="15" t="inlineStr">
        <is>
          <t>Serviço de calçamento; CNO 90.025.09883/73.</t>
        </is>
      </c>
      <c r="H59" s="16" t="n">
        <v>40000</v>
      </c>
      <c r="I59" s="16" t="n"/>
      <c r="J59" s="17" t="n"/>
      <c r="K59" s="16" t="n"/>
      <c r="L59" s="16" t="n"/>
      <c r="M59" s="16" t="n"/>
      <c r="N59" s="16" t="n"/>
      <c r="O59" s="16" t="n"/>
      <c r="P59" s="16" t="n"/>
      <c r="Q59" s="16" t="n"/>
      <c r="R59" s="13" t="inlineStr">
        <is>
          <t>Sim</t>
        </is>
      </c>
      <c r="S59" s="13" t="inlineStr"/>
      <c r="T59" s="13" t="inlineStr">
        <is>
          <t>Media</t>
        </is>
      </c>
      <c r="U59" s="15" t="inlineStr">
        <is>
          <t>NOTAS FISCAIS DE COMPRA JANEIRO 2026.pdf - p. 264</t>
        </is>
      </c>
    </row>
    <row r="60">
      <c r="A60" s="13" t="inlineStr">
        <is>
          <t>JAN26-P271</t>
        </is>
      </c>
      <c r="B60" s="13" t="n">
        <v>271</v>
      </c>
      <c r="C60" s="13" t="inlineStr">
        <is>
          <t>1204/U</t>
        </is>
      </c>
      <c r="D60" s="25" t="n">
        <v>46038</v>
      </c>
      <c r="E60" s="13" t="inlineStr">
        <is>
          <t>MARINA NAYARA FLORES GUIMARAES - ME</t>
        </is>
      </c>
      <c r="F60" s="13" t="inlineStr">
        <is>
          <t>24.976.787/0001-90</t>
        </is>
      </c>
      <c r="G60" s="15" t="inlineStr">
        <is>
          <t>Solda do cano + socorro.</t>
        </is>
      </c>
      <c r="H60" s="16" t="n">
        <v>300</v>
      </c>
      <c r="I60" s="16" t="n"/>
      <c r="J60" s="17" t="n"/>
      <c r="K60" s="16" t="n">
        <v>15</v>
      </c>
      <c r="L60" s="16" t="n"/>
      <c r="M60" s="16" t="n"/>
      <c r="N60" s="16" t="n"/>
      <c r="O60" s="16" t="n"/>
      <c r="P60" s="16" t="n"/>
      <c r="Q60" s="16" t="n"/>
      <c r="R60" s="13" t="inlineStr">
        <is>
          <t>Sim</t>
        </is>
      </c>
      <c r="S60" s="13" t="inlineStr"/>
      <c r="T60" s="13" t="inlineStr">
        <is>
          <t>Media</t>
        </is>
      </c>
      <c r="U60" s="15" t="inlineStr">
        <is>
          <t>NOTAS FISCAIS DE COMPRA JANEIRO 2026.pdf - p. 271</t>
        </is>
      </c>
    </row>
    <row r="61">
      <c r="A61" s="13" t="inlineStr">
        <is>
          <t>JAN26-P272</t>
        </is>
      </c>
      <c r="B61" s="13" t="n">
        <v>272</v>
      </c>
      <c r="C61" s="13" t="inlineStr">
        <is>
          <t>1203/U</t>
        </is>
      </c>
      <c r="D61" s="25" t="n">
        <v>46038</v>
      </c>
      <c r="E61" s="13" t="inlineStr">
        <is>
          <t>MARINA NAYARA FLORES GUIMARAES - ME</t>
        </is>
      </c>
      <c r="F61" s="13" t="inlineStr">
        <is>
          <t>24.976.787/0001-90</t>
        </is>
      </c>
      <c r="G61" s="15" t="inlineStr">
        <is>
          <t>Serviço da válvula relé.</t>
        </is>
      </c>
      <c r="H61" s="16" t="n">
        <v>180</v>
      </c>
      <c r="I61" s="16" t="n"/>
      <c r="J61" s="17" t="n"/>
      <c r="K61" s="16" t="n">
        <v>9</v>
      </c>
      <c r="L61" s="16" t="n"/>
      <c r="M61" s="16" t="n"/>
      <c r="N61" s="16" t="n"/>
      <c r="O61" s="16" t="n"/>
      <c r="P61" s="16" t="n"/>
      <c r="Q61" s="16" t="n"/>
      <c r="R61" s="13" t="inlineStr">
        <is>
          <t>Sim</t>
        </is>
      </c>
      <c r="S61" s="13" t="inlineStr"/>
      <c r="T61" s="13" t="inlineStr">
        <is>
          <t>Media</t>
        </is>
      </c>
      <c r="U61" s="15" t="inlineStr">
        <is>
          <t>NOTAS FISCAIS DE COMPRA JANEIRO 2026.pdf - p. 272</t>
        </is>
      </c>
    </row>
    <row r="62">
      <c r="A62" s="13" t="inlineStr">
        <is>
          <t>JAN26-P291</t>
        </is>
      </c>
      <c r="B62" s="13" t="n">
        <v>291</v>
      </c>
      <c r="C62" s="13" t="inlineStr">
        <is>
          <t>3475/U</t>
        </is>
      </c>
      <c r="D62" s="25" t="n">
        <v>46042</v>
      </c>
      <c r="E62" s="13" t="inlineStr">
        <is>
          <t>J E SILVA LIMA - ME</t>
        </is>
      </c>
      <c r="F62" s="13" t="inlineStr">
        <is>
          <t>41.528.852/0001-33</t>
        </is>
      </c>
      <c r="G62" s="15" t="inlineStr">
        <is>
          <t>Rebobinamento/substituição de rolamentos de dois motores Siemens.</t>
        </is>
      </c>
      <c r="H62" s="16" t="n">
        <v>3258</v>
      </c>
      <c r="I62" s="16" t="n"/>
      <c r="J62" s="17" t="n"/>
      <c r="K62" s="16" t="n"/>
      <c r="L62" s="16" t="n"/>
      <c r="M62" s="16" t="n"/>
      <c r="N62" s="16" t="n"/>
      <c r="O62" s="16" t="n"/>
      <c r="P62" s="16" t="n"/>
      <c r="Q62" s="16" t="n"/>
      <c r="R62" s="13" t="inlineStr">
        <is>
          <t>Sim</t>
        </is>
      </c>
      <c r="S62" s="13" t="inlineStr"/>
      <c r="T62" s="13" t="inlineStr">
        <is>
          <t>Baixa</t>
        </is>
      </c>
      <c r="U62" s="15" t="inlineStr">
        <is>
          <t>NOTAS FISCAIS DE COMPRA JANEIRO 2026.pdf - p. 291</t>
        </is>
      </c>
    </row>
    <row r="63">
      <c r="A63" s="13" t="inlineStr">
        <is>
          <t>JAN26-P292</t>
        </is>
      </c>
      <c r="B63" s="13" t="n">
        <v>292</v>
      </c>
      <c r="C63" s="13" t="inlineStr">
        <is>
          <t>1087/U</t>
        </is>
      </c>
      <c r="D63" s="25" t="n">
        <v>46042</v>
      </c>
      <c r="E63" s="13" t="inlineStr">
        <is>
          <t>A LUIZ NETO LTDA</t>
        </is>
      </c>
      <c r="F63" s="13" t="inlineStr">
        <is>
          <t>02.891.966/0001-91</t>
        </is>
      </c>
      <c r="G63" s="15" t="inlineStr">
        <is>
          <t>Corte e calandragem.</t>
        </is>
      </c>
      <c r="H63" s="16" t="n">
        <v>1500</v>
      </c>
      <c r="I63" s="16" t="n"/>
      <c r="J63" s="17" t="n"/>
      <c r="K63" s="16" t="n"/>
      <c r="L63" s="16" t="n"/>
      <c r="M63" s="16" t="n"/>
      <c r="N63" s="16" t="n"/>
      <c r="O63" s="16" t="n"/>
      <c r="P63" s="16" t="n"/>
      <c r="Q63" s="16" t="n"/>
      <c r="R63" s="13" t="inlineStr">
        <is>
          <t>Sim</t>
        </is>
      </c>
      <c r="S63" s="13" t="inlineStr"/>
      <c r="T63" s="13" t="inlineStr">
        <is>
          <t>Baixa</t>
        </is>
      </c>
      <c r="U63" s="15" t="inlineStr">
        <is>
          <t>NOTAS FISCAIS DE COMPRA JANEIRO 2026.pdf - p. 292</t>
        </is>
      </c>
    </row>
    <row r="64">
      <c r="A64" s="13" t="inlineStr">
        <is>
          <t>JAN26-P294</t>
        </is>
      </c>
      <c r="B64" s="13" t="n">
        <v>294</v>
      </c>
      <c r="C64" s="13" t="inlineStr">
        <is>
          <t>71/U</t>
        </is>
      </c>
      <c r="D64" s="25" t="n">
        <v>46027</v>
      </c>
      <c r="E64" s="13" t="inlineStr">
        <is>
          <t>M H F SANTOS AUTOPECAS</t>
        </is>
      </c>
      <c r="F64" s="13" t="inlineStr">
        <is>
          <t>22.729.208/0001-89</t>
        </is>
      </c>
      <c r="G64" s="15" t="inlineStr">
        <is>
          <t>Mão de obra veículo placa QRV-1248.</t>
        </is>
      </c>
      <c r="H64" s="16" t="n">
        <v>120</v>
      </c>
      <c r="I64" s="16" t="n"/>
      <c r="J64" s="17" t="n"/>
      <c r="K64" s="16" t="n"/>
      <c r="L64" s="16" t="n"/>
      <c r="M64" s="16" t="n"/>
      <c r="N64" s="16" t="n"/>
      <c r="O64" s="16" t="n"/>
      <c r="P64" s="16" t="n"/>
      <c r="Q64" s="16" t="n"/>
      <c r="R64" s="13" t="inlineStr">
        <is>
          <t>Sim</t>
        </is>
      </c>
      <c r="S64" s="13" t="inlineStr"/>
      <c r="T64" s="13" t="inlineStr">
        <is>
          <t>Baixa</t>
        </is>
      </c>
      <c r="U64" s="15" t="inlineStr">
        <is>
          <t>NOTAS FISCAIS DE COMPRA JANEIRO 2026.pdf - p. 294</t>
        </is>
      </c>
    </row>
    <row r="65">
      <c r="A65" s="13" t="inlineStr">
        <is>
          <t>JAN26-P295</t>
        </is>
      </c>
      <c r="B65" s="13" t="n">
        <v>295</v>
      </c>
      <c r="C65" s="13" t="inlineStr">
        <is>
          <t>240/U</t>
        </is>
      </c>
      <c r="D65" s="25" t="n">
        <v>46024</v>
      </c>
      <c r="E65" s="13" t="inlineStr">
        <is>
          <t>BOA VISTA AUTO ELETRICA LTDA</t>
        </is>
      </c>
      <c r="F65" s="13" t="inlineStr">
        <is>
          <t>18.414.737/0001-16</t>
        </is>
      </c>
      <c r="G65" s="15" t="inlineStr">
        <is>
          <t>Serviço em motor de partida.</t>
        </is>
      </c>
      <c r="H65" s="16" t="n">
        <v>685</v>
      </c>
      <c r="I65" s="16" t="n"/>
      <c r="J65" s="17" t="n"/>
      <c r="K65" s="16" t="n"/>
      <c r="L65" s="16" t="n"/>
      <c r="M65" s="16" t="n"/>
      <c r="N65" s="16" t="n"/>
      <c r="O65" s="16" t="n"/>
      <c r="P65" s="16" t="n"/>
      <c r="Q65" s="16" t="n"/>
      <c r="R65" s="13" t="inlineStr">
        <is>
          <t>Sim</t>
        </is>
      </c>
      <c r="S65" s="13" t="inlineStr"/>
      <c r="T65" s="13" t="inlineStr">
        <is>
          <t>Media</t>
        </is>
      </c>
      <c r="U65" s="15" t="inlineStr">
        <is>
          <t>NOTAS FISCAIS DE COMPRA JANEIRO 2026.pdf - p. 295</t>
        </is>
      </c>
    </row>
    <row r="66">
      <c r="A66" s="13" t="inlineStr">
        <is>
          <t>JAN26-P299</t>
        </is>
      </c>
      <c r="B66" s="13" t="n">
        <v>299</v>
      </c>
      <c r="C66" s="13" t="inlineStr">
        <is>
          <t>115/U</t>
        </is>
      </c>
      <c r="D66" s="25" t="n">
        <v>46028</v>
      </c>
      <c r="E66" s="13" t="inlineStr">
        <is>
          <t>J K B FIALHO LTDA</t>
        </is>
      </c>
      <c r="F66" s="13" t="inlineStr">
        <is>
          <t>51.002.394/0001-58</t>
        </is>
      </c>
      <c r="G66" s="15" t="inlineStr">
        <is>
          <t>Serviços combinados de escritório/apoio administrativo - ref. dezembro/2025.</t>
        </is>
      </c>
      <c r="H66" s="16" t="n">
        <v>3000</v>
      </c>
      <c r="I66" s="16" t="n"/>
      <c r="J66" s="17" t="n"/>
      <c r="K66" s="16" t="n">
        <v>150</v>
      </c>
      <c r="L66" s="16" t="n"/>
      <c r="M66" s="16" t="n"/>
      <c r="N66" s="16" t="n"/>
      <c r="O66" s="16" t="n"/>
      <c r="P66" s="16" t="n"/>
      <c r="Q66" s="16" t="n"/>
      <c r="R66" s="13" t="inlineStr">
        <is>
          <t>Sim</t>
        </is>
      </c>
      <c r="S66" s="13" t="inlineStr"/>
      <c r="T66" s="13" t="inlineStr">
        <is>
          <t>Media</t>
        </is>
      </c>
      <c r="U66" s="15" t="inlineStr">
        <is>
          <t>NOTAS FISCAIS DE COMPRA JANEIRO 2026.pdf - p. 299</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R29"/>
  <sheetViews>
    <sheetView showGridLines="0" workbookViewId="0">
      <pane ySplit="1" topLeftCell="A2" activePane="bottomLeft" state="frozen"/>
      <selection pane="bottomLeft" activeCell="A1" sqref="A1"/>
    </sheetView>
  </sheetViews>
  <sheetFormatPr baseColWidth="8" defaultRowHeight="15"/>
  <cols>
    <col width="15" customWidth="1" min="1" max="1"/>
    <col width="8" customWidth="1" min="2" max="2"/>
    <col width="14" customWidth="1" min="3" max="3"/>
    <col width="13" customWidth="1" min="4" max="4"/>
    <col width="38" customWidth="1" min="5" max="5"/>
    <col width="20" customWidth="1" min="6" max="6"/>
    <col width="38" customWidth="1" min="7" max="7"/>
    <col width="20" customWidth="1" min="8" max="8"/>
    <col width="38" customWidth="1" min="9" max="9"/>
    <col width="20" customWidth="1" min="10" max="10"/>
    <col width="18" customWidth="1" min="11" max="11"/>
    <col width="13" customWidth="1" min="12" max="12"/>
    <col width="12" customWidth="1" min="13" max="13"/>
    <col width="12" customWidth="1" min="14" max="14"/>
    <col width="12" customWidth="1" min="15" max="15"/>
    <col width="15" customWidth="1" min="16" max="16"/>
    <col width="50" customWidth="1" min="17" max="17"/>
    <col width="42" customWidth="1" min="18" max="18"/>
  </cols>
  <sheetData>
    <row r="1" ht="36" customHeight="1">
      <c r="A1" s="12" t="inlineStr">
        <is>
          <t>Doc_ID</t>
        </is>
      </c>
      <c r="B1" s="12" t="inlineStr">
        <is>
          <t>Pagina</t>
        </is>
      </c>
      <c r="C1" s="12" t="inlineStr">
        <is>
          <t>CTe</t>
        </is>
      </c>
      <c r="D1" s="12" t="inlineStr">
        <is>
          <t>Data</t>
        </is>
      </c>
      <c r="E1" s="12" t="inlineStr">
        <is>
          <t>Transportadora</t>
        </is>
      </c>
      <c r="F1" s="12" t="inlineStr">
        <is>
          <t>CNPJ_Transportadora</t>
        </is>
      </c>
      <c r="G1" s="12" t="inlineStr">
        <is>
          <t>Remetente</t>
        </is>
      </c>
      <c r="H1" s="12" t="inlineStr">
        <is>
          <t>CNPJ_Remetente</t>
        </is>
      </c>
      <c r="I1" s="12" t="inlineStr">
        <is>
          <t>Destinatario</t>
        </is>
      </c>
      <c r="J1" s="12" t="inlineStr">
        <is>
          <t>CNPJ_Destinatario</t>
        </is>
      </c>
      <c r="K1" s="12" t="inlineStr">
        <is>
          <t>Valor_Mercadoria</t>
        </is>
      </c>
      <c r="L1" s="12" t="inlineStr">
        <is>
          <t>Valor_Frete</t>
        </is>
      </c>
      <c r="M1" s="12" t="inlineStr">
        <is>
          <t>BC_ICMS</t>
        </is>
      </c>
      <c r="N1" s="12" t="inlineStr">
        <is>
          <t>Aliq_ICMS</t>
        </is>
      </c>
      <c r="O1" s="12" t="inlineStr">
        <is>
          <t>ICMS</t>
        </is>
      </c>
      <c r="P1" s="12" t="inlineStr">
        <is>
          <t>Soma_Contabil</t>
        </is>
      </c>
      <c r="Q1" s="12" t="inlineStr">
        <is>
          <t>Observacoes</t>
        </is>
      </c>
      <c r="R1" s="12" t="inlineStr">
        <is>
          <t>Fonte</t>
        </is>
      </c>
    </row>
    <row r="2">
      <c r="A2" s="13" t="inlineStr">
        <is>
          <t>JAN26-P017</t>
        </is>
      </c>
      <c r="B2" s="13" t="n">
        <v>17</v>
      </c>
      <c r="C2" s="13" t="inlineStr">
        <is>
          <t>446</t>
        </is>
      </c>
      <c r="D2" s="25" t="n">
        <v>46050</v>
      </c>
      <c r="E2" s="13" t="inlineStr">
        <is>
          <t>F G INTELIGENCIA EM LOGISTICA LTDA</t>
        </is>
      </c>
      <c r="F2" s="13" t="inlineStr">
        <is>
          <t>42.709.787/0003-77</t>
        </is>
      </c>
      <c r="G2" s="13" t="inlineStr">
        <is>
          <t>COMPANHIA INDUSTRIAL DE CIMENTO APODI</t>
        </is>
      </c>
      <c r="H2" s="13" t="inlineStr">
        <is>
          <t>10.260.249/0003-51</t>
        </is>
      </c>
      <c r="I2" s="13" t="inlineStr">
        <is>
          <t>SKAL ENGENHARIA INDUSTRIA E COMERCIO LTDA</t>
        </is>
      </c>
      <c r="J2" s="13" t="inlineStr">
        <is>
          <t>23.655.038/0002-89</t>
        </is>
      </c>
      <c r="K2" s="16" t="n">
        <v>18686.25</v>
      </c>
      <c r="L2" s="16" t="n">
        <v>11702.5</v>
      </c>
      <c r="M2" s="16" t="n">
        <v>11702.5</v>
      </c>
      <c r="N2" s="17" t="n">
        <v>0.12</v>
      </c>
      <c r="O2" s="16" t="n">
        <v>1404.3</v>
      </c>
      <c r="P2" s="13" t="inlineStr">
        <is>
          <t>Sim</t>
        </is>
      </c>
      <c r="Q2" s="15" t="inlineStr"/>
      <c r="R2" s="15" t="inlineStr">
        <is>
          <t>NOTAS FISCAIS DE COMPRA JANEIRO 2026.pdf - p. 17</t>
        </is>
      </c>
    </row>
    <row r="3">
      <c r="A3" s="13" t="inlineStr">
        <is>
          <t>JAN26-P018</t>
        </is>
      </c>
      <c r="B3" s="13" t="n">
        <v>18</v>
      </c>
      <c r="C3" s="13" t="inlineStr">
        <is>
          <t>445</t>
        </is>
      </c>
      <c r="D3" s="25" t="n">
        <v>46049</v>
      </c>
      <c r="E3" s="13" t="inlineStr">
        <is>
          <t>F G INTELIGENCIA EM LOGISTICA LTDA</t>
        </is>
      </c>
      <c r="F3" s="13" t="inlineStr">
        <is>
          <t>42.709.787/0003-77</t>
        </is>
      </c>
      <c r="G3" s="13" t="inlineStr">
        <is>
          <t>COMPANHIA INDUSTRIAL DE CIMENTO APODI</t>
        </is>
      </c>
      <c r="H3" s="13" t="inlineStr">
        <is>
          <t>10.260.249/0003-51</t>
        </is>
      </c>
      <c r="I3" s="13" t="inlineStr">
        <is>
          <t>SKAL ENGENHARIA INDUSTRIA E COMERCIO LTDA</t>
        </is>
      </c>
      <c r="J3" s="13" t="inlineStr">
        <is>
          <t>23.655.038/0002-89</t>
        </is>
      </c>
      <c r="K3" s="16" t="n">
        <v>18904.05</v>
      </c>
      <c r="L3" s="16" t="n">
        <v>11838.9</v>
      </c>
      <c r="M3" s="16" t="n">
        <v>11838.9</v>
      </c>
      <c r="N3" s="17" t="n">
        <v>0.12</v>
      </c>
      <c r="O3" s="16" t="n">
        <v>1420.67</v>
      </c>
      <c r="P3" s="13" t="inlineStr">
        <is>
          <t>Sim</t>
        </is>
      </c>
      <c r="Q3" s="15" t="inlineStr"/>
      <c r="R3" s="15" t="inlineStr">
        <is>
          <t>NOTAS FISCAIS DE COMPRA JANEIRO 2026.pdf - p. 18</t>
        </is>
      </c>
    </row>
    <row r="4">
      <c r="A4" s="13" t="inlineStr">
        <is>
          <t>JAN26-P019</t>
        </is>
      </c>
      <c r="B4" s="13" t="n">
        <v>19</v>
      </c>
      <c r="C4" s="13" t="inlineStr">
        <is>
          <t>443</t>
        </is>
      </c>
      <c r="D4" s="25" t="n">
        <v>46046</v>
      </c>
      <c r="E4" s="13" t="inlineStr">
        <is>
          <t>F G INTELIGENCIA EM LOGISTICA LTDA</t>
        </is>
      </c>
      <c r="F4" s="13" t="inlineStr">
        <is>
          <t>42.709.787/0003-77</t>
        </is>
      </c>
      <c r="G4" s="13" t="inlineStr">
        <is>
          <t>COMPANHIA INDUSTRIAL DE CIMENTO APODI</t>
        </is>
      </c>
      <c r="H4" s="13" t="inlineStr">
        <is>
          <t>10.260.249/0003-51</t>
        </is>
      </c>
      <c r="I4" s="13" t="inlineStr">
        <is>
          <t>SKAL ENGENHARIA INDUSTRIA E COMERCIO LTDA</t>
        </is>
      </c>
      <c r="J4" s="13" t="inlineStr">
        <is>
          <t>23.655.038/0002-89</t>
        </is>
      </c>
      <c r="K4" s="16" t="n">
        <v>18824.85</v>
      </c>
      <c r="L4" s="16" t="n">
        <v>11789.3</v>
      </c>
      <c r="M4" s="16" t="n">
        <v>11789.3</v>
      </c>
      <c r="N4" s="17" t="n">
        <v>0.12</v>
      </c>
      <c r="O4" s="16" t="n">
        <v>1414.72</v>
      </c>
      <c r="P4" s="13" t="inlineStr">
        <is>
          <t>Sim</t>
        </is>
      </c>
      <c r="Q4" s="15" t="inlineStr"/>
      <c r="R4" s="15" t="inlineStr">
        <is>
          <t>NOTAS FISCAIS DE COMPRA JANEIRO 2026.pdf - p. 19</t>
        </is>
      </c>
    </row>
    <row r="5">
      <c r="A5" s="13" t="inlineStr">
        <is>
          <t>JAN26-P025</t>
        </is>
      </c>
      <c r="B5" s="13" t="n">
        <v>25</v>
      </c>
      <c r="C5" s="13" t="inlineStr"/>
      <c r="D5" s="25" t="n"/>
      <c r="E5" s="13" t="inlineStr">
        <is>
          <t>TRANS VNC TRANSPORTES EIRELI</t>
        </is>
      </c>
      <c r="F5" s="13" t="inlineStr"/>
      <c r="G5" s="13" t="inlineStr"/>
      <c r="H5" s="13" t="inlineStr"/>
      <c r="I5" s="13" t="inlineStr">
        <is>
          <t>SKAL ENGENHARIA INDUSTRIA E COMERCIO LTDA</t>
        </is>
      </c>
      <c r="J5" s="13" t="inlineStr"/>
      <c r="K5" s="16" t="n">
        <v>9135</v>
      </c>
      <c r="L5" s="16" t="n">
        <v>703</v>
      </c>
      <c r="M5" s="16" t="n">
        <v>410.1</v>
      </c>
      <c r="N5" s="17" t="n">
        <v>0.12</v>
      </c>
      <c r="O5" s="16" t="n">
        <v>49.21</v>
      </c>
      <c r="P5" s="13" t="inlineStr">
        <is>
          <t>Revisar</t>
        </is>
      </c>
      <c r="Q5" s="15" t="inlineStr">
        <is>
          <t>CT-e TRANS VMC: valor lido visualmente; confirmar chave/total antes da contabilização.</t>
        </is>
      </c>
      <c r="R5" s="15" t="inlineStr">
        <is>
          <t>NOTAS FISCAIS DE COMPRA JANEIRO 2026.pdf - p. 25</t>
        </is>
      </c>
    </row>
    <row r="6">
      <c r="A6" s="13" t="inlineStr">
        <is>
          <t>JAN26-P047</t>
        </is>
      </c>
      <c r="B6" s="13" t="n">
        <v>47</v>
      </c>
      <c r="C6" s="13" t="inlineStr">
        <is>
          <t>438</t>
        </is>
      </c>
      <c r="D6" s="25" t="n">
        <v>46045</v>
      </c>
      <c r="E6" s="13" t="inlineStr">
        <is>
          <t>F G INTELIGENCIA EM LOGISTICA LTDA</t>
        </is>
      </c>
      <c r="F6" s="13" t="inlineStr">
        <is>
          <t>42.709.787/0003-77</t>
        </is>
      </c>
      <c r="G6" s="13" t="inlineStr">
        <is>
          <t>COMPANHIA INDUSTRIAL DE CIMENTO APODI</t>
        </is>
      </c>
      <c r="H6" s="13" t="inlineStr">
        <is>
          <t>10.260.249/0003-51</t>
        </is>
      </c>
      <c r="I6" s="13" t="inlineStr">
        <is>
          <t>SKAL ENGENHARIA INDUSTRIA E COMERCIO LTDA</t>
        </is>
      </c>
      <c r="J6" s="13" t="inlineStr">
        <is>
          <t>23.655.038/0002-89</t>
        </is>
      </c>
      <c r="K6" s="16" t="n">
        <v>17790.3</v>
      </c>
      <c r="L6" s="16" t="n">
        <v>11141.4</v>
      </c>
      <c r="M6" s="16" t="n">
        <v>11141.4</v>
      </c>
      <c r="N6" s="17" t="n">
        <v>0.12</v>
      </c>
      <c r="O6" s="16" t="n">
        <v>1336.97</v>
      </c>
      <c r="P6" s="13" t="inlineStr">
        <is>
          <t>Sim</t>
        </is>
      </c>
      <c r="Q6" s="15" t="inlineStr"/>
      <c r="R6" s="15" t="inlineStr">
        <is>
          <t>NOTAS FISCAIS DE COMPRA JANEIRO 2026.pdf - p. 47</t>
        </is>
      </c>
    </row>
    <row r="7">
      <c r="A7" s="13" t="inlineStr">
        <is>
          <t>JAN26-P048</t>
        </is>
      </c>
      <c r="B7" s="13" t="n">
        <v>48</v>
      </c>
      <c r="C7" s="13" t="inlineStr">
        <is>
          <t>433</t>
        </is>
      </c>
      <c r="D7" s="25" t="n">
        <v>46044</v>
      </c>
      <c r="E7" s="13" t="inlineStr">
        <is>
          <t>F G INTELIGENCIA EM LOGISTICA LTDA</t>
        </is>
      </c>
      <c r="F7" s="13" t="inlineStr">
        <is>
          <t>42.709.787/0003-77</t>
        </is>
      </c>
      <c r="G7" s="13" t="inlineStr">
        <is>
          <t>COMPANHIA INDUSTRIAL DE CIMENTO APODI</t>
        </is>
      </c>
      <c r="H7" s="13" t="inlineStr">
        <is>
          <t>10.260.249/0003-51</t>
        </is>
      </c>
      <c r="I7" s="13" t="inlineStr">
        <is>
          <t>SKAL ENGENHARIA INDUSTRIA E COMERCIO LTDA</t>
        </is>
      </c>
      <c r="J7" s="13" t="inlineStr">
        <is>
          <t>23.655.038/0002-89</t>
        </is>
      </c>
      <c r="K7" s="16" t="n">
        <v>18607.05</v>
      </c>
      <c r="L7" s="16" t="n">
        <v>11652.9</v>
      </c>
      <c r="M7" s="16" t="n">
        <v>11652.9</v>
      </c>
      <c r="N7" s="17" t="n">
        <v>0.12</v>
      </c>
      <c r="O7" s="16" t="n">
        <v>1398.35</v>
      </c>
      <c r="P7" s="13" t="inlineStr">
        <is>
          <t>Sim</t>
        </is>
      </c>
      <c r="Q7" s="15" t="inlineStr"/>
      <c r="R7" s="15" t="inlineStr">
        <is>
          <t>NOTAS FISCAIS DE COMPRA JANEIRO 2026.pdf - p. 48</t>
        </is>
      </c>
    </row>
    <row r="8">
      <c r="A8" s="13" t="inlineStr">
        <is>
          <t>JAN26-P049</t>
        </is>
      </c>
      <c r="B8" s="13" t="n">
        <v>49</v>
      </c>
      <c r="C8" s="13" t="inlineStr">
        <is>
          <t>431</t>
        </is>
      </c>
      <c r="D8" s="25" t="n">
        <v>46043</v>
      </c>
      <c r="E8" s="13" t="inlineStr">
        <is>
          <t>F G INTELIGENCIA EM LOGISTICA LTDA</t>
        </is>
      </c>
      <c r="F8" s="13" t="inlineStr">
        <is>
          <t>42.709.787/0003-77</t>
        </is>
      </c>
      <c r="G8" s="13" t="inlineStr">
        <is>
          <t>COMPANHIA INDUSTRIAL DE CIMENTO APODI</t>
        </is>
      </c>
      <c r="H8" s="13" t="inlineStr">
        <is>
          <t>10.260.249/0003-51</t>
        </is>
      </c>
      <c r="I8" s="13" t="inlineStr">
        <is>
          <t>SKAL ENGENHARIA INDUSTRIA E COMERCIO LTDA</t>
        </is>
      </c>
      <c r="J8" s="13" t="inlineStr">
        <is>
          <t>23.655.038/0002-89</t>
        </is>
      </c>
      <c r="K8" s="16" t="n">
        <v>18711</v>
      </c>
      <c r="L8" s="16" t="n">
        <v>11718</v>
      </c>
      <c r="M8" s="16" t="n">
        <v>11718</v>
      </c>
      <c r="N8" s="17" t="n">
        <v>0.12</v>
      </c>
      <c r="O8" s="16" t="n">
        <v>1406.16</v>
      </c>
      <c r="P8" s="13" t="inlineStr">
        <is>
          <t>Sim</t>
        </is>
      </c>
      <c r="Q8" s="15" t="inlineStr"/>
      <c r="R8" s="15" t="inlineStr">
        <is>
          <t>NOTAS FISCAIS DE COMPRA JANEIRO 2026.pdf - p. 49</t>
        </is>
      </c>
    </row>
    <row r="9">
      <c r="A9" s="13" t="inlineStr">
        <is>
          <t>JAN26-P050</t>
        </is>
      </c>
      <c r="B9" s="13" t="n">
        <v>50</v>
      </c>
      <c r="C9" s="13" t="inlineStr">
        <is>
          <t>426</t>
        </is>
      </c>
      <c r="D9" s="25" t="n">
        <v>46042</v>
      </c>
      <c r="E9" s="13" t="inlineStr">
        <is>
          <t>F G INTELIGENCIA EM LOGISTICA LTDA</t>
        </is>
      </c>
      <c r="F9" s="13" t="inlineStr">
        <is>
          <t>42.709.787/0003-77</t>
        </is>
      </c>
      <c r="G9" s="13" t="inlineStr">
        <is>
          <t>COMPANHIA INDUSTRIAL DE CIMENTO APODI</t>
        </is>
      </c>
      <c r="H9" s="13" t="inlineStr">
        <is>
          <t>10.260.249/0003-51</t>
        </is>
      </c>
      <c r="I9" s="13" t="inlineStr">
        <is>
          <t>SKAL ENGENHARIA INDUSTRIA E COMERCIO LTDA</t>
        </is>
      </c>
      <c r="J9" s="13" t="inlineStr">
        <is>
          <t>23.655.038/0002-89</t>
        </is>
      </c>
      <c r="K9" s="16" t="n">
        <v>18814.95</v>
      </c>
      <c r="L9" s="16" t="n">
        <v>11783.1</v>
      </c>
      <c r="M9" s="16" t="n">
        <v>11783.1</v>
      </c>
      <c r="N9" s="17" t="n">
        <v>0.12</v>
      </c>
      <c r="O9" s="16" t="n">
        <v>1413.97</v>
      </c>
      <c r="P9" s="13" t="inlineStr">
        <is>
          <t>Sim</t>
        </is>
      </c>
      <c r="Q9" s="15" t="inlineStr"/>
      <c r="R9" s="15" t="inlineStr">
        <is>
          <t>NOTAS FISCAIS DE COMPRA JANEIRO 2026.pdf - p. 50</t>
        </is>
      </c>
    </row>
    <row r="10">
      <c r="A10" s="13" t="inlineStr">
        <is>
          <t>JAN26-P051</t>
        </is>
      </c>
      <c r="B10" s="13" t="n">
        <v>51</v>
      </c>
      <c r="C10" s="13" t="inlineStr">
        <is>
          <t>421</t>
        </is>
      </c>
      <c r="D10" s="25" t="n">
        <v>46041</v>
      </c>
      <c r="E10" s="13" t="inlineStr">
        <is>
          <t>F G INTELIGENCIA EM LOGISTICA LTDA</t>
        </is>
      </c>
      <c r="F10" s="13" t="inlineStr">
        <is>
          <t>42.709.787/0003-77</t>
        </is>
      </c>
      <c r="G10" s="13" t="inlineStr">
        <is>
          <t>COMPANHIA INDUSTRIAL DE CIMENTO APODI</t>
        </is>
      </c>
      <c r="H10" s="13" t="inlineStr">
        <is>
          <t>10.260.249/0003-51</t>
        </is>
      </c>
      <c r="I10" s="13" t="inlineStr">
        <is>
          <t>SKAL ENGENHARIA INDUSTRIA E COMERCIO LTDA</t>
        </is>
      </c>
      <c r="J10" s="13" t="inlineStr">
        <is>
          <t>23.655.038/0002-89</t>
        </is>
      </c>
      <c r="K10" s="16" t="n">
        <v>18621.9</v>
      </c>
      <c r="L10" s="16" t="n">
        <v>11662.2</v>
      </c>
      <c r="M10" s="16" t="n">
        <v>11662.2</v>
      </c>
      <c r="N10" s="17" t="n">
        <v>0.12</v>
      </c>
      <c r="O10" s="16" t="n">
        <v>1399.46</v>
      </c>
      <c r="P10" s="13" t="inlineStr">
        <is>
          <t>Sim</t>
        </is>
      </c>
      <c r="Q10" s="15" t="inlineStr"/>
      <c r="R10" s="15" t="inlineStr">
        <is>
          <t>NOTAS FISCAIS DE COMPRA JANEIRO 2026.pdf - p. 51</t>
        </is>
      </c>
    </row>
    <row r="11">
      <c r="A11" s="13" t="inlineStr">
        <is>
          <t>JAN26-P052</t>
        </is>
      </c>
      <c r="B11" s="13" t="n">
        <v>52</v>
      </c>
      <c r="C11" s="13" t="inlineStr">
        <is>
          <t>418</t>
        </is>
      </c>
      <c r="D11" s="25" t="n">
        <v>46036</v>
      </c>
      <c r="E11" s="13" t="inlineStr">
        <is>
          <t>F G INTELIGENCIA EM LOGISTICA LTDA</t>
        </is>
      </c>
      <c r="F11" s="13" t="inlineStr">
        <is>
          <t>42.709.787/0003-77</t>
        </is>
      </c>
      <c r="G11" s="13" t="inlineStr">
        <is>
          <t>COMPANHIA INDUSTRIAL DE CIMENTO APODI</t>
        </is>
      </c>
      <c r="H11" s="13" t="inlineStr">
        <is>
          <t>10.260.249/0003-51</t>
        </is>
      </c>
      <c r="I11" s="13" t="inlineStr">
        <is>
          <t>SKAL ENGENHARIA INDUSTRIA E COMERCIO LTDA</t>
        </is>
      </c>
      <c r="J11" s="13" t="inlineStr">
        <is>
          <t>23.655.038/0002-89</t>
        </is>
      </c>
      <c r="K11" s="16" t="n">
        <v>18839.7</v>
      </c>
      <c r="L11" s="16" t="n">
        <v>11798.6</v>
      </c>
      <c r="M11" s="16" t="n">
        <v>11798.6</v>
      </c>
      <c r="N11" s="17" t="n">
        <v>0.12</v>
      </c>
      <c r="O11" s="16" t="n">
        <v>1415.83</v>
      </c>
      <c r="P11" s="13" t="inlineStr">
        <is>
          <t>Sim</t>
        </is>
      </c>
      <c r="Q11" s="15" t="inlineStr"/>
      <c r="R11" s="15" t="inlineStr">
        <is>
          <t>NOTAS FISCAIS DE COMPRA JANEIRO 2026.pdf - p. 52</t>
        </is>
      </c>
    </row>
    <row r="12">
      <c r="A12" s="13" t="inlineStr">
        <is>
          <t>JAN26-P087</t>
        </is>
      </c>
      <c r="B12" s="13" t="n">
        <v>87</v>
      </c>
      <c r="C12" s="13" t="inlineStr">
        <is>
          <t>409</t>
        </is>
      </c>
      <c r="D12" s="25" t="n">
        <v>46032</v>
      </c>
      <c r="E12" s="13" t="inlineStr">
        <is>
          <t>F G INTELIGENCIA EM LOGISTICA LTDA</t>
        </is>
      </c>
      <c r="F12" s="13" t="inlineStr">
        <is>
          <t>42.709.787/0003-77</t>
        </is>
      </c>
      <c r="G12" s="13" t="inlineStr">
        <is>
          <t>COMPANHIA INDUSTRIAL DE CIMENTO APODI</t>
        </is>
      </c>
      <c r="H12" s="13" t="inlineStr">
        <is>
          <t>10.260.249/0003-51</t>
        </is>
      </c>
      <c r="I12" s="13" t="inlineStr">
        <is>
          <t>SKAL ENGENHARIA INDUSTRIA E COMERCIO LTDA</t>
        </is>
      </c>
      <c r="J12" s="13" t="inlineStr">
        <is>
          <t>23.655.038/0002-89</t>
        </is>
      </c>
      <c r="K12" s="16" t="n">
        <v>18656.55</v>
      </c>
      <c r="L12" s="16" t="n">
        <v>11683.9</v>
      </c>
      <c r="M12" s="16" t="n">
        <v>11683.9</v>
      </c>
      <c r="N12" s="17" t="n">
        <v>0.12</v>
      </c>
      <c r="O12" s="16" t="n">
        <v>1402.07</v>
      </c>
      <c r="P12" s="13" t="inlineStr">
        <is>
          <t>Sim</t>
        </is>
      </c>
      <c r="Q12" s="15" t="inlineStr"/>
      <c r="R12" s="15" t="inlineStr">
        <is>
          <t>NOTAS FISCAIS DE COMPRA JANEIRO 2026.pdf - p. 87</t>
        </is>
      </c>
    </row>
    <row r="13">
      <c r="A13" s="13" t="inlineStr">
        <is>
          <t>JAN26-P088</t>
        </is>
      </c>
      <c r="B13" s="13" t="n">
        <v>88</v>
      </c>
      <c r="C13" s="13" t="inlineStr">
        <is>
          <t>408</t>
        </is>
      </c>
      <c r="D13" s="25" t="n">
        <v>46031</v>
      </c>
      <c r="E13" s="13" t="inlineStr">
        <is>
          <t>F G INTELIGENCIA EM LOGISTICA LTDA</t>
        </is>
      </c>
      <c r="F13" s="13" t="inlineStr">
        <is>
          <t>42.709.787/0003-77</t>
        </is>
      </c>
      <c r="G13" s="13" t="inlineStr">
        <is>
          <t>COMPANHIA INDUSTRIAL DE CIMENTO APODI</t>
        </is>
      </c>
      <c r="H13" s="13" t="inlineStr">
        <is>
          <t>10.260.249/0003-51</t>
        </is>
      </c>
      <c r="I13" s="13" t="inlineStr">
        <is>
          <t>SKAL ENGENHARIA INDUSTRIA E COMERCIO LTDA</t>
        </is>
      </c>
      <c r="J13" s="13" t="inlineStr">
        <is>
          <t>23.655.038/0002-89</t>
        </is>
      </c>
      <c r="K13" s="16" t="n">
        <v>18805.05</v>
      </c>
      <c r="L13" s="16" t="n">
        <v>11776.9</v>
      </c>
      <c r="M13" s="16" t="n">
        <v>11776.9</v>
      </c>
      <c r="N13" s="17" t="n">
        <v>0.12</v>
      </c>
      <c r="O13" s="16" t="n">
        <v>1413.23</v>
      </c>
      <c r="P13" s="13" t="inlineStr">
        <is>
          <t>Sim</t>
        </is>
      </c>
      <c r="Q13" s="15" t="inlineStr"/>
      <c r="R13" s="15" t="inlineStr">
        <is>
          <t>NOTAS FISCAIS DE COMPRA JANEIRO 2026.pdf - p. 88</t>
        </is>
      </c>
    </row>
    <row r="14">
      <c r="A14" s="13" t="inlineStr">
        <is>
          <t>JAN26-P089</t>
        </is>
      </c>
      <c r="B14" s="13" t="n">
        <v>89</v>
      </c>
      <c r="C14" s="13" t="inlineStr">
        <is>
          <t>407</t>
        </is>
      </c>
      <c r="D14" s="25" t="n">
        <v>46031</v>
      </c>
      <c r="E14" s="13" t="inlineStr">
        <is>
          <t>F G INTELIGENCIA EM LOGISTICA LTDA</t>
        </is>
      </c>
      <c r="F14" s="13" t="inlineStr">
        <is>
          <t>42.709.787/0003-77</t>
        </is>
      </c>
      <c r="G14" s="13" t="inlineStr">
        <is>
          <t>COMPANHIA INDUSTRIAL DE CIMENTO APODI</t>
        </is>
      </c>
      <c r="H14" s="13" t="inlineStr">
        <is>
          <t>10.260.249/0003-51</t>
        </is>
      </c>
      <c r="I14" s="13" t="inlineStr">
        <is>
          <t>SKAL ENGENHARIA INDUSTRIA E COMERCIO LTDA</t>
        </is>
      </c>
      <c r="J14" s="13" t="inlineStr">
        <is>
          <t>23.655.038/0002-89</t>
        </is>
      </c>
      <c r="K14" s="16" t="n">
        <v>15797.5</v>
      </c>
      <c r="L14" s="16" t="n">
        <v>2307.5</v>
      </c>
      <c r="M14" s="16" t="n">
        <v>2307.5</v>
      </c>
      <c r="N14" s="17" t="n">
        <v>0.12</v>
      </c>
      <c r="O14" s="16" t="n">
        <v>276.9</v>
      </c>
      <c r="P14" s="13" t="inlineStr">
        <is>
          <t>Sim</t>
        </is>
      </c>
      <c r="Q14" s="15" t="inlineStr"/>
      <c r="R14" s="15" t="inlineStr">
        <is>
          <t>NOTAS FISCAIS DE COMPRA JANEIRO 2026.pdf - p. 89</t>
        </is>
      </c>
    </row>
    <row r="15">
      <c r="A15" s="13" t="inlineStr">
        <is>
          <t>JAN26-P090</t>
        </is>
      </c>
      <c r="B15" s="13" t="n">
        <v>90</v>
      </c>
      <c r="C15" s="13" t="inlineStr">
        <is>
          <t>405</t>
        </is>
      </c>
      <c r="D15" s="25" t="n">
        <v>46029</v>
      </c>
      <c r="E15" s="13" t="inlineStr">
        <is>
          <t>F G INTELIGENCIA EM LOGISTICA LTDA</t>
        </is>
      </c>
      <c r="F15" s="13" t="inlineStr">
        <is>
          <t>42.709.787/0003-77</t>
        </is>
      </c>
      <c r="G15" s="13" t="inlineStr">
        <is>
          <t>COMPANHIA INDUSTRIAL DE CIMENTO APODI</t>
        </is>
      </c>
      <c r="H15" s="13" t="inlineStr">
        <is>
          <t>10.260.249/0003-51</t>
        </is>
      </c>
      <c r="I15" s="13" t="inlineStr">
        <is>
          <t>SKAL ENGENHARIA INDUSTRIA E COMERCIO LTDA</t>
        </is>
      </c>
      <c r="J15" s="13" t="inlineStr">
        <is>
          <t>23.655.038/0002-89</t>
        </is>
      </c>
      <c r="K15" s="16" t="n">
        <v>18701.1</v>
      </c>
      <c r="L15" s="16" t="n">
        <v>11711.8</v>
      </c>
      <c r="M15" s="16" t="n">
        <v>11711.8</v>
      </c>
      <c r="N15" s="17" t="n">
        <v>0.12</v>
      </c>
      <c r="O15" s="16" t="n">
        <v>1405.42</v>
      </c>
      <c r="P15" s="13" t="inlineStr">
        <is>
          <t>Sim</t>
        </is>
      </c>
      <c r="Q15" s="15" t="inlineStr"/>
      <c r="R15" s="15" t="inlineStr">
        <is>
          <t>NOTAS FISCAIS DE COMPRA JANEIRO 2026.pdf - p. 90</t>
        </is>
      </c>
    </row>
    <row r="16">
      <c r="A16" s="13" t="inlineStr">
        <is>
          <t>JAN26-P091</t>
        </is>
      </c>
      <c r="B16" s="13" t="n">
        <v>91</v>
      </c>
      <c r="C16" s="13" t="inlineStr">
        <is>
          <t>401</t>
        </is>
      </c>
      <c r="D16" s="25" t="n">
        <v>46028</v>
      </c>
      <c r="E16" s="13" t="inlineStr">
        <is>
          <t>F G INTELIGENCIA EM LOGISTICA LTDA</t>
        </is>
      </c>
      <c r="F16" s="13" t="inlineStr">
        <is>
          <t>42.709.787/0003-77</t>
        </is>
      </c>
      <c r="G16" s="13" t="inlineStr">
        <is>
          <t>COMPANHIA INDUSTRIAL DE CIMENTO APODI</t>
        </is>
      </c>
      <c r="H16" s="13" t="inlineStr">
        <is>
          <t>10.260.249/0003-51</t>
        </is>
      </c>
      <c r="I16" s="13" t="inlineStr">
        <is>
          <t>SKAL ENGENHARIA INDUSTRIA E COMERCIO LTDA</t>
        </is>
      </c>
      <c r="J16" s="13" t="inlineStr">
        <is>
          <t>23.655.038/0002-89</t>
        </is>
      </c>
      <c r="K16" s="16" t="n">
        <v>18785.25</v>
      </c>
      <c r="L16" s="16" t="n">
        <v>11764.5</v>
      </c>
      <c r="M16" s="16" t="n">
        <v>11764.5</v>
      </c>
      <c r="N16" s="17" t="n">
        <v>0.12</v>
      </c>
      <c r="O16" s="16" t="n">
        <v>1411.74</v>
      </c>
      <c r="P16" s="13" t="inlineStr">
        <is>
          <t>Sim</t>
        </is>
      </c>
      <c r="Q16" s="15" t="inlineStr"/>
      <c r="R16" s="15" t="inlineStr">
        <is>
          <t>NOTAS FISCAIS DE COMPRA JANEIRO 2026.pdf - p. 91</t>
        </is>
      </c>
    </row>
    <row r="17">
      <c r="A17" s="13" t="inlineStr">
        <is>
          <t>JAN26-P098</t>
        </is>
      </c>
      <c r="B17" s="13" t="n">
        <v>98</v>
      </c>
      <c r="C17" s="13" t="inlineStr">
        <is>
          <t>373</t>
        </is>
      </c>
      <c r="D17" s="25" t="n">
        <v>46004</v>
      </c>
      <c r="E17" s="13" t="inlineStr">
        <is>
          <t>F G INTELIGENCIA EM LOGISTICA LTDA</t>
        </is>
      </c>
      <c r="F17" s="13" t="inlineStr">
        <is>
          <t>42.709.787/0003-77</t>
        </is>
      </c>
      <c r="G17" s="13" t="inlineStr">
        <is>
          <t>COMPANHIA INDUSTRIAL DE CIMENTO APODI</t>
        </is>
      </c>
      <c r="H17" s="13" t="inlineStr">
        <is>
          <t>10.260.249/0003-51</t>
        </is>
      </c>
      <c r="I17" s="13" t="inlineStr">
        <is>
          <t>SKAL ENGENHARIA INDUSTRIA E COMERCIO LTDA</t>
        </is>
      </c>
      <c r="J17" s="13" t="inlineStr">
        <is>
          <t>23.655.038/0002-89</t>
        </is>
      </c>
      <c r="K17" s="16" t="n">
        <v>18834.75</v>
      </c>
      <c r="L17" s="16" t="n">
        <v>11795.5</v>
      </c>
      <c r="M17" s="16" t="n">
        <v>11795.5</v>
      </c>
      <c r="N17" s="17" t="n">
        <v>0.12</v>
      </c>
      <c r="O17" s="16" t="n">
        <v>1415.46</v>
      </c>
      <c r="P17" s="13" t="inlineStr">
        <is>
          <t>Sim</t>
        </is>
      </c>
      <c r="Q17" s="15" t="inlineStr"/>
      <c r="R17" s="15" t="inlineStr">
        <is>
          <t>NOTAS FISCAIS DE COMPRA JANEIRO 2026.pdf - p. 98</t>
        </is>
      </c>
    </row>
    <row r="18">
      <c r="A18" s="13" t="inlineStr">
        <is>
          <t>JAN26-P100</t>
        </is>
      </c>
      <c r="B18" s="13" t="n">
        <v>100</v>
      </c>
      <c r="C18" s="13" t="inlineStr">
        <is>
          <t>376</t>
        </is>
      </c>
      <c r="D18" s="25" t="n">
        <v>46006</v>
      </c>
      <c r="E18" s="13" t="inlineStr">
        <is>
          <t>F G INTELIGENCIA EM LOGISTICA LTDA</t>
        </is>
      </c>
      <c r="F18" s="13" t="inlineStr">
        <is>
          <t>42.709.787/0003-77</t>
        </is>
      </c>
      <c r="G18" s="13" t="inlineStr">
        <is>
          <t>COMPANHIA INDUSTRIAL DE CIMENTO APODI</t>
        </is>
      </c>
      <c r="H18" s="13" t="inlineStr">
        <is>
          <t>10.260.249/0003-51</t>
        </is>
      </c>
      <c r="I18" s="13" t="inlineStr">
        <is>
          <t>SKAL ENGENHARIA INDUSTRIA E COMERCIO LTDA</t>
        </is>
      </c>
      <c r="J18" s="13" t="inlineStr">
        <is>
          <t>23.655.038/0002-89</t>
        </is>
      </c>
      <c r="K18" s="16" t="n">
        <v>18661.5</v>
      </c>
      <c r="L18" s="16" t="n">
        <v>11687</v>
      </c>
      <c r="M18" s="16" t="n">
        <v>11687</v>
      </c>
      <c r="N18" s="17" t="n">
        <v>0.12</v>
      </c>
      <c r="O18" s="16" t="n">
        <v>1402.44</v>
      </c>
      <c r="P18" s="13" t="inlineStr">
        <is>
          <t>Sim</t>
        </is>
      </c>
      <c r="Q18" s="15" t="inlineStr"/>
      <c r="R18" s="15" t="inlineStr">
        <is>
          <t>NOTAS FISCAIS DE COMPRA JANEIRO 2026.pdf - p. 100</t>
        </is>
      </c>
    </row>
    <row r="19">
      <c r="A19" s="13" t="inlineStr">
        <is>
          <t>JAN26-P102</t>
        </is>
      </c>
      <c r="B19" s="13" t="n">
        <v>102</v>
      </c>
      <c r="C19" s="13" t="inlineStr">
        <is>
          <t>381</t>
        </is>
      </c>
      <c r="D19" s="25" t="n">
        <v>46008</v>
      </c>
      <c r="E19" s="13" t="inlineStr">
        <is>
          <t>F G INTELIGENCIA EM LOGISTICA LTDA</t>
        </is>
      </c>
      <c r="F19" s="13" t="inlineStr">
        <is>
          <t>42.709.787/0003-77</t>
        </is>
      </c>
      <c r="G19" s="13" t="inlineStr">
        <is>
          <t>COMPANHIA INDUSTRIAL DE CIMENTO APODI</t>
        </is>
      </c>
      <c r="H19" s="13" t="inlineStr">
        <is>
          <t>10.260.249/0003-51</t>
        </is>
      </c>
      <c r="I19" s="13" t="inlineStr">
        <is>
          <t>SKAL ENGENHARIA INDUSTRIA E COMERCIO LTDA</t>
        </is>
      </c>
      <c r="J19" s="13" t="inlineStr">
        <is>
          <t>23.655.038/0002-89</t>
        </is>
      </c>
      <c r="K19" s="16" t="n">
        <v>18810</v>
      </c>
      <c r="L19" s="16" t="n">
        <v>11780</v>
      </c>
      <c r="M19" s="16" t="n">
        <v>11780</v>
      </c>
      <c r="N19" s="17" t="n">
        <v>0.12</v>
      </c>
      <c r="O19" s="16" t="n">
        <v>1413.6</v>
      </c>
      <c r="P19" s="13" t="inlineStr">
        <is>
          <t>Sim</t>
        </is>
      </c>
      <c r="Q19" s="15" t="inlineStr"/>
      <c r="R19" s="15" t="inlineStr">
        <is>
          <t>NOTAS FISCAIS DE COMPRA JANEIRO 2026.pdf - p. 102</t>
        </is>
      </c>
    </row>
    <row r="20">
      <c r="A20" s="13" t="inlineStr">
        <is>
          <t>JAN26-P104</t>
        </is>
      </c>
      <c r="B20" s="13" t="n">
        <v>104</v>
      </c>
      <c r="C20" s="13" t="inlineStr">
        <is>
          <t>383</t>
        </is>
      </c>
      <c r="D20" s="25" t="n">
        <v>46008</v>
      </c>
      <c r="E20" s="13" t="inlineStr">
        <is>
          <t>F G INTELIGENCIA EM LOGISTICA LTDA</t>
        </is>
      </c>
      <c r="F20" s="13" t="inlineStr">
        <is>
          <t>42.709.787/0003-77</t>
        </is>
      </c>
      <c r="G20" s="13" t="inlineStr">
        <is>
          <t>COMPANHIA INDUSTRIAL DE CIMENTO APODI</t>
        </is>
      </c>
      <c r="H20" s="13" t="inlineStr">
        <is>
          <t>10.260.249/0003-51</t>
        </is>
      </c>
      <c r="I20" s="13" t="inlineStr">
        <is>
          <t>SKAL ENGENHARIA INDUSTRIA E COMERCIO LTDA</t>
        </is>
      </c>
      <c r="J20" s="13" t="inlineStr">
        <is>
          <t>23.655.038/0002-89</t>
        </is>
      </c>
      <c r="K20" s="16" t="n">
        <v>18176.4</v>
      </c>
      <c r="L20" s="16" t="n">
        <v>11383.2</v>
      </c>
      <c r="M20" s="16" t="n">
        <v>11383.2</v>
      </c>
      <c r="N20" s="17" t="n">
        <v>0.12</v>
      </c>
      <c r="O20" s="16" t="n">
        <v>1365.98</v>
      </c>
      <c r="P20" s="13" t="inlineStr">
        <is>
          <t>Sim</t>
        </is>
      </c>
      <c r="Q20" s="15" t="inlineStr"/>
      <c r="R20" s="15" t="inlineStr">
        <is>
          <t>NOTAS FISCAIS DE COMPRA JANEIRO 2026.pdf - p. 104</t>
        </is>
      </c>
    </row>
    <row r="21">
      <c r="A21" s="13" t="inlineStr">
        <is>
          <t>JAN26-P106</t>
        </is>
      </c>
      <c r="B21" s="13" t="n">
        <v>106</v>
      </c>
      <c r="C21" s="13" t="inlineStr">
        <is>
          <t>385</t>
        </is>
      </c>
      <c r="D21" s="25" t="n">
        <v>46009</v>
      </c>
      <c r="E21" s="13" t="inlineStr">
        <is>
          <t>F G INTELIGENCIA EM LOGISTICA LTDA</t>
        </is>
      </c>
      <c r="F21" s="13" t="inlineStr">
        <is>
          <t>42.709.787/0003-77</t>
        </is>
      </c>
      <c r="G21" s="13" t="inlineStr">
        <is>
          <t>COMPANHIA INDUSTRIAL DE CIMENTO APODI</t>
        </is>
      </c>
      <c r="H21" s="13" t="inlineStr">
        <is>
          <t>10.260.249/0003-51</t>
        </is>
      </c>
      <c r="I21" s="13" t="inlineStr">
        <is>
          <t>SKAL ENGENHARIA INDUSTRIA E COMERCIO LTDA</t>
        </is>
      </c>
      <c r="J21" s="13" t="inlineStr">
        <is>
          <t>23.655.038/0002-89</t>
        </is>
      </c>
      <c r="K21" s="16" t="n">
        <v>18725.85</v>
      </c>
      <c r="L21" s="16" t="n">
        <v>11727.3</v>
      </c>
      <c r="M21" s="16" t="n">
        <v>11727.3</v>
      </c>
      <c r="N21" s="17" t="n">
        <v>0.12</v>
      </c>
      <c r="O21" s="16" t="n">
        <v>1407.28</v>
      </c>
      <c r="P21" s="13" t="inlineStr">
        <is>
          <t>Sim</t>
        </is>
      </c>
      <c r="Q21" s="15" t="inlineStr"/>
      <c r="R21" s="15" t="inlineStr">
        <is>
          <t>NOTAS FISCAIS DE COMPRA JANEIRO 2026.pdf - p. 106</t>
        </is>
      </c>
    </row>
    <row r="22">
      <c r="A22" s="13" t="inlineStr">
        <is>
          <t>JAN26-P108</t>
        </is>
      </c>
      <c r="B22" s="13" t="n">
        <v>108</v>
      </c>
      <c r="C22" s="13" t="inlineStr">
        <is>
          <t>389</t>
        </is>
      </c>
      <c r="D22" s="25" t="n">
        <v>46011</v>
      </c>
      <c r="E22" s="13" t="inlineStr">
        <is>
          <t>F G INTELIGENCIA EM LOGISTICA LTDA</t>
        </is>
      </c>
      <c r="F22" s="13" t="inlineStr">
        <is>
          <t>42.709.787/0003-77</t>
        </is>
      </c>
      <c r="G22" s="13" t="inlineStr">
        <is>
          <t>COMPANHIA INDUSTRIAL DE CIMENTO APODI</t>
        </is>
      </c>
      <c r="H22" s="13" t="inlineStr">
        <is>
          <t>10.260.249/0003-51</t>
        </is>
      </c>
      <c r="I22" s="13" t="inlineStr">
        <is>
          <t>SKAL ENGENHARIA INDUSTRIA E COMERCIO LTDA</t>
        </is>
      </c>
      <c r="J22" s="13" t="inlineStr">
        <is>
          <t>23.655.038/0002-89</t>
        </is>
      </c>
      <c r="K22" s="16" t="n">
        <v>18542.7</v>
      </c>
      <c r="L22" s="16" t="n">
        <v>11612.6</v>
      </c>
      <c r="M22" s="16" t="n">
        <v>11612.6</v>
      </c>
      <c r="N22" s="17" t="n">
        <v>0.12</v>
      </c>
      <c r="O22" s="16" t="n">
        <v>1393.51</v>
      </c>
      <c r="P22" s="13" t="inlineStr">
        <is>
          <t>Sim</t>
        </is>
      </c>
      <c r="Q22" s="15" t="inlineStr"/>
      <c r="R22" s="15" t="inlineStr">
        <is>
          <t>NOTAS FISCAIS DE COMPRA JANEIRO 2026.pdf - p. 108</t>
        </is>
      </c>
    </row>
    <row r="23">
      <c r="A23" s="13" t="inlineStr">
        <is>
          <t>JAN26-P117</t>
        </is>
      </c>
      <c r="B23" s="13" t="n">
        <v>117</v>
      </c>
      <c r="C23" s="13" t="inlineStr">
        <is>
          <t>417</t>
        </is>
      </c>
      <c r="D23" s="25" t="n">
        <v>46036</v>
      </c>
      <c r="E23" s="13" t="inlineStr">
        <is>
          <t>F G INTELIGENCIA EM LOGISTICA LTDA</t>
        </is>
      </c>
      <c r="F23" s="13" t="inlineStr">
        <is>
          <t>42.709.787/0003-77</t>
        </is>
      </c>
      <c r="G23" s="13" t="inlineStr">
        <is>
          <t>COMPANHIA INDUSTRIAL DE CIMENTO APODI</t>
        </is>
      </c>
      <c r="H23" s="13" t="inlineStr">
        <is>
          <t>10.260.249/0003-51</t>
        </is>
      </c>
      <c r="I23" s="13" t="inlineStr">
        <is>
          <t>SKAL ENGENHARIA INDUSTRIA E COMERCIO LTDA</t>
        </is>
      </c>
      <c r="J23" s="13" t="inlineStr">
        <is>
          <t>23.655.038/0002-89</t>
        </is>
      </c>
      <c r="K23" s="16" t="n">
        <v>18676.35</v>
      </c>
      <c r="L23" s="16" t="n">
        <v>11696.3</v>
      </c>
      <c r="M23" s="16" t="n">
        <v>11696.3</v>
      </c>
      <c r="N23" s="17" t="n">
        <v>0.12</v>
      </c>
      <c r="O23" s="16" t="n">
        <v>1403.56</v>
      </c>
      <c r="P23" s="13" t="inlineStr">
        <is>
          <t>Sim</t>
        </is>
      </c>
      <c r="Q23" s="15" t="inlineStr"/>
      <c r="R23" s="15" t="inlineStr">
        <is>
          <t>NOTAS FISCAIS DE COMPRA JANEIRO 2026.pdf - p. 117</t>
        </is>
      </c>
    </row>
    <row r="24">
      <c r="A24" s="13" t="inlineStr">
        <is>
          <t>JAN26-P118</t>
        </is>
      </c>
      <c r="B24" s="13" t="n">
        <v>118</v>
      </c>
      <c r="C24" s="13" t="inlineStr">
        <is>
          <t>411</t>
        </is>
      </c>
      <c r="D24" s="25" t="n">
        <v>46034</v>
      </c>
      <c r="E24" s="13" t="inlineStr">
        <is>
          <t>F G INTELIGENCIA EM LOGISTICA LTDA</t>
        </is>
      </c>
      <c r="F24" s="13" t="inlineStr">
        <is>
          <t>42.709.787/0003-77</t>
        </is>
      </c>
      <c r="G24" s="13" t="inlineStr">
        <is>
          <t>COMPANHIA INDUSTRIAL DE CIMENTO APODI</t>
        </is>
      </c>
      <c r="H24" s="13" t="inlineStr">
        <is>
          <t>10.260.249/0003-51</t>
        </is>
      </c>
      <c r="I24" s="13" t="inlineStr">
        <is>
          <t>SKAL ENGENHARIA INDUSTRIA E COMERCIO LTDA</t>
        </is>
      </c>
      <c r="J24" s="13" t="inlineStr">
        <is>
          <t>23.655.038/0002-89</t>
        </is>
      </c>
      <c r="K24" s="16" t="n">
        <v>18720.9</v>
      </c>
      <c r="L24" s="16" t="n">
        <v>11724.2</v>
      </c>
      <c r="M24" s="16" t="n">
        <v>11724.2</v>
      </c>
      <c r="N24" s="17" t="n">
        <v>0.12</v>
      </c>
      <c r="O24" s="16" t="n">
        <v>1406.9</v>
      </c>
      <c r="P24" s="13" t="inlineStr">
        <is>
          <t>Sim</t>
        </is>
      </c>
      <c r="Q24" s="15" t="inlineStr"/>
      <c r="R24" s="15" t="inlineStr">
        <is>
          <t>NOTAS FISCAIS DE COMPRA JANEIRO 2026.pdf - p. 118</t>
        </is>
      </c>
    </row>
    <row r="25">
      <c r="A25" s="13" t="inlineStr">
        <is>
          <t>JAN26-P121</t>
        </is>
      </c>
      <c r="B25" s="13" t="n">
        <v>121</v>
      </c>
      <c r="C25" s="13" t="inlineStr">
        <is>
          <t>392</t>
        </is>
      </c>
      <c r="D25" s="25" t="n">
        <v>46013</v>
      </c>
      <c r="E25" s="13" t="inlineStr">
        <is>
          <t>F G INTELIGENCIA EM LOGISTICA LTDA</t>
        </is>
      </c>
      <c r="F25" s="13" t="inlineStr">
        <is>
          <t>42.709.787/0003-77</t>
        </is>
      </c>
      <c r="G25" s="13" t="inlineStr">
        <is>
          <t>COMPANHIA INDUSTRIAL DE CIMENTO APODI</t>
        </is>
      </c>
      <c r="H25" s="13" t="inlineStr">
        <is>
          <t>10.260.249/0003-51</t>
        </is>
      </c>
      <c r="I25" s="13" t="inlineStr">
        <is>
          <t>SKAL ENGENHARIA INDUSTRIA E COMERCIO LTDA</t>
        </is>
      </c>
      <c r="J25" s="13" t="inlineStr">
        <is>
          <t>23.655.038/0002-89</t>
        </is>
      </c>
      <c r="K25" s="16" t="n">
        <v>18562.5</v>
      </c>
      <c r="L25" s="16" t="n">
        <v>11625</v>
      </c>
      <c r="M25" s="16" t="n">
        <v>11625</v>
      </c>
      <c r="N25" s="17" t="n">
        <v>0.12</v>
      </c>
      <c r="O25" s="16" t="n">
        <v>1395</v>
      </c>
      <c r="P25" s="13" t="inlineStr">
        <is>
          <t>Sim</t>
        </is>
      </c>
      <c r="Q25" s="15" t="inlineStr"/>
      <c r="R25" s="15" t="inlineStr">
        <is>
          <t>NOTAS FISCAIS DE COMPRA JANEIRO 2026.pdf - p. 121</t>
        </is>
      </c>
    </row>
    <row r="26">
      <c r="A26" s="13" t="inlineStr">
        <is>
          <t>JAN26-P123</t>
        </is>
      </c>
      <c r="B26" s="13" t="n">
        <v>123</v>
      </c>
      <c r="C26" s="13" t="inlineStr">
        <is>
          <t>393</t>
        </is>
      </c>
      <c r="D26" s="25" t="n">
        <v>46014</v>
      </c>
      <c r="E26" s="13" t="inlineStr">
        <is>
          <t>F G INTELIGENCIA EM LOGISTICA LTDA</t>
        </is>
      </c>
      <c r="F26" s="13" t="inlineStr">
        <is>
          <t>42.709.787/0003-77</t>
        </is>
      </c>
      <c r="G26" s="13" t="inlineStr">
        <is>
          <t>COMPANHIA INDUSTRIAL DE CIMENTO APODI</t>
        </is>
      </c>
      <c r="H26" s="13" t="inlineStr">
        <is>
          <t>10.260.249/0003-51</t>
        </is>
      </c>
      <c r="I26" s="13" t="inlineStr">
        <is>
          <t>SKAL ENGENHARIA INDUSTRIA E COMERCIO LTDA</t>
        </is>
      </c>
      <c r="J26" s="13" t="inlineStr">
        <is>
          <t>23.655.038/0002-89</t>
        </is>
      </c>
      <c r="K26" s="16" t="n">
        <v>18795.15</v>
      </c>
      <c r="L26" s="16" t="n">
        <v>11770.7</v>
      </c>
      <c r="M26" s="16" t="n">
        <v>11770.7</v>
      </c>
      <c r="N26" s="17" t="n">
        <v>0.12</v>
      </c>
      <c r="O26" s="16" t="n">
        <v>1412.48</v>
      </c>
      <c r="P26" s="13" t="inlineStr">
        <is>
          <t>Sim</t>
        </is>
      </c>
      <c r="Q26" s="15" t="inlineStr"/>
      <c r="R26" s="15" t="inlineStr">
        <is>
          <t>NOTAS FISCAIS DE COMPRA JANEIRO 2026.pdf - p. 123</t>
        </is>
      </c>
    </row>
    <row r="27">
      <c r="A27" s="13" t="inlineStr">
        <is>
          <t>JAN26-P126</t>
        </is>
      </c>
      <c r="B27" s="13" t="n">
        <v>126</v>
      </c>
      <c r="C27" s="13" t="inlineStr">
        <is>
          <t>394</t>
        </is>
      </c>
      <c r="D27" s="25" t="n">
        <v>46018</v>
      </c>
      <c r="E27" s="13" t="inlineStr">
        <is>
          <t>F G INTELIGENCIA EM LOGISTICA LTDA</t>
        </is>
      </c>
      <c r="F27" s="13" t="inlineStr">
        <is>
          <t>42.709.787/0003-77</t>
        </is>
      </c>
      <c r="G27" s="13" t="inlineStr">
        <is>
          <t>COMPANHIA INDUSTRIAL DE CIMENTO APODI</t>
        </is>
      </c>
      <c r="H27" s="13" t="inlineStr">
        <is>
          <t>10.260.249/0003-51</t>
        </is>
      </c>
      <c r="I27" s="13" t="inlineStr">
        <is>
          <t>SKAL ENGENHARIA INDUSTRIA E COMERCIO LTDA</t>
        </is>
      </c>
      <c r="J27" s="13" t="inlineStr">
        <is>
          <t>23.655.038/0002-89</t>
        </is>
      </c>
      <c r="K27" s="16" t="n">
        <v>18755.55</v>
      </c>
      <c r="L27" s="16" t="n">
        <v>11745.9</v>
      </c>
      <c r="M27" s="16" t="n">
        <v>11745.9</v>
      </c>
      <c r="N27" s="17" t="n">
        <v>0.12</v>
      </c>
      <c r="O27" s="16" t="n">
        <v>1409.51</v>
      </c>
      <c r="P27" s="13" t="inlineStr">
        <is>
          <t>Sim</t>
        </is>
      </c>
      <c r="Q27" s="15" t="inlineStr"/>
      <c r="R27" s="15" t="inlineStr">
        <is>
          <t>NOTAS FISCAIS DE COMPRA JANEIRO 2026.pdf - p. 126</t>
        </is>
      </c>
    </row>
    <row r="28">
      <c r="A28" s="13" t="inlineStr">
        <is>
          <t>JAN26-P128</t>
        </is>
      </c>
      <c r="B28" s="13" t="n">
        <v>128</v>
      </c>
      <c r="C28" s="13" t="inlineStr">
        <is>
          <t>396</t>
        </is>
      </c>
      <c r="D28" s="25" t="n">
        <v>46020</v>
      </c>
      <c r="E28" s="13" t="inlineStr">
        <is>
          <t>F G INTELIGENCIA EM LOGISTICA LTDA</t>
        </is>
      </c>
      <c r="F28" s="13" t="inlineStr">
        <is>
          <t>42.709.787/0003-77</t>
        </is>
      </c>
      <c r="G28" s="13" t="inlineStr">
        <is>
          <t>COMPANHIA INDUSTRIAL DE CIMENTO APODI</t>
        </is>
      </c>
      <c r="H28" s="13" t="inlineStr">
        <is>
          <t>10.260.249/0003-51</t>
        </is>
      </c>
      <c r="I28" s="13" t="inlineStr">
        <is>
          <t>SKAL ENGENHARIA INDUSTRIA E COMERCIO LTDA</t>
        </is>
      </c>
      <c r="J28" s="13" t="inlineStr">
        <is>
          <t>23.655.038/0002-89</t>
        </is>
      </c>
      <c r="K28" s="16" t="n">
        <v>18849.6</v>
      </c>
      <c r="L28" s="16" t="n">
        <v>11804.8</v>
      </c>
      <c r="M28" s="16" t="n">
        <v>11804.8</v>
      </c>
      <c r="N28" s="17" t="n">
        <v>0.12</v>
      </c>
      <c r="O28" s="16" t="n">
        <v>1416.58</v>
      </c>
      <c r="P28" s="13" t="inlineStr">
        <is>
          <t>Sim</t>
        </is>
      </c>
      <c r="Q28" s="15" t="inlineStr"/>
      <c r="R28" s="15" t="inlineStr">
        <is>
          <t>NOTAS FISCAIS DE COMPRA JANEIRO 2026.pdf - p. 128</t>
        </is>
      </c>
    </row>
    <row r="29">
      <c r="A29" s="13" t="inlineStr">
        <is>
          <t>JAN26-P129</t>
        </is>
      </c>
      <c r="B29" s="13" t="n">
        <v>129</v>
      </c>
      <c r="C29" s="13" t="inlineStr">
        <is>
          <t>397</t>
        </is>
      </c>
      <c r="D29" s="25" t="n">
        <v>46021</v>
      </c>
      <c r="E29" s="13" t="inlineStr">
        <is>
          <t>F G INTELIGENCIA EM LOGISTICA LTDA</t>
        </is>
      </c>
      <c r="F29" s="13" t="inlineStr">
        <is>
          <t>42.709.787/0003-77</t>
        </is>
      </c>
      <c r="G29" s="13" t="inlineStr">
        <is>
          <t>COMPANHIA INDUSTRIAL DE CIMENTO APODI</t>
        </is>
      </c>
      <c r="H29" s="13" t="inlineStr">
        <is>
          <t>10.260.249/0003-51</t>
        </is>
      </c>
      <c r="I29" s="13" t="inlineStr">
        <is>
          <t>SKAL ENGENHARIA INDUSTRIA E COMERCIO LTDA</t>
        </is>
      </c>
      <c r="J29" s="13" t="inlineStr">
        <is>
          <t>23.655.038/0002-89</t>
        </is>
      </c>
      <c r="K29" s="16" t="n">
        <v>18681.3</v>
      </c>
      <c r="L29" s="16" t="n">
        <v>11699.4</v>
      </c>
      <c r="M29" s="16" t="n">
        <v>11699.4</v>
      </c>
      <c r="N29" s="17" t="n">
        <v>0.12</v>
      </c>
      <c r="O29" s="16" t="n">
        <v>1403.93</v>
      </c>
      <c r="P29" s="13" t="inlineStr">
        <is>
          <t>Sim</t>
        </is>
      </c>
      <c r="Q29" s="15" t="inlineStr"/>
      <c r="R29" s="15" t="inlineStr">
        <is>
          <t>NOTAS FISCAIS DE COMPRA JANEIRO 2026.pdf - p. 129</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O5"/>
  <sheetViews>
    <sheetView showGridLines="0" workbookViewId="0">
      <pane ySplit="1" topLeftCell="A2" activePane="bottomLeft" state="frozen"/>
      <selection pane="bottomLeft" activeCell="A1" sqref="A1"/>
    </sheetView>
  </sheetViews>
  <sheetFormatPr baseColWidth="8" defaultRowHeight="15"/>
  <cols>
    <col width="15" customWidth="1" min="1" max="1"/>
    <col width="8" customWidth="1" min="2" max="2"/>
    <col width="16" customWidth="1" min="3" max="3"/>
    <col width="13" customWidth="1" min="4" max="4"/>
    <col width="13" customWidth="1" min="5" max="5"/>
    <col width="42" customWidth="1" min="6" max="6"/>
    <col width="20" customWidth="1" min="7" max="7"/>
    <col width="16" customWidth="1" min="8" max="8"/>
    <col width="17" customWidth="1" min="9" max="9"/>
    <col width="12" customWidth="1" min="10" max="10"/>
    <col width="12" customWidth="1" min="11" max="11"/>
    <col width="12" customWidth="1" min="12" max="12"/>
    <col width="12" customWidth="1" min="13" max="13"/>
    <col width="15" customWidth="1" min="14" max="14"/>
    <col width="42" customWidth="1" min="15" max="15"/>
  </cols>
  <sheetData>
    <row r="1" ht="36" customHeight="1">
      <c r="A1" s="12" t="inlineStr">
        <is>
          <t>Doc_ID</t>
        </is>
      </c>
      <c r="B1" s="12" t="inlineStr">
        <is>
          <t>Pagina</t>
        </is>
      </c>
      <c r="C1" s="12" t="inlineStr">
        <is>
          <t>NF3e</t>
        </is>
      </c>
      <c r="D1" s="12" t="inlineStr">
        <is>
          <t>Data</t>
        </is>
      </c>
      <c r="E1" s="12" t="inlineStr">
        <is>
          <t>Vencimento</t>
        </is>
      </c>
      <c r="F1" s="12" t="inlineStr">
        <is>
          <t>Fornecedor</t>
        </is>
      </c>
      <c r="G1" s="12" t="inlineStr">
        <is>
          <t>CNPJ</t>
        </is>
      </c>
      <c r="H1" s="12" t="inlineStr">
        <is>
          <t>Unidade_SKAL</t>
        </is>
      </c>
      <c r="I1" s="12" t="inlineStr">
        <is>
          <t>Valor_Documento</t>
        </is>
      </c>
      <c r="J1" s="12" t="inlineStr">
        <is>
          <t>BC_ICMS</t>
        </is>
      </c>
      <c r="K1" s="12" t="inlineStr">
        <is>
          <t>ICMS</t>
        </is>
      </c>
      <c r="L1" s="12" t="inlineStr">
        <is>
          <t>PIS</t>
        </is>
      </c>
      <c r="M1" s="12" t="inlineStr">
        <is>
          <t>COFINS</t>
        </is>
      </c>
      <c r="N1" s="12" t="inlineStr">
        <is>
          <t>Soma_Contabil</t>
        </is>
      </c>
      <c r="O1" s="12" t="inlineStr">
        <is>
          <t>Fonte</t>
        </is>
      </c>
    </row>
    <row r="2">
      <c r="A2" s="13" t="inlineStr">
        <is>
          <t>JAN26-P001</t>
        </is>
      </c>
      <c r="B2" s="13" t="n">
        <v>1</v>
      </c>
      <c r="C2" s="13" t="inlineStr">
        <is>
          <t>67912850</t>
        </is>
      </c>
      <c r="D2" s="25" t="n">
        <v>46053</v>
      </c>
      <c r="E2" s="25" t="n">
        <v>46059</v>
      </c>
      <c r="F2" s="13" t="inlineStr">
        <is>
          <t>EQUATORIAL PIAUI DISTRIBUIDORA DE ENERGIA S.A.</t>
        </is>
      </c>
      <c r="G2" s="13" t="inlineStr">
        <is>
          <t>06.840.748/0001-89</t>
        </is>
      </c>
      <c r="H2" s="13" t="inlineStr">
        <is>
          <t>SKAL /0002</t>
        </is>
      </c>
      <c r="I2" s="16" t="n">
        <v>23789.49</v>
      </c>
      <c r="J2" s="16" t="n">
        <v>21764.76</v>
      </c>
      <c r="K2" s="16" t="n">
        <v>4892.56</v>
      </c>
      <c r="L2" s="16" t="n">
        <v>125.55</v>
      </c>
      <c r="M2" s="16" t="n">
        <v>580.23</v>
      </c>
      <c r="N2" s="13" t="inlineStr">
        <is>
          <t>Sim</t>
        </is>
      </c>
      <c r="O2" s="13" t="inlineStr">
        <is>
          <t>NOTAS FISCAIS DE COMPRA JANEIRO 2026.pdf - p. 1</t>
        </is>
      </c>
    </row>
    <row r="3">
      <c r="A3" s="13" t="inlineStr">
        <is>
          <t>JAN26-P003</t>
        </is>
      </c>
      <c r="B3" s="13" t="n">
        <v>3</v>
      </c>
      <c r="C3" s="13" t="inlineStr">
        <is>
          <t>67620505</t>
        </is>
      </c>
      <c r="D3" s="25" t="n">
        <v>46048</v>
      </c>
      <c r="E3" s="25" t="n">
        <v>46055</v>
      </c>
      <c r="F3" s="13" t="inlineStr">
        <is>
          <t>EQUATORIAL PIAUI DISTRIBUIDORA DE ENERGIA S.A.</t>
        </is>
      </c>
      <c r="G3" s="13" t="inlineStr">
        <is>
          <t>06.840.748/0001-89</t>
        </is>
      </c>
      <c r="H3" s="13" t="inlineStr">
        <is>
          <t>SKAL /0001</t>
        </is>
      </c>
      <c r="I3" s="16" t="n">
        <v>29.6</v>
      </c>
      <c r="J3" s="16" t="n">
        <v>0</v>
      </c>
      <c r="K3" s="16" t="n">
        <v>0</v>
      </c>
      <c r="L3" s="16" t="n">
        <v>0.2</v>
      </c>
      <c r="M3" s="16" t="n">
        <v>0.92</v>
      </c>
      <c r="N3" s="13" t="inlineStr">
        <is>
          <t>Sim</t>
        </is>
      </c>
      <c r="O3" s="13" t="inlineStr">
        <is>
          <t>NOTAS FISCAIS DE COMPRA JANEIRO 2026.pdf - p. 3</t>
        </is>
      </c>
    </row>
    <row r="4">
      <c r="A4" s="13" t="inlineStr">
        <is>
          <t>JAN26-P004</t>
        </is>
      </c>
      <c r="B4" s="13" t="n">
        <v>4</v>
      </c>
      <c r="C4" s="13" t="inlineStr">
        <is>
          <t>67003437</t>
        </is>
      </c>
      <c r="D4" s="25" t="n">
        <v>46038</v>
      </c>
      <c r="E4" s="25" t="n">
        <v>46045</v>
      </c>
      <c r="F4" s="13" t="inlineStr">
        <is>
          <t>EQUATORIAL PIAUI DISTRIBUIDORA DE ENERGIA S.A.</t>
        </is>
      </c>
      <c r="G4" s="13" t="inlineStr">
        <is>
          <t>06.840.748/0001-89</t>
        </is>
      </c>
      <c r="H4" s="13" t="inlineStr">
        <is>
          <t>SKAL /0001</t>
        </is>
      </c>
      <c r="I4" s="16" t="n">
        <v>29.78</v>
      </c>
      <c r="J4" s="16" t="n">
        <v>0</v>
      </c>
      <c r="K4" s="16" t="n">
        <v>0</v>
      </c>
      <c r="L4" s="16" t="n">
        <v>0.2</v>
      </c>
      <c r="M4" s="16" t="n">
        <v>0.93</v>
      </c>
      <c r="N4" s="13" t="inlineStr">
        <is>
          <t>Sim</t>
        </is>
      </c>
      <c r="O4" s="13" t="inlineStr">
        <is>
          <t>NOTAS FISCAIS DE COMPRA JANEIRO 2026.pdf - p. 4</t>
        </is>
      </c>
    </row>
    <row r="5">
      <c r="A5" s="13" t="inlineStr">
        <is>
          <t>JAN26-P005</t>
        </is>
      </c>
      <c r="B5" s="13" t="n">
        <v>5</v>
      </c>
      <c r="C5" s="13" t="inlineStr">
        <is>
          <t>67888805</t>
        </is>
      </c>
      <c r="D5" s="25" t="n">
        <v>46051</v>
      </c>
      <c r="E5" s="25" t="n">
        <v>46058</v>
      </c>
      <c r="F5" s="13" t="inlineStr">
        <is>
          <t>EQUATORIAL PIAUI DISTRIBUIDORA DE ENERGIA S.A.</t>
        </is>
      </c>
      <c r="G5" s="13" t="inlineStr">
        <is>
          <t>06.840.748/0002-69</t>
        </is>
      </c>
      <c r="H5" s="13" t="inlineStr">
        <is>
          <t>SKAL /0002</t>
        </is>
      </c>
      <c r="I5" s="16" t="n">
        <v>843.08</v>
      </c>
      <c r="J5" s="16" t="n">
        <v>773.85</v>
      </c>
      <c r="K5" s="16" t="n">
        <v>174.11</v>
      </c>
      <c r="L5" s="16" t="n">
        <v>4.06</v>
      </c>
      <c r="M5" s="16" t="n">
        <v>18.78</v>
      </c>
      <c r="N5" s="13" t="inlineStr">
        <is>
          <t>Sim</t>
        </is>
      </c>
      <c r="O5" s="13" t="inlineStr">
        <is>
          <t>NOTAS FISCAIS DE COMPRA JANEIRO 2026.pdf - p. 5</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Y131"/>
  <sheetViews>
    <sheetView showGridLines="0" workbookViewId="0">
      <pane ySplit="1" topLeftCell="A2" activePane="bottomLeft" state="frozen"/>
      <selection pane="bottomLeft" activeCell="A1" sqref="A1"/>
    </sheetView>
  </sheetViews>
  <sheetFormatPr baseColWidth="8" defaultRowHeight="15"/>
  <cols>
    <col width="15" customWidth="1" min="1" max="1"/>
    <col width="8" customWidth="1" min="2" max="2"/>
    <col width="18" customWidth="1" min="3" max="3"/>
    <col width="16" customWidth="1" min="4" max="4"/>
    <col width="40" customWidth="1" min="5" max="5"/>
    <col width="17"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3" customWidth="1" min="18" max="18"/>
    <col width="13" customWidth="1" min="19" max="19"/>
    <col width="12" customWidth="1" min="20" max="20"/>
    <col width="15" customWidth="1" min="21" max="21"/>
    <col width="13" customWidth="1" min="22" max="22"/>
    <col width="15" customWidth="1" min="23" max="23"/>
    <col width="22" customWidth="1" min="24" max="24"/>
    <col width="42" customWidth="1" min="25" max="25"/>
  </cols>
  <sheetData>
    <row r="1" ht="36" customHeight="1">
      <c r="A1" s="12" t="inlineStr">
        <is>
          <t>Doc_ID</t>
        </is>
      </c>
      <c r="B1" s="12" t="inlineStr">
        <is>
          <t>Pagina</t>
        </is>
      </c>
      <c r="C1" s="12" t="inlineStr">
        <is>
          <t>Tipo</t>
        </is>
      </c>
      <c r="D1" s="12" t="inlineStr">
        <is>
          <t>Numero</t>
        </is>
      </c>
      <c r="E1" s="12" t="inlineStr">
        <is>
          <t>Emitente</t>
        </is>
      </c>
      <c r="F1" s="12" t="inlineStr">
        <is>
          <t>Valor_Documento</t>
        </is>
      </c>
      <c r="G1" s="12" t="inlineStr">
        <is>
          <t>BC_ICMS</t>
        </is>
      </c>
      <c r="H1" s="12" t="inlineStr">
        <is>
          <t>Aliq_ICMS</t>
        </is>
      </c>
      <c r="I1" s="12" t="inlineStr">
        <is>
          <t>ICMS</t>
        </is>
      </c>
      <c r="J1" s="12" t="inlineStr">
        <is>
          <t>BC_ICMS_ST</t>
        </is>
      </c>
      <c r="K1" s="12" t="inlineStr">
        <is>
          <t>ICMS_ST</t>
        </is>
      </c>
      <c r="L1" s="12" t="inlineStr">
        <is>
          <t>IPI</t>
        </is>
      </c>
      <c r="M1" s="12" t="inlineStr">
        <is>
          <t>PIS</t>
        </is>
      </c>
      <c r="N1" s="12" t="inlineStr">
        <is>
          <t>COFINS</t>
        </is>
      </c>
      <c r="O1" s="12" t="inlineStr">
        <is>
          <t>BC_ISS</t>
        </is>
      </c>
      <c r="P1" s="12" t="inlineStr">
        <is>
          <t>Aliq_ISS</t>
        </is>
      </c>
      <c r="Q1" s="12" t="inlineStr">
        <is>
          <t>ISS</t>
        </is>
      </c>
      <c r="R1" s="12" t="inlineStr">
        <is>
          <t>IRRF_Retido</t>
        </is>
      </c>
      <c r="S1" s="12" t="inlineStr">
        <is>
          <t>CSLL_Retida</t>
        </is>
      </c>
      <c r="T1" s="12" t="inlineStr">
        <is>
          <t>PIS_Retido</t>
        </is>
      </c>
      <c r="U1" s="12" t="inlineStr">
        <is>
          <t>COFINS_Retido</t>
        </is>
      </c>
      <c r="V1" s="12" t="inlineStr">
        <is>
          <t>INSS_Retido</t>
        </is>
      </c>
      <c r="W1" s="12" t="inlineStr">
        <is>
          <t>Soma_Contabil</t>
        </is>
      </c>
      <c r="X1" s="12" t="inlineStr">
        <is>
          <t>Flag_Fiscal</t>
        </is>
      </c>
      <c r="Y1" s="12" t="inlineStr">
        <is>
          <t>Fonte</t>
        </is>
      </c>
    </row>
    <row r="2">
      <c r="A2" s="13" t="inlineStr">
        <is>
          <t>JAN26-P001</t>
        </is>
      </c>
      <c r="B2" s="13" t="n">
        <v>1</v>
      </c>
      <c r="C2" s="13" t="inlineStr">
        <is>
          <t>Energia/NF3e</t>
        </is>
      </c>
      <c r="D2" s="13" t="inlineStr">
        <is>
          <t>67912850</t>
        </is>
      </c>
      <c r="E2" s="13" t="inlineStr">
        <is>
          <t>EQUATORIAL PIAUI DISTRIBUIDORA DE ENERGIA S.A.</t>
        </is>
      </c>
      <c r="F2" s="16" t="n">
        <v>23789.49</v>
      </c>
      <c r="G2" s="16" t="n">
        <v>21764.76</v>
      </c>
      <c r="H2" s="17" t="n">
        <v>0.225</v>
      </c>
      <c r="I2" s="16" t="n">
        <v>4892.56</v>
      </c>
      <c r="J2" s="16" t="n"/>
      <c r="K2" s="16" t="n"/>
      <c r="L2" s="16" t="n"/>
      <c r="M2" s="16" t="n">
        <v>125.55</v>
      </c>
      <c r="N2" s="16" t="n">
        <v>580.23</v>
      </c>
      <c r="O2" s="16" t="n"/>
      <c r="P2" s="17" t="n"/>
      <c r="Q2" s="16" t="n"/>
      <c r="R2" s="16" t="n"/>
      <c r="S2" s="16" t="n"/>
      <c r="T2" s="16" t="n"/>
      <c r="U2" s="16" t="n"/>
      <c r="V2" s="16" t="n"/>
      <c r="W2" s="13" t="inlineStr">
        <is>
          <t>Sim</t>
        </is>
      </c>
      <c r="X2" s="13" t="inlineStr"/>
      <c r="Y2" s="15" t="inlineStr">
        <is>
          <t>NOTAS FISCAIS DE COMPRA JANEIRO 2026.pdf - p. 1</t>
        </is>
      </c>
    </row>
    <row r="3">
      <c r="A3" s="13" t="inlineStr">
        <is>
          <t>JAN26-P003</t>
        </is>
      </c>
      <c r="B3" s="13" t="n">
        <v>3</v>
      </c>
      <c r="C3" s="13" t="inlineStr">
        <is>
          <t>Energia/NF3e</t>
        </is>
      </c>
      <c r="D3" s="13" t="inlineStr">
        <is>
          <t>67620505</t>
        </is>
      </c>
      <c r="E3" s="13" t="inlineStr">
        <is>
          <t>EQUATORIAL PIAUI DISTRIBUIDORA DE ENERGIA S.A.</t>
        </is>
      </c>
      <c r="F3" s="16" t="n">
        <v>29.6</v>
      </c>
      <c r="G3" s="16" t="n">
        <v>0</v>
      </c>
      <c r="H3" s="17" t="n"/>
      <c r="I3" s="16" t="n">
        <v>0</v>
      </c>
      <c r="J3" s="16" t="n"/>
      <c r="K3" s="16" t="n"/>
      <c r="L3" s="16" t="n"/>
      <c r="M3" s="16" t="n">
        <v>0.2</v>
      </c>
      <c r="N3" s="16" t="n">
        <v>0.92</v>
      </c>
      <c r="O3" s="16" t="n"/>
      <c r="P3" s="17" t="n"/>
      <c r="Q3" s="16" t="n"/>
      <c r="R3" s="16" t="n"/>
      <c r="S3" s="16" t="n"/>
      <c r="T3" s="16" t="n"/>
      <c r="U3" s="16" t="n"/>
      <c r="V3" s="16" t="n"/>
      <c r="W3" s="13" t="inlineStr">
        <is>
          <t>Sim</t>
        </is>
      </c>
      <c r="X3" s="13" t="inlineStr"/>
      <c r="Y3" s="15" t="inlineStr">
        <is>
          <t>NOTAS FISCAIS DE COMPRA JANEIRO 2026.pdf - p. 3</t>
        </is>
      </c>
    </row>
    <row r="4">
      <c r="A4" s="13" t="inlineStr">
        <is>
          <t>JAN26-P004</t>
        </is>
      </c>
      <c r="B4" s="13" t="n">
        <v>4</v>
      </c>
      <c r="C4" s="13" t="inlineStr">
        <is>
          <t>Energia/NF3e</t>
        </is>
      </c>
      <c r="D4" s="13" t="inlineStr">
        <is>
          <t>67003437</t>
        </is>
      </c>
      <c r="E4" s="13" t="inlineStr">
        <is>
          <t>EQUATORIAL PIAUI DISTRIBUIDORA DE ENERGIA S.A.</t>
        </is>
      </c>
      <c r="F4" s="16" t="n">
        <v>29.78</v>
      </c>
      <c r="G4" s="16" t="n">
        <v>0</v>
      </c>
      <c r="H4" s="17" t="n"/>
      <c r="I4" s="16" t="n">
        <v>0</v>
      </c>
      <c r="J4" s="16" t="n"/>
      <c r="K4" s="16" t="n"/>
      <c r="L4" s="16" t="n"/>
      <c r="M4" s="16" t="n">
        <v>0.2</v>
      </c>
      <c r="N4" s="16" t="n">
        <v>0.93</v>
      </c>
      <c r="O4" s="16" t="n"/>
      <c r="P4" s="17" t="n"/>
      <c r="Q4" s="16" t="n"/>
      <c r="R4" s="16" t="n"/>
      <c r="S4" s="16" t="n"/>
      <c r="T4" s="16" t="n"/>
      <c r="U4" s="16" t="n"/>
      <c r="V4" s="16" t="n"/>
      <c r="W4" s="13" t="inlineStr">
        <is>
          <t>Sim</t>
        </is>
      </c>
      <c r="X4" s="13" t="inlineStr"/>
      <c r="Y4" s="15" t="inlineStr">
        <is>
          <t>NOTAS FISCAIS DE COMPRA JANEIRO 2026.pdf - p. 4</t>
        </is>
      </c>
    </row>
    <row r="5">
      <c r="A5" s="13" t="inlineStr">
        <is>
          <t>JAN26-P005</t>
        </is>
      </c>
      <c r="B5" s="13" t="n">
        <v>5</v>
      </c>
      <c r="C5" s="13" t="inlineStr">
        <is>
          <t>Energia/NF3e</t>
        </is>
      </c>
      <c r="D5" s="13" t="inlineStr">
        <is>
          <t>67888805</t>
        </is>
      </c>
      <c r="E5" s="13" t="inlineStr">
        <is>
          <t>EQUATORIAL PIAUI DISTRIBUIDORA DE ENERGIA S.A.</t>
        </is>
      </c>
      <c r="F5" s="16" t="n">
        <v>843.08</v>
      </c>
      <c r="G5" s="16" t="n">
        <v>773.85</v>
      </c>
      <c r="H5" s="17" t="n">
        <v>0.225</v>
      </c>
      <c r="I5" s="16" t="n">
        <v>174.11</v>
      </c>
      <c r="J5" s="16" t="n"/>
      <c r="K5" s="16" t="n"/>
      <c r="L5" s="16" t="n"/>
      <c r="M5" s="16" t="n">
        <v>4.06</v>
      </c>
      <c r="N5" s="16" t="n">
        <v>18.78</v>
      </c>
      <c r="O5" s="16" t="n"/>
      <c r="P5" s="17" t="n"/>
      <c r="Q5" s="16" t="n"/>
      <c r="R5" s="16" t="n"/>
      <c r="S5" s="16" t="n"/>
      <c r="T5" s="16" t="n"/>
      <c r="U5" s="16" t="n"/>
      <c r="V5" s="16" t="n"/>
      <c r="W5" s="13" t="inlineStr">
        <is>
          <t>Sim</t>
        </is>
      </c>
      <c r="X5" s="13" t="inlineStr"/>
      <c r="Y5" s="15" t="inlineStr">
        <is>
          <t>NOTAS FISCAIS DE COMPRA JANEIRO 2026.pdf - p. 5</t>
        </is>
      </c>
    </row>
    <row r="6">
      <c r="A6" s="13" t="inlineStr">
        <is>
          <t>JAN26-P012</t>
        </is>
      </c>
      <c r="B6" s="13" t="n">
        <v>12</v>
      </c>
      <c r="C6" s="13" t="inlineStr">
        <is>
          <t>NFS-e</t>
        </is>
      </c>
      <c r="D6" s="13" t="inlineStr">
        <is>
          <t>863</t>
        </is>
      </c>
      <c r="E6" s="13" t="inlineStr">
        <is>
          <t>GESTAO - INOVACAO EMPRESARIAL LTDA</t>
        </is>
      </c>
      <c r="F6" s="16" t="n">
        <v>759</v>
      </c>
      <c r="G6" s="16" t="n"/>
      <c r="H6" s="17" t="n"/>
      <c r="I6" s="16" t="n"/>
      <c r="J6" s="16" t="n"/>
      <c r="K6" s="16" t="n"/>
      <c r="L6" s="16" t="n"/>
      <c r="M6" s="16" t="n"/>
      <c r="N6" s="16" t="n"/>
      <c r="O6" s="16" t="n"/>
      <c r="P6" s="17" t="n"/>
      <c r="Q6" s="16" t="n"/>
      <c r="R6" s="16" t="n"/>
      <c r="S6" s="16" t="n"/>
      <c r="T6" s="16" t="n"/>
      <c r="U6" s="16" t="n"/>
      <c r="V6" s="16" t="n"/>
      <c r="W6" s="13" t="inlineStr">
        <is>
          <t>Sim</t>
        </is>
      </c>
      <c r="X6" s="13" t="inlineStr"/>
      <c r="Y6" s="15" t="inlineStr">
        <is>
          <t>NOTAS FISCAIS DE COMPRA JANEIRO 2026.pdf - p. 12</t>
        </is>
      </c>
    </row>
    <row r="7">
      <c r="A7" s="13" t="inlineStr">
        <is>
          <t>JAN26-P013</t>
        </is>
      </c>
      <c r="B7" s="13" t="n">
        <v>13</v>
      </c>
      <c r="C7" s="13" t="inlineStr">
        <is>
          <t>NFS-e</t>
        </is>
      </c>
      <c r="D7" s="13" t="inlineStr">
        <is>
          <t>863</t>
        </is>
      </c>
      <c r="E7" s="13" t="inlineStr">
        <is>
          <t>GESTAO - INOVACAO EMPRESARIAL LTDA</t>
        </is>
      </c>
      <c r="F7" s="16" t="n">
        <v>759</v>
      </c>
      <c r="G7" s="16" t="n"/>
      <c r="H7" s="17" t="n"/>
      <c r="I7" s="16" t="n"/>
      <c r="J7" s="16" t="n"/>
      <c r="K7" s="16" t="n"/>
      <c r="L7" s="16" t="n"/>
      <c r="M7" s="16" t="n"/>
      <c r="N7" s="16" t="n"/>
      <c r="O7" s="16" t="n"/>
      <c r="P7" s="17" t="n"/>
      <c r="Q7" s="16" t="n"/>
      <c r="R7" s="16" t="n"/>
      <c r="S7" s="16" t="n"/>
      <c r="T7" s="16" t="n"/>
      <c r="U7" s="16" t="n"/>
      <c r="V7" s="16" t="n"/>
      <c r="W7" s="13" t="inlineStr">
        <is>
          <t>Não</t>
        </is>
      </c>
      <c r="X7" s="13" t="inlineStr"/>
      <c r="Y7" s="15" t="inlineStr">
        <is>
          <t>NOTAS FISCAIS DE COMPRA JANEIRO 2026.pdf - p. 13</t>
        </is>
      </c>
    </row>
    <row r="8">
      <c r="A8" s="13" t="inlineStr">
        <is>
          <t>JAN26-P014</t>
        </is>
      </c>
      <c r="B8" s="13" t="n">
        <v>14</v>
      </c>
      <c r="C8" s="13" t="inlineStr">
        <is>
          <t>NFCom</t>
        </is>
      </c>
      <c r="D8" s="13" t="inlineStr">
        <is>
          <t>303</t>
        </is>
      </c>
      <c r="E8" s="13" t="inlineStr">
        <is>
          <t>TELEVISAO PIONEIRA LTDA</t>
        </is>
      </c>
      <c r="F8" s="16" t="n">
        <v>10000</v>
      </c>
      <c r="G8" s="16" t="n">
        <v>0</v>
      </c>
      <c r="H8" s="17" t="n"/>
      <c r="I8" s="16" t="n">
        <v>0</v>
      </c>
      <c r="J8" s="16" t="n"/>
      <c r="K8" s="16" t="n"/>
      <c r="L8" s="16" t="n"/>
      <c r="M8" s="16" t="n">
        <v>65</v>
      </c>
      <c r="N8" s="16" t="n">
        <v>300</v>
      </c>
      <c r="O8" s="16" t="n"/>
      <c r="P8" s="17" t="n"/>
      <c r="Q8" s="16" t="n"/>
      <c r="R8" s="16" t="n"/>
      <c r="S8" s="16" t="n"/>
      <c r="T8" s="16" t="n"/>
      <c r="U8" s="16" t="n"/>
      <c r="V8" s="16" t="n"/>
      <c r="W8" s="13" t="inlineStr">
        <is>
          <t>Sim</t>
        </is>
      </c>
      <c r="X8" s="13" t="inlineStr"/>
      <c r="Y8" s="15" t="inlineStr">
        <is>
          <t>NOTAS FISCAIS DE COMPRA JANEIRO 2026.pdf - p. 14</t>
        </is>
      </c>
    </row>
    <row r="9">
      <c r="A9" s="13" t="inlineStr">
        <is>
          <t>JAN26-P017</t>
        </is>
      </c>
      <c r="B9" s="13" t="n">
        <v>17</v>
      </c>
      <c r="C9" s="13" t="inlineStr">
        <is>
          <t>CT-e</t>
        </is>
      </c>
      <c r="D9" s="13" t="inlineStr">
        <is>
          <t>446</t>
        </is>
      </c>
      <c r="E9" s="13" t="inlineStr">
        <is>
          <t>F G INTELIGENCIA EM LOGISTICA LTDA</t>
        </is>
      </c>
      <c r="F9" s="16" t="n">
        <v>11702.5</v>
      </c>
      <c r="G9" s="16" t="n">
        <v>11702.5</v>
      </c>
      <c r="H9" s="17" t="n">
        <v>0.12</v>
      </c>
      <c r="I9" s="16" t="n">
        <v>1404.3</v>
      </c>
      <c r="J9" s="16" t="n"/>
      <c r="K9" s="16" t="n"/>
      <c r="L9" s="16" t="n"/>
      <c r="M9" s="16" t="n"/>
      <c r="N9" s="16" t="n"/>
      <c r="O9" s="16" t="n"/>
      <c r="P9" s="17" t="n"/>
      <c r="Q9" s="16" t="n"/>
      <c r="R9" s="16" t="n"/>
      <c r="S9" s="16" t="n"/>
      <c r="T9" s="16" t="n"/>
      <c r="U9" s="16" t="n"/>
      <c r="V9" s="16" t="n"/>
      <c r="W9" s="13" t="inlineStr">
        <is>
          <t>Sim</t>
        </is>
      </c>
      <c r="X9" s="13" t="inlineStr"/>
      <c r="Y9" s="15" t="inlineStr">
        <is>
          <t>NOTAS FISCAIS DE COMPRA JANEIRO 2026.pdf - p. 17</t>
        </is>
      </c>
    </row>
    <row r="10">
      <c r="A10" s="13" t="inlineStr">
        <is>
          <t>JAN26-P018</t>
        </is>
      </c>
      <c r="B10" s="13" t="n">
        <v>18</v>
      </c>
      <c r="C10" s="13" t="inlineStr">
        <is>
          <t>CT-e</t>
        </is>
      </c>
      <c r="D10" s="13" t="inlineStr">
        <is>
          <t>445</t>
        </is>
      </c>
      <c r="E10" s="13" t="inlineStr">
        <is>
          <t>F G INTELIGENCIA EM LOGISTICA LTDA</t>
        </is>
      </c>
      <c r="F10" s="16" t="n">
        <v>11838.9</v>
      </c>
      <c r="G10" s="16" t="n">
        <v>11838.9</v>
      </c>
      <c r="H10" s="17" t="n">
        <v>0.12</v>
      </c>
      <c r="I10" s="16" t="n">
        <v>1420.67</v>
      </c>
      <c r="J10" s="16" t="n"/>
      <c r="K10" s="16" t="n"/>
      <c r="L10" s="16" t="n"/>
      <c r="M10" s="16" t="n"/>
      <c r="N10" s="16" t="n"/>
      <c r="O10" s="16" t="n"/>
      <c r="P10" s="17" t="n"/>
      <c r="Q10" s="16" t="n"/>
      <c r="R10" s="16" t="n"/>
      <c r="S10" s="16" t="n"/>
      <c r="T10" s="16" t="n"/>
      <c r="U10" s="16" t="n"/>
      <c r="V10" s="16" t="n"/>
      <c r="W10" s="13" t="inlineStr">
        <is>
          <t>Sim</t>
        </is>
      </c>
      <c r="X10" s="13" t="inlineStr"/>
      <c r="Y10" s="15" t="inlineStr">
        <is>
          <t>NOTAS FISCAIS DE COMPRA JANEIRO 2026.pdf - p. 18</t>
        </is>
      </c>
    </row>
    <row r="11">
      <c r="A11" s="13" t="inlineStr">
        <is>
          <t>JAN26-P019</t>
        </is>
      </c>
      <c r="B11" s="13" t="n">
        <v>19</v>
      </c>
      <c r="C11" s="13" t="inlineStr">
        <is>
          <t>CT-e</t>
        </is>
      </c>
      <c r="D11" s="13" t="inlineStr">
        <is>
          <t>443</t>
        </is>
      </c>
      <c r="E11" s="13" t="inlineStr">
        <is>
          <t>F G INTELIGENCIA EM LOGISTICA LTDA</t>
        </is>
      </c>
      <c r="F11" s="16" t="n">
        <v>11789.3</v>
      </c>
      <c r="G11" s="16" t="n">
        <v>11789.3</v>
      </c>
      <c r="H11" s="17" t="n">
        <v>0.12</v>
      </c>
      <c r="I11" s="16" t="n">
        <v>1414.72</v>
      </c>
      <c r="J11" s="16" t="n"/>
      <c r="K11" s="16" t="n"/>
      <c r="L11" s="16" t="n"/>
      <c r="M11" s="16" t="n"/>
      <c r="N11" s="16" t="n"/>
      <c r="O11" s="16" t="n"/>
      <c r="P11" s="17" t="n"/>
      <c r="Q11" s="16" t="n"/>
      <c r="R11" s="16" t="n"/>
      <c r="S11" s="16" t="n"/>
      <c r="T11" s="16" t="n"/>
      <c r="U11" s="16" t="n"/>
      <c r="V11" s="16" t="n"/>
      <c r="W11" s="13" t="inlineStr">
        <is>
          <t>Sim</t>
        </is>
      </c>
      <c r="X11" s="13" t="inlineStr"/>
      <c r="Y11" s="15" t="inlineStr">
        <is>
          <t>NOTAS FISCAIS DE COMPRA JANEIRO 2026.pdf - p. 19</t>
        </is>
      </c>
    </row>
    <row r="12">
      <c r="A12" s="13" t="inlineStr">
        <is>
          <t>JAN26-P022</t>
        </is>
      </c>
      <c r="B12" s="13" t="n">
        <v>22</v>
      </c>
      <c r="C12" s="13" t="inlineStr">
        <is>
          <t>NF-e</t>
        </is>
      </c>
      <c r="D12" s="13" t="inlineStr">
        <is>
          <t>537098</t>
        </is>
      </c>
      <c r="E12" s="13" t="inlineStr">
        <is>
          <t>COMPANHIA INDUSTRIAL DE CIMENTO APODI</t>
        </is>
      </c>
      <c r="F12" s="16" t="n">
        <v>18686.25</v>
      </c>
      <c r="G12" s="16" t="n">
        <v>18686.25</v>
      </c>
      <c r="H12" s="17" t="n">
        <v>0.12</v>
      </c>
      <c r="I12" s="16" t="n">
        <v>2242.35</v>
      </c>
      <c r="J12" s="16" t="n"/>
      <c r="K12" s="16" t="n"/>
      <c r="L12" s="16" t="n"/>
      <c r="M12" s="16" t="n"/>
      <c r="N12" s="16" t="n"/>
      <c r="O12" s="16" t="n"/>
      <c r="P12" s="17" t="n"/>
      <c r="Q12" s="16" t="n"/>
      <c r="R12" s="16" t="n"/>
      <c r="S12" s="16" t="n"/>
      <c r="T12" s="16" t="n"/>
      <c r="U12" s="16" t="n"/>
      <c r="V12" s="16" t="n"/>
      <c r="W12" s="13" t="inlineStr">
        <is>
          <t>Sim</t>
        </is>
      </c>
      <c r="X12" s="13" t="inlineStr"/>
      <c r="Y12" s="15" t="inlineStr">
        <is>
          <t>NOTAS FISCAIS DE COMPRA JANEIRO 2026.pdf - p. 22</t>
        </is>
      </c>
    </row>
    <row r="13">
      <c r="A13" s="13" t="inlineStr">
        <is>
          <t>JAN26-P023</t>
        </is>
      </c>
      <c r="B13" s="13" t="n">
        <v>23</v>
      </c>
      <c r="C13" s="13" t="inlineStr">
        <is>
          <t>NF-e</t>
        </is>
      </c>
      <c r="D13" s="13" t="inlineStr">
        <is>
          <t>536966</t>
        </is>
      </c>
      <c r="E13" s="13" t="inlineStr">
        <is>
          <t>COMPANHIA INDUSTRIAL DE CIMENTO APODI</t>
        </is>
      </c>
      <c r="F13" s="16" t="n">
        <v>18904.05</v>
      </c>
      <c r="G13" s="16" t="n">
        <v>18904.05</v>
      </c>
      <c r="H13" s="17" t="n">
        <v>0.12</v>
      </c>
      <c r="I13" s="16" t="n">
        <v>2268.49</v>
      </c>
      <c r="J13" s="16" t="n"/>
      <c r="K13" s="16" t="n"/>
      <c r="L13" s="16" t="n"/>
      <c r="M13" s="16" t="n"/>
      <c r="N13" s="16" t="n"/>
      <c r="O13" s="16" t="n"/>
      <c r="P13" s="17" t="n"/>
      <c r="Q13" s="16" t="n"/>
      <c r="R13" s="16" t="n"/>
      <c r="S13" s="16" t="n"/>
      <c r="T13" s="16" t="n"/>
      <c r="U13" s="16" t="n"/>
      <c r="V13" s="16" t="n"/>
      <c r="W13" s="13" t="inlineStr">
        <is>
          <t>Sim</t>
        </is>
      </c>
      <c r="X13" s="13" t="inlineStr"/>
      <c r="Y13" s="15" t="inlineStr">
        <is>
          <t>NOTAS FISCAIS DE COMPRA JANEIRO 2026.pdf - p. 23</t>
        </is>
      </c>
    </row>
    <row r="14">
      <c r="A14" s="13" t="inlineStr">
        <is>
          <t>JAN26-P024</t>
        </is>
      </c>
      <c r="B14" s="13" t="n">
        <v>24</v>
      </c>
      <c r="C14" s="13" t="inlineStr">
        <is>
          <t>NF-e</t>
        </is>
      </c>
      <c r="D14" s="13" t="inlineStr">
        <is>
          <t>536748</t>
        </is>
      </c>
      <c r="E14" s="13" t="inlineStr">
        <is>
          <t>COMPANHIA INDUSTRIAL DE CIMENTO APODI</t>
        </is>
      </c>
      <c r="F14" s="16" t="n">
        <v>18824.85</v>
      </c>
      <c r="G14" s="16" t="n">
        <v>18824.85</v>
      </c>
      <c r="H14" s="17" t="n">
        <v>0.12</v>
      </c>
      <c r="I14" s="16" t="n">
        <v>2258.98</v>
      </c>
      <c r="J14" s="16" t="n"/>
      <c r="K14" s="16" t="n"/>
      <c r="L14" s="16" t="n"/>
      <c r="M14" s="16" t="n"/>
      <c r="N14" s="16" t="n"/>
      <c r="O14" s="16" t="n"/>
      <c r="P14" s="17" t="n"/>
      <c r="Q14" s="16" t="n"/>
      <c r="R14" s="16" t="n"/>
      <c r="S14" s="16" t="n"/>
      <c r="T14" s="16" t="n"/>
      <c r="U14" s="16" t="n"/>
      <c r="V14" s="16" t="n"/>
      <c r="W14" s="13" t="inlineStr">
        <is>
          <t>Sim</t>
        </is>
      </c>
      <c r="X14" s="13" t="inlineStr"/>
      <c r="Y14" s="15" t="inlineStr">
        <is>
          <t>NOTAS FISCAIS DE COMPRA JANEIRO 2026.pdf - p. 24</t>
        </is>
      </c>
    </row>
    <row r="15">
      <c r="A15" s="13" t="inlineStr">
        <is>
          <t>JAN26-P025</t>
        </is>
      </c>
      <c r="B15" s="13" t="n">
        <v>25</v>
      </c>
      <c r="C15" s="13" t="inlineStr">
        <is>
          <t>CT-e</t>
        </is>
      </c>
      <c r="D15" s="13" t="inlineStr"/>
      <c r="E15" s="13" t="inlineStr">
        <is>
          <t>TRANS VNC TRANSPORTES EIRELI</t>
        </is>
      </c>
      <c r="F15" s="16" t="n">
        <v>703</v>
      </c>
      <c r="G15" s="16" t="n">
        <v>410.1</v>
      </c>
      <c r="H15" s="17" t="n">
        <v>0.12</v>
      </c>
      <c r="I15" s="16" t="n">
        <v>49.21</v>
      </c>
      <c r="J15" s="16" t="n"/>
      <c r="K15" s="16" t="n"/>
      <c r="L15" s="16" t="n"/>
      <c r="M15" s="16" t="n"/>
      <c r="N15" s="16" t="n"/>
      <c r="O15" s="16" t="n"/>
      <c r="P15" s="17" t="n"/>
      <c r="Q15" s="16" t="n"/>
      <c r="R15" s="16" t="n"/>
      <c r="S15" s="16" t="n"/>
      <c r="T15" s="16" t="n"/>
      <c r="U15" s="16" t="n"/>
      <c r="V15" s="16" t="n"/>
      <c r="W15" s="13" t="inlineStr">
        <is>
          <t>Revisar</t>
        </is>
      </c>
      <c r="X15" s="13" t="inlineStr"/>
      <c r="Y15" s="15" t="inlineStr">
        <is>
          <t>NOTAS FISCAIS DE COMPRA JANEIRO 2026.pdf - p. 25</t>
        </is>
      </c>
    </row>
    <row r="16">
      <c r="A16" s="13" t="inlineStr">
        <is>
          <t>JAN26-P028</t>
        </is>
      </c>
      <c r="B16" s="13" t="n">
        <v>28</v>
      </c>
      <c r="C16" s="13" t="inlineStr">
        <is>
          <t>NFS-e</t>
        </is>
      </c>
      <c r="D16" s="13" t="inlineStr"/>
      <c r="E16" s="13" t="inlineStr">
        <is>
          <t>TERRA NOVA (LOT. Meco 16459, SAO SEBASTIAO.</t>
        </is>
      </c>
      <c r="F16" s="16" t="n">
        <v>7.5</v>
      </c>
      <c r="G16" s="16" t="n"/>
      <c r="H16" s="17" t="n"/>
      <c r="I16" s="16" t="n"/>
      <c r="J16" s="16" t="n"/>
      <c r="K16" s="16" t="n"/>
      <c r="L16" s="16" t="n"/>
      <c r="M16" s="16" t="n">
        <v>0</v>
      </c>
      <c r="N16" s="16" t="n">
        <v>0</v>
      </c>
      <c r="O16" s="16" t="n"/>
      <c r="P16" s="17" t="n"/>
      <c r="Q16" s="16" t="n"/>
      <c r="R16" s="16" t="n"/>
      <c r="S16" s="16" t="n"/>
      <c r="T16" s="16" t="n"/>
      <c r="U16" s="16" t="n"/>
      <c r="V16" s="16" t="n"/>
      <c r="W16" s="13" t="inlineStr">
        <is>
          <t>Sim</t>
        </is>
      </c>
      <c r="X16" s="13" t="inlineStr"/>
      <c r="Y16" s="15" t="inlineStr">
        <is>
          <t>NOTAS FISCAIS DE COMPRA JANEIRO 2026.pdf - p. 28</t>
        </is>
      </c>
    </row>
    <row r="17">
      <c r="A17" s="13" t="inlineStr">
        <is>
          <t>JAN26-P030</t>
        </is>
      </c>
      <c r="B17" s="13" t="n">
        <v>30</v>
      </c>
      <c r="C17" s="13" t="inlineStr">
        <is>
          <t>NFS-e</t>
        </is>
      </c>
      <c r="D17" s="13" t="inlineStr"/>
      <c r="E17" s="13" t="inlineStr">
        <is>
          <t>JESUINO@APOIOCONTABILP.COM</t>
        </is>
      </c>
      <c r="F17" s="16" t="n">
        <v>4198</v>
      </c>
      <c r="G17" s="16" t="n"/>
      <c r="H17" s="17" t="n"/>
      <c r="I17" s="16" t="n"/>
      <c r="J17" s="16" t="n"/>
      <c r="K17" s="16" t="n"/>
      <c r="L17" s="16" t="n"/>
      <c r="M17" s="16" t="n"/>
      <c r="N17" s="16" t="n">
        <v>0</v>
      </c>
      <c r="O17" s="16" t="n"/>
      <c r="P17" s="17" t="n"/>
      <c r="Q17" s="16" t="n">
        <v>4198</v>
      </c>
      <c r="R17" s="16" t="n"/>
      <c r="S17" s="16" t="n"/>
      <c r="T17" s="16" t="n"/>
      <c r="U17" s="16" t="n"/>
      <c r="V17" s="16" t="n"/>
      <c r="W17" s="13" t="inlineStr">
        <is>
          <t>Sim</t>
        </is>
      </c>
      <c r="X17" s="13" t="inlineStr">
        <is>
          <t>ISS OCR suspeito</t>
        </is>
      </c>
      <c r="Y17" s="15" t="inlineStr">
        <is>
          <t>NOTAS FISCAIS DE COMPRA JANEIRO 2026.pdf - p. 30</t>
        </is>
      </c>
    </row>
    <row r="18">
      <c r="A18" s="13" t="inlineStr">
        <is>
          <t>JAN26-P031</t>
        </is>
      </c>
      <c r="B18" s="13" t="n">
        <v>31</v>
      </c>
      <c r="C18" s="13" t="inlineStr">
        <is>
          <t>NFS-e</t>
        </is>
      </c>
      <c r="D18" s="13" t="inlineStr">
        <is>
          <t>5</t>
        </is>
      </c>
      <c r="E18" s="13" t="inlineStr">
        <is>
          <t>- REPRESENTANTES COMERCIAIS E AGENTES DO COMERGIO DE MADEIRA, MATERIAL DE CONSTRUCAO E FERRAGENS,</t>
        </is>
      </c>
      <c r="F18" s="16" t="n">
        <v>797.5599999999999</v>
      </c>
      <c r="G18" s="16" t="n"/>
      <c r="H18" s="17" t="n"/>
      <c r="I18" s="16" t="n"/>
      <c r="J18" s="16" t="n"/>
      <c r="K18" s="16" t="n"/>
      <c r="L18" s="16" t="n"/>
      <c r="M18" s="16" t="n"/>
      <c r="N18" s="16" t="n"/>
      <c r="O18" s="16" t="n">
        <v>791.96</v>
      </c>
      <c r="P18" s="17" t="n"/>
      <c r="Q18" s="16" t="n"/>
      <c r="R18" s="16" t="n"/>
      <c r="S18" s="16" t="n"/>
      <c r="T18" s="16" t="n"/>
      <c r="U18" s="16" t="n"/>
      <c r="V18" s="16" t="n"/>
      <c r="W18" s="13" t="inlineStr">
        <is>
          <t>Sim</t>
        </is>
      </c>
      <c r="X18" s="13" t="inlineStr"/>
      <c r="Y18" s="15" t="inlineStr">
        <is>
          <t>NOTAS FISCAIS DE COMPRA JANEIRO 2026.pdf - p. 31</t>
        </is>
      </c>
    </row>
    <row r="19">
      <c r="A19" s="13" t="inlineStr">
        <is>
          <t>JAN26-P035</t>
        </is>
      </c>
      <c r="B19" s="13" t="n">
        <v>35</v>
      </c>
      <c r="C19" s="13" t="inlineStr">
        <is>
          <t>NFS-e</t>
        </is>
      </c>
      <c r="D19" s="13" t="inlineStr">
        <is>
          <t>0</t>
        </is>
      </c>
      <c r="E19" s="13" t="inlineStr">
        <is>
          <t>CONSULTING AND INFORMATION SERVICES LTOA</t>
        </is>
      </c>
      <c r="F19" s="16" t="n">
        <v>9689.93</v>
      </c>
      <c r="G19" s="16" t="n"/>
      <c r="H19" s="17" t="n"/>
      <c r="I19" s="16" t="n"/>
      <c r="J19" s="16" t="n"/>
      <c r="K19" s="16" t="n"/>
      <c r="L19" s="16" t="n"/>
      <c r="M19" s="16" t="n">
        <v>0</v>
      </c>
      <c r="N19" s="16" t="n"/>
      <c r="O19" s="16" t="n">
        <v>9.68</v>
      </c>
      <c r="P19" s="17" t="n"/>
      <c r="Q19" s="16" t="n">
        <v>9689.93</v>
      </c>
      <c r="R19" s="16" t="n"/>
      <c r="S19" s="16" t="n"/>
      <c r="T19" s="16" t="n"/>
      <c r="U19" s="16" t="n"/>
      <c r="V19" s="16" t="n"/>
      <c r="W19" s="13" t="inlineStr">
        <is>
          <t>Sim</t>
        </is>
      </c>
      <c r="X19" s="13" t="inlineStr">
        <is>
          <t>ISS OCR suspeito</t>
        </is>
      </c>
      <c r="Y19" s="15" t="inlineStr">
        <is>
          <t>NOTAS FISCAIS DE COMPRA JANEIRO 2026.pdf - p. 35</t>
        </is>
      </c>
    </row>
    <row r="20">
      <c r="A20" s="13" t="inlineStr">
        <is>
          <t>JAN26-P039</t>
        </is>
      </c>
      <c r="B20" s="13" t="n">
        <v>39</v>
      </c>
      <c r="C20" s="13" t="inlineStr">
        <is>
          <t>NFS-e</t>
        </is>
      </c>
      <c r="D20" s="13" t="inlineStr"/>
      <c r="E20" s="13" t="inlineStr">
        <is>
          <t>AUTO SHOP RASTREAMENTO LTDA</t>
        </is>
      </c>
      <c r="F20" s="16" t="n">
        <v>1198</v>
      </c>
      <c r="G20" s="16" t="n"/>
      <c r="H20" s="17" t="n"/>
      <c r="I20" s="16" t="n"/>
      <c r="J20" s="16" t="n"/>
      <c r="K20" s="16" t="n"/>
      <c r="L20" s="16" t="n"/>
      <c r="M20" s="16" t="n"/>
      <c r="N20" s="16" t="n"/>
      <c r="O20" s="16" t="n"/>
      <c r="P20" s="17" t="n"/>
      <c r="Q20" s="16" t="n"/>
      <c r="R20" s="16" t="n"/>
      <c r="S20" s="16" t="n"/>
      <c r="T20" s="16" t="n"/>
      <c r="U20" s="16" t="n"/>
      <c r="V20" s="16" t="n"/>
      <c r="W20" s="13" t="inlineStr">
        <is>
          <t>Sim</t>
        </is>
      </c>
      <c r="X20" s="13" t="inlineStr"/>
      <c r="Y20" s="15" t="inlineStr">
        <is>
          <t>NOTAS FISCAIS DE COMPRA JANEIRO 2026.pdf - p. 39</t>
        </is>
      </c>
    </row>
    <row r="21">
      <c r="A21" s="13" t="inlineStr">
        <is>
          <t>JAN26-P041</t>
        </is>
      </c>
      <c r="B21" s="13" t="n">
        <v>41</v>
      </c>
      <c r="C21" s="13" t="inlineStr">
        <is>
          <t>NF-e</t>
        </is>
      </c>
      <c r="D21" s="13" t="inlineStr">
        <is>
          <t>536564</t>
        </is>
      </c>
      <c r="E21" s="13" t="inlineStr">
        <is>
          <t>COMPANHIA INDUSTRIAL DE CIMENTO APODI</t>
        </is>
      </c>
      <c r="F21" s="16" t="n">
        <v>17790.3</v>
      </c>
      <c r="G21" s="16" t="n">
        <v>17790.3</v>
      </c>
      <c r="H21" s="17" t="n">
        <v>0.12</v>
      </c>
      <c r="I21" s="16" t="n">
        <v>2134.84</v>
      </c>
      <c r="J21" s="16" t="n"/>
      <c r="K21" s="16" t="n"/>
      <c r="L21" s="16" t="n"/>
      <c r="M21" s="16" t="n"/>
      <c r="N21" s="16" t="n"/>
      <c r="O21" s="16" t="n"/>
      <c r="P21" s="17" t="n"/>
      <c r="Q21" s="16" t="n"/>
      <c r="R21" s="16" t="n"/>
      <c r="S21" s="16" t="n"/>
      <c r="T21" s="16" t="n"/>
      <c r="U21" s="16" t="n"/>
      <c r="V21" s="16" t="n"/>
      <c r="W21" s="13" t="inlineStr">
        <is>
          <t>Sim</t>
        </is>
      </c>
      <c r="X21" s="13" t="inlineStr"/>
      <c r="Y21" s="15" t="inlineStr">
        <is>
          <t>NOTAS FISCAIS DE COMPRA JANEIRO 2026.pdf - p. 41</t>
        </is>
      </c>
    </row>
    <row r="22">
      <c r="A22" s="13" t="inlineStr">
        <is>
          <t>JAN26-P042</t>
        </is>
      </c>
      <c r="B22" s="13" t="n">
        <v>42</v>
      </c>
      <c r="C22" s="13" t="inlineStr">
        <is>
          <t>NF-e</t>
        </is>
      </c>
      <c r="D22" s="13" t="inlineStr">
        <is>
          <t>536357</t>
        </is>
      </c>
      <c r="E22" s="13" t="inlineStr">
        <is>
          <t>COMPANHIA INDUSTRIAL DE CIMENTO APODI</t>
        </is>
      </c>
      <c r="F22" s="16" t="n">
        <v>18607.05</v>
      </c>
      <c r="G22" s="16" t="n">
        <v>18607.05</v>
      </c>
      <c r="H22" s="17" t="n">
        <v>0.12</v>
      </c>
      <c r="I22" s="16" t="n">
        <v>2232.85</v>
      </c>
      <c r="J22" s="16" t="n"/>
      <c r="K22" s="16" t="n"/>
      <c r="L22" s="16" t="n"/>
      <c r="M22" s="16" t="n"/>
      <c r="N22" s="16" t="n"/>
      <c r="O22" s="16" t="n"/>
      <c r="P22" s="17" t="n"/>
      <c r="Q22" s="16" t="n"/>
      <c r="R22" s="16" t="n"/>
      <c r="S22" s="16" t="n"/>
      <c r="T22" s="16" t="n"/>
      <c r="U22" s="16" t="n"/>
      <c r="V22" s="16" t="n"/>
      <c r="W22" s="13" t="inlineStr">
        <is>
          <t>Sim</t>
        </is>
      </c>
      <c r="X22" s="13" t="inlineStr"/>
      <c r="Y22" s="15" t="inlineStr">
        <is>
          <t>NOTAS FISCAIS DE COMPRA JANEIRO 2026.pdf - p. 42</t>
        </is>
      </c>
    </row>
    <row r="23">
      <c r="A23" s="13" t="inlineStr">
        <is>
          <t>JAN26-P043</t>
        </is>
      </c>
      <c r="B23" s="13" t="n">
        <v>43</v>
      </c>
      <c r="C23" s="13" t="inlineStr">
        <is>
          <t>NF-e</t>
        </is>
      </c>
      <c r="D23" s="13" t="inlineStr">
        <is>
          <t>536302</t>
        </is>
      </c>
      <c r="E23" s="13" t="inlineStr">
        <is>
          <t>COMPANHIA INDUSTRIAL DE CIMENTO APODI</t>
        </is>
      </c>
      <c r="F23" s="16" t="n">
        <v>18711</v>
      </c>
      <c r="G23" s="16" t="n">
        <v>18711</v>
      </c>
      <c r="H23" s="17" t="n">
        <v>0.12</v>
      </c>
      <c r="I23" s="16" t="n">
        <v>2245.32</v>
      </c>
      <c r="J23" s="16" t="n"/>
      <c r="K23" s="16" t="n"/>
      <c r="L23" s="16" t="n"/>
      <c r="M23" s="16" t="n"/>
      <c r="N23" s="16" t="n"/>
      <c r="O23" s="16" t="n"/>
      <c r="P23" s="17" t="n"/>
      <c r="Q23" s="16" t="n"/>
      <c r="R23" s="16" t="n"/>
      <c r="S23" s="16" t="n"/>
      <c r="T23" s="16" t="n"/>
      <c r="U23" s="16" t="n"/>
      <c r="V23" s="16" t="n"/>
      <c r="W23" s="13" t="inlineStr">
        <is>
          <t>Sim</t>
        </is>
      </c>
      <c r="X23" s="13" t="inlineStr"/>
      <c r="Y23" s="15" t="inlineStr">
        <is>
          <t>NOTAS FISCAIS DE COMPRA JANEIRO 2026.pdf - p. 43</t>
        </is>
      </c>
    </row>
    <row r="24">
      <c r="A24" s="13" t="inlineStr">
        <is>
          <t>JAN26-P044</t>
        </is>
      </c>
      <c r="B24" s="13" t="n">
        <v>44</v>
      </c>
      <c r="C24" s="13" t="inlineStr">
        <is>
          <t>NF-e</t>
        </is>
      </c>
      <c r="D24" s="13" t="inlineStr">
        <is>
          <t>536108</t>
        </is>
      </c>
      <c r="E24" s="13" t="inlineStr">
        <is>
          <t>COMPANHIA INDUSTRIAL DE CIMENTO APODI</t>
        </is>
      </c>
      <c r="F24" s="16" t="n">
        <v>18814.95</v>
      </c>
      <c r="G24" s="16" t="n">
        <v>18814.95</v>
      </c>
      <c r="H24" s="17" t="n">
        <v>0.12</v>
      </c>
      <c r="I24" s="16" t="n">
        <v>2257.79</v>
      </c>
      <c r="J24" s="16" t="n"/>
      <c r="K24" s="16" t="n"/>
      <c r="L24" s="16" t="n"/>
      <c r="M24" s="16" t="n"/>
      <c r="N24" s="16" t="n"/>
      <c r="O24" s="16" t="n"/>
      <c r="P24" s="17" t="n"/>
      <c r="Q24" s="16" t="n"/>
      <c r="R24" s="16" t="n"/>
      <c r="S24" s="16" t="n"/>
      <c r="T24" s="16" t="n"/>
      <c r="U24" s="16" t="n"/>
      <c r="V24" s="16" t="n"/>
      <c r="W24" s="13" t="inlineStr">
        <is>
          <t>Sim</t>
        </is>
      </c>
      <c r="X24" s="13" t="inlineStr"/>
      <c r="Y24" s="15" t="inlineStr">
        <is>
          <t>NOTAS FISCAIS DE COMPRA JANEIRO 2026.pdf - p. 44</t>
        </is>
      </c>
    </row>
    <row r="25">
      <c r="A25" s="13" t="inlineStr">
        <is>
          <t>JAN26-P045</t>
        </is>
      </c>
      <c r="B25" s="13" t="n">
        <v>45</v>
      </c>
      <c r="C25" s="13" t="inlineStr">
        <is>
          <t>NF-e</t>
        </is>
      </c>
      <c r="D25" s="13" t="inlineStr">
        <is>
          <t>535954</t>
        </is>
      </c>
      <c r="E25" s="13" t="inlineStr">
        <is>
          <t>COMPANHIA INDUSTRIAL DE CIMENTO APODI</t>
        </is>
      </c>
      <c r="F25" s="16" t="n">
        <v>18621.9</v>
      </c>
      <c r="G25" s="16" t="n">
        <v>18621.9</v>
      </c>
      <c r="H25" s="17" t="n">
        <v>0.12</v>
      </c>
      <c r="I25" s="16" t="n">
        <v>2234.63</v>
      </c>
      <c r="J25" s="16" t="n"/>
      <c r="K25" s="16" t="n"/>
      <c r="L25" s="16" t="n"/>
      <c r="M25" s="16" t="n"/>
      <c r="N25" s="16" t="n"/>
      <c r="O25" s="16" t="n"/>
      <c r="P25" s="17" t="n"/>
      <c r="Q25" s="16" t="n"/>
      <c r="R25" s="16" t="n"/>
      <c r="S25" s="16" t="n"/>
      <c r="T25" s="16" t="n"/>
      <c r="U25" s="16" t="n"/>
      <c r="V25" s="16" t="n"/>
      <c r="W25" s="13" t="inlineStr">
        <is>
          <t>Sim</t>
        </is>
      </c>
      <c r="X25" s="13" t="inlineStr"/>
      <c r="Y25" s="15" t="inlineStr">
        <is>
          <t>NOTAS FISCAIS DE COMPRA JANEIRO 2026.pdf - p. 45</t>
        </is>
      </c>
    </row>
    <row r="26">
      <c r="A26" s="13" t="inlineStr">
        <is>
          <t>JAN26-P046</t>
        </is>
      </c>
      <c r="B26" s="13" t="n">
        <v>46</v>
      </c>
      <c r="C26" s="13" t="inlineStr">
        <is>
          <t>NF-e</t>
        </is>
      </c>
      <c r="D26" s="13" t="inlineStr">
        <is>
          <t>535509</t>
        </is>
      </c>
      <c r="E26" s="13" t="inlineStr">
        <is>
          <t>COMPANHIA INDUSTRIAL DE CIMENTO APODI</t>
        </is>
      </c>
      <c r="F26" s="16" t="n">
        <v>18839.7</v>
      </c>
      <c r="G26" s="16" t="n">
        <v>18839.7</v>
      </c>
      <c r="H26" s="17" t="n">
        <v>0.12</v>
      </c>
      <c r="I26" s="16" t="n">
        <v>2260.76</v>
      </c>
      <c r="J26" s="16" t="n"/>
      <c r="K26" s="16" t="n"/>
      <c r="L26" s="16" t="n"/>
      <c r="M26" s="16" t="n"/>
      <c r="N26" s="16" t="n"/>
      <c r="O26" s="16" t="n"/>
      <c r="P26" s="17" t="n"/>
      <c r="Q26" s="16" t="n"/>
      <c r="R26" s="16" t="n"/>
      <c r="S26" s="16" t="n"/>
      <c r="T26" s="16" t="n"/>
      <c r="U26" s="16" t="n"/>
      <c r="V26" s="16" t="n"/>
      <c r="W26" s="13" t="inlineStr">
        <is>
          <t>Sim</t>
        </is>
      </c>
      <c r="X26" s="13" t="inlineStr"/>
      <c r="Y26" s="15" t="inlineStr">
        <is>
          <t>NOTAS FISCAIS DE COMPRA JANEIRO 2026.pdf - p. 46</t>
        </is>
      </c>
    </row>
    <row r="27">
      <c r="A27" s="13" t="inlineStr">
        <is>
          <t>JAN26-P047</t>
        </is>
      </c>
      <c r="B27" s="13" t="n">
        <v>47</v>
      </c>
      <c r="C27" s="13" t="inlineStr">
        <is>
          <t>CT-e</t>
        </is>
      </c>
      <c r="D27" s="13" t="inlineStr">
        <is>
          <t>438</t>
        </is>
      </c>
      <c r="E27" s="13" t="inlineStr">
        <is>
          <t>F G INTELIGENCIA EM LOGISTICA LTDA</t>
        </is>
      </c>
      <c r="F27" s="16" t="n">
        <v>11141.4</v>
      </c>
      <c r="G27" s="16" t="n">
        <v>11141.4</v>
      </c>
      <c r="H27" s="17" t="n">
        <v>0.12</v>
      </c>
      <c r="I27" s="16" t="n">
        <v>1336.97</v>
      </c>
      <c r="J27" s="16" t="n"/>
      <c r="K27" s="16" t="n"/>
      <c r="L27" s="16" t="n"/>
      <c r="M27" s="16" t="n"/>
      <c r="N27" s="16" t="n"/>
      <c r="O27" s="16" t="n"/>
      <c r="P27" s="17" t="n"/>
      <c r="Q27" s="16" t="n"/>
      <c r="R27" s="16" t="n"/>
      <c r="S27" s="16" t="n"/>
      <c r="T27" s="16" t="n"/>
      <c r="U27" s="16" t="n"/>
      <c r="V27" s="16" t="n"/>
      <c r="W27" s="13" t="inlineStr">
        <is>
          <t>Sim</t>
        </is>
      </c>
      <c r="X27" s="13" t="inlineStr"/>
      <c r="Y27" s="15" t="inlineStr">
        <is>
          <t>NOTAS FISCAIS DE COMPRA JANEIRO 2026.pdf - p. 47</t>
        </is>
      </c>
    </row>
    <row r="28">
      <c r="A28" s="13" t="inlineStr">
        <is>
          <t>JAN26-P048</t>
        </is>
      </c>
      <c r="B28" s="13" t="n">
        <v>48</v>
      </c>
      <c r="C28" s="13" t="inlineStr">
        <is>
          <t>CT-e</t>
        </is>
      </c>
      <c r="D28" s="13" t="inlineStr">
        <is>
          <t>433</t>
        </is>
      </c>
      <c r="E28" s="13" t="inlineStr">
        <is>
          <t>F G INTELIGENCIA EM LOGISTICA LTDA</t>
        </is>
      </c>
      <c r="F28" s="16" t="n">
        <v>11652.9</v>
      </c>
      <c r="G28" s="16" t="n">
        <v>11652.9</v>
      </c>
      <c r="H28" s="17" t="n">
        <v>0.12</v>
      </c>
      <c r="I28" s="16" t="n">
        <v>1398.35</v>
      </c>
      <c r="J28" s="16" t="n"/>
      <c r="K28" s="16" t="n"/>
      <c r="L28" s="16" t="n"/>
      <c r="M28" s="16" t="n"/>
      <c r="N28" s="16" t="n"/>
      <c r="O28" s="16" t="n"/>
      <c r="P28" s="17" t="n"/>
      <c r="Q28" s="16" t="n"/>
      <c r="R28" s="16" t="n"/>
      <c r="S28" s="16" t="n"/>
      <c r="T28" s="16" t="n"/>
      <c r="U28" s="16" t="n"/>
      <c r="V28" s="16" t="n"/>
      <c r="W28" s="13" t="inlineStr">
        <is>
          <t>Sim</t>
        </is>
      </c>
      <c r="X28" s="13" t="inlineStr"/>
      <c r="Y28" s="15" t="inlineStr">
        <is>
          <t>NOTAS FISCAIS DE COMPRA JANEIRO 2026.pdf - p. 48</t>
        </is>
      </c>
    </row>
    <row r="29">
      <c r="A29" s="13" t="inlineStr">
        <is>
          <t>JAN26-P049</t>
        </is>
      </c>
      <c r="B29" s="13" t="n">
        <v>49</v>
      </c>
      <c r="C29" s="13" t="inlineStr">
        <is>
          <t>CT-e</t>
        </is>
      </c>
      <c r="D29" s="13" t="inlineStr">
        <is>
          <t>431</t>
        </is>
      </c>
      <c r="E29" s="13" t="inlineStr">
        <is>
          <t>F G INTELIGENCIA EM LOGISTICA LTDA</t>
        </is>
      </c>
      <c r="F29" s="16" t="n">
        <v>11718</v>
      </c>
      <c r="G29" s="16" t="n">
        <v>11718</v>
      </c>
      <c r="H29" s="17" t="n">
        <v>0.12</v>
      </c>
      <c r="I29" s="16" t="n">
        <v>1406.16</v>
      </c>
      <c r="J29" s="16" t="n"/>
      <c r="K29" s="16" t="n"/>
      <c r="L29" s="16" t="n"/>
      <c r="M29" s="16" t="n"/>
      <c r="N29" s="16" t="n"/>
      <c r="O29" s="16" t="n"/>
      <c r="P29" s="17" t="n"/>
      <c r="Q29" s="16" t="n"/>
      <c r="R29" s="16" t="n"/>
      <c r="S29" s="16" t="n"/>
      <c r="T29" s="16" t="n"/>
      <c r="U29" s="16" t="n"/>
      <c r="V29" s="16" t="n"/>
      <c r="W29" s="13" t="inlineStr">
        <is>
          <t>Sim</t>
        </is>
      </c>
      <c r="X29" s="13" t="inlineStr"/>
      <c r="Y29" s="15" t="inlineStr">
        <is>
          <t>NOTAS FISCAIS DE COMPRA JANEIRO 2026.pdf - p. 49</t>
        </is>
      </c>
    </row>
    <row r="30">
      <c r="A30" s="13" t="inlineStr">
        <is>
          <t>JAN26-P050</t>
        </is>
      </c>
      <c r="B30" s="13" t="n">
        <v>50</v>
      </c>
      <c r="C30" s="13" t="inlineStr">
        <is>
          <t>CT-e</t>
        </is>
      </c>
      <c r="D30" s="13" t="inlineStr">
        <is>
          <t>426</t>
        </is>
      </c>
      <c r="E30" s="13" t="inlineStr">
        <is>
          <t>F G INTELIGENCIA EM LOGISTICA LTDA</t>
        </is>
      </c>
      <c r="F30" s="16" t="n">
        <v>11783.1</v>
      </c>
      <c r="G30" s="16" t="n">
        <v>11783.1</v>
      </c>
      <c r="H30" s="17" t="n">
        <v>0.12</v>
      </c>
      <c r="I30" s="16" t="n">
        <v>1413.97</v>
      </c>
      <c r="J30" s="16" t="n"/>
      <c r="K30" s="16" t="n"/>
      <c r="L30" s="16" t="n"/>
      <c r="M30" s="16" t="n"/>
      <c r="N30" s="16" t="n"/>
      <c r="O30" s="16" t="n"/>
      <c r="P30" s="17" t="n"/>
      <c r="Q30" s="16" t="n"/>
      <c r="R30" s="16" t="n"/>
      <c r="S30" s="16" t="n"/>
      <c r="T30" s="16" t="n"/>
      <c r="U30" s="16" t="n"/>
      <c r="V30" s="16" t="n"/>
      <c r="W30" s="13" t="inlineStr">
        <is>
          <t>Sim</t>
        </is>
      </c>
      <c r="X30" s="13" t="inlineStr"/>
      <c r="Y30" s="15" t="inlineStr">
        <is>
          <t>NOTAS FISCAIS DE COMPRA JANEIRO 2026.pdf - p. 50</t>
        </is>
      </c>
    </row>
    <row r="31">
      <c r="A31" s="13" t="inlineStr">
        <is>
          <t>JAN26-P051</t>
        </is>
      </c>
      <c r="B31" s="13" t="n">
        <v>51</v>
      </c>
      <c r="C31" s="13" t="inlineStr">
        <is>
          <t>CT-e</t>
        </is>
      </c>
      <c r="D31" s="13" t="inlineStr">
        <is>
          <t>421</t>
        </is>
      </c>
      <c r="E31" s="13" t="inlineStr">
        <is>
          <t>F G INTELIGENCIA EM LOGISTICA LTDA</t>
        </is>
      </c>
      <c r="F31" s="16" t="n">
        <v>11662.2</v>
      </c>
      <c r="G31" s="16" t="n">
        <v>11662.2</v>
      </c>
      <c r="H31" s="17" t="n">
        <v>0.12</v>
      </c>
      <c r="I31" s="16" t="n">
        <v>1399.46</v>
      </c>
      <c r="J31" s="16" t="n"/>
      <c r="K31" s="16" t="n"/>
      <c r="L31" s="16" t="n"/>
      <c r="M31" s="16" t="n"/>
      <c r="N31" s="16" t="n"/>
      <c r="O31" s="16" t="n"/>
      <c r="P31" s="17" t="n"/>
      <c r="Q31" s="16" t="n"/>
      <c r="R31" s="16" t="n"/>
      <c r="S31" s="16" t="n"/>
      <c r="T31" s="16" t="n"/>
      <c r="U31" s="16" t="n"/>
      <c r="V31" s="16" t="n"/>
      <c r="W31" s="13" t="inlineStr">
        <is>
          <t>Sim</t>
        </is>
      </c>
      <c r="X31" s="13" t="inlineStr"/>
      <c r="Y31" s="15" t="inlineStr">
        <is>
          <t>NOTAS FISCAIS DE COMPRA JANEIRO 2026.pdf - p. 51</t>
        </is>
      </c>
    </row>
    <row r="32">
      <c r="A32" s="13" t="inlineStr">
        <is>
          <t>JAN26-P052</t>
        </is>
      </c>
      <c r="B32" s="13" t="n">
        <v>52</v>
      </c>
      <c r="C32" s="13" t="inlineStr">
        <is>
          <t>CT-e</t>
        </is>
      </c>
      <c r="D32" s="13" t="inlineStr">
        <is>
          <t>418</t>
        </is>
      </c>
      <c r="E32" s="13" t="inlineStr">
        <is>
          <t>F G INTELIGENCIA EM LOGISTICA LTDA</t>
        </is>
      </c>
      <c r="F32" s="16" t="n">
        <v>11798.6</v>
      </c>
      <c r="G32" s="16" t="n">
        <v>11798.6</v>
      </c>
      <c r="H32" s="17" t="n">
        <v>0.12</v>
      </c>
      <c r="I32" s="16" t="n">
        <v>1415.83</v>
      </c>
      <c r="J32" s="16" t="n"/>
      <c r="K32" s="16" t="n"/>
      <c r="L32" s="16" t="n"/>
      <c r="M32" s="16" t="n"/>
      <c r="N32" s="16" t="n"/>
      <c r="O32" s="16" t="n"/>
      <c r="P32" s="17" t="n"/>
      <c r="Q32" s="16" t="n"/>
      <c r="R32" s="16" t="n"/>
      <c r="S32" s="16" t="n"/>
      <c r="T32" s="16" t="n"/>
      <c r="U32" s="16" t="n"/>
      <c r="V32" s="16" t="n"/>
      <c r="W32" s="13" t="inlineStr">
        <is>
          <t>Sim</t>
        </is>
      </c>
      <c r="X32" s="13" t="inlineStr"/>
      <c r="Y32" s="15" t="inlineStr">
        <is>
          <t>NOTAS FISCAIS DE COMPRA JANEIRO 2026.pdf - p. 52</t>
        </is>
      </c>
    </row>
    <row r="33">
      <c r="A33" s="13" t="inlineStr">
        <is>
          <t>JAN26-P053</t>
        </is>
      </c>
      <c r="B33" s="13" t="n">
        <v>53</v>
      </c>
      <c r="C33" s="13" t="inlineStr">
        <is>
          <t>NF-e</t>
        </is>
      </c>
      <c r="D33" s="13" t="inlineStr">
        <is>
          <t>2198</t>
        </is>
      </c>
      <c r="E33" s="13" t="inlineStr">
        <is>
          <t>CAIEIRA CANTA GALO EXTRACAO E COMERCIO DE CALCARIO LTDA</t>
        </is>
      </c>
      <c r="F33" s="16" t="n">
        <v>488</v>
      </c>
      <c r="G33" s="16" t="n">
        <v>215.5</v>
      </c>
      <c r="H33" s="17" t="n">
        <v>0.12</v>
      </c>
      <c r="I33" s="16" t="n">
        <v>25.86</v>
      </c>
      <c r="J33" s="16" t="n"/>
      <c r="K33" s="16" t="n"/>
      <c r="L33" s="16" t="n"/>
      <c r="M33" s="16" t="n"/>
      <c r="N33" s="16" t="n"/>
      <c r="O33" s="16" t="n"/>
      <c r="P33" s="17" t="n"/>
      <c r="Q33" s="16" t="n"/>
      <c r="R33" s="16" t="n"/>
      <c r="S33" s="16" t="n"/>
      <c r="T33" s="16" t="n"/>
      <c r="U33" s="16" t="n"/>
      <c r="V33" s="16" t="n"/>
      <c r="W33" s="13" t="inlineStr">
        <is>
          <t>Sim</t>
        </is>
      </c>
      <c r="X33" s="13" t="inlineStr"/>
      <c r="Y33" s="15" t="inlineStr">
        <is>
          <t>NOTAS FISCAIS DE COMPRA JANEIRO 2026.pdf - p. 53</t>
        </is>
      </c>
    </row>
    <row r="34">
      <c r="A34" s="13" t="inlineStr">
        <is>
          <t>JAN26-P054</t>
        </is>
      </c>
      <c r="B34" s="13" t="n">
        <v>54</v>
      </c>
      <c r="C34" s="13" t="inlineStr">
        <is>
          <t>NF-e</t>
        </is>
      </c>
      <c r="D34" s="13" t="inlineStr">
        <is>
          <t>2181</t>
        </is>
      </c>
      <c r="E34" s="13" t="inlineStr">
        <is>
          <t>CAIEIRA CANTA GALO EXTRACAO E COMERCIO DE CALCARIO LTDA</t>
        </is>
      </c>
      <c r="F34" s="16" t="n">
        <v>4392</v>
      </c>
      <c r="G34" s="16" t="n">
        <v>1939.51</v>
      </c>
      <c r="H34" s="17" t="n">
        <v>0.12</v>
      </c>
      <c r="I34" s="16" t="n">
        <v>232.74</v>
      </c>
      <c r="J34" s="16" t="n"/>
      <c r="K34" s="16" t="n"/>
      <c r="L34" s="16" t="n"/>
      <c r="M34" s="16" t="n"/>
      <c r="N34" s="16" t="n"/>
      <c r="O34" s="16" t="n"/>
      <c r="P34" s="17" t="n"/>
      <c r="Q34" s="16" t="n"/>
      <c r="R34" s="16" t="n"/>
      <c r="S34" s="16" t="n"/>
      <c r="T34" s="16" t="n"/>
      <c r="U34" s="16" t="n"/>
      <c r="V34" s="16" t="n"/>
      <c r="W34" s="13" t="inlineStr">
        <is>
          <t>Sim</t>
        </is>
      </c>
      <c r="X34" s="13" t="inlineStr"/>
      <c r="Y34" s="15" t="inlineStr">
        <is>
          <t>NOTAS FISCAIS DE COMPRA JANEIRO 2026.pdf - p. 54</t>
        </is>
      </c>
    </row>
    <row r="35">
      <c r="A35" s="13" t="inlineStr">
        <is>
          <t>JAN26-P055</t>
        </is>
      </c>
      <c r="B35" s="13" t="n">
        <v>55</v>
      </c>
      <c r="C35" s="13" t="inlineStr">
        <is>
          <t>NF-e</t>
        </is>
      </c>
      <c r="D35" s="13" t="inlineStr">
        <is>
          <t>17232</t>
        </is>
      </c>
      <c r="E35" s="13" t="inlineStr">
        <is>
          <t>PLASTER DISTRIBUIDORA LTDA</t>
        </is>
      </c>
      <c r="F35" s="16" t="n">
        <v>43536</v>
      </c>
      <c r="G35" s="16" t="n">
        <v>42165.62</v>
      </c>
      <c r="H35" s="17" t="n"/>
      <c r="I35" s="16" t="n">
        <v>5059.87</v>
      </c>
      <c r="J35" s="16" t="n"/>
      <c r="K35" s="16" t="n"/>
      <c r="L35" s="16" t="n">
        <v>1370.38</v>
      </c>
      <c r="M35" s="16" t="n">
        <v>612.24</v>
      </c>
      <c r="N35" s="16" t="n">
        <v>2820.04</v>
      </c>
      <c r="O35" s="16" t="n"/>
      <c r="P35" s="17" t="n"/>
      <c r="Q35" s="16" t="n"/>
      <c r="R35" s="16" t="n"/>
      <c r="S35" s="16" t="n"/>
      <c r="T35" s="16" t="n"/>
      <c r="U35" s="16" t="n"/>
      <c r="V35" s="16" t="n"/>
      <c r="W35" s="13" t="inlineStr">
        <is>
          <t>Sim</t>
        </is>
      </c>
      <c r="X35" s="13" t="inlineStr"/>
      <c r="Y35" s="15" t="inlineStr">
        <is>
          <t>NOTAS FISCAIS DE COMPRA JANEIRO 2026.pdf - p. 55</t>
        </is>
      </c>
    </row>
    <row r="36">
      <c r="A36" s="13" t="inlineStr">
        <is>
          <t>JAN26-P056</t>
        </is>
      </c>
      <c r="B36" s="13" t="n">
        <v>56</v>
      </c>
      <c r="C36" s="13" t="inlineStr">
        <is>
          <t>NFS-e</t>
        </is>
      </c>
      <c r="D36" s="13" t="inlineStr">
        <is>
          <t>27</t>
        </is>
      </c>
      <c r="E36" s="13" t="inlineStr">
        <is>
          <t>JAILSON DA CONCEICAO PAIVA</t>
        </is>
      </c>
      <c r="F36" s="16" t="n">
        <v>2000</v>
      </c>
      <c r="G36" s="16" t="n"/>
      <c r="H36" s="17" t="n"/>
      <c r="I36" s="16" t="n"/>
      <c r="J36" s="16" t="n"/>
      <c r="K36" s="16" t="n"/>
      <c r="L36" s="16" t="n"/>
      <c r="M36" s="16" t="n">
        <v>0</v>
      </c>
      <c r="N36" s="16" t="n">
        <v>0</v>
      </c>
      <c r="O36" s="16" t="n"/>
      <c r="P36" s="17" t="n"/>
      <c r="Q36" s="16" t="n"/>
      <c r="R36" s="16" t="n"/>
      <c r="S36" s="16" t="n"/>
      <c r="T36" s="16" t="n"/>
      <c r="U36" s="16" t="n"/>
      <c r="V36" s="16" t="n"/>
      <c r="W36" s="13" t="inlineStr">
        <is>
          <t>Sim</t>
        </is>
      </c>
      <c r="X36" s="13" t="inlineStr"/>
      <c r="Y36" s="15" t="inlineStr">
        <is>
          <t>NOTAS FISCAIS DE COMPRA JANEIRO 2026.pdf - p. 56</t>
        </is>
      </c>
    </row>
    <row r="37">
      <c r="A37" s="13" t="inlineStr">
        <is>
          <t>JAN26-P057</t>
        </is>
      </c>
      <c r="B37" s="13" t="n">
        <v>57</v>
      </c>
      <c r="C37" s="13" t="inlineStr">
        <is>
          <t>NFS-e</t>
        </is>
      </c>
      <c r="D37" s="13" t="inlineStr">
        <is>
          <t>24</t>
        </is>
      </c>
      <c r="E37" s="13" t="inlineStr">
        <is>
          <t>EMERSON CANDIDO DE AQUINO 56476779320</t>
        </is>
      </c>
      <c r="F37" s="16" t="n">
        <v>2500</v>
      </c>
      <c r="G37" s="16" t="n"/>
      <c r="H37" s="17" t="n"/>
      <c r="I37" s="16" t="n"/>
      <c r="J37" s="16" t="n"/>
      <c r="K37" s="16" t="n"/>
      <c r="L37" s="16" t="n"/>
      <c r="M37" s="16" t="n"/>
      <c r="N37" s="16" t="n"/>
      <c r="O37" s="16" t="n"/>
      <c r="P37" s="17" t="n"/>
      <c r="Q37" s="16" t="n"/>
      <c r="R37" s="16" t="n"/>
      <c r="S37" s="16" t="n"/>
      <c r="T37" s="16" t="n"/>
      <c r="U37" s="16" t="n"/>
      <c r="V37" s="16" t="n"/>
      <c r="W37" s="13" t="inlineStr">
        <is>
          <t>Sim</t>
        </is>
      </c>
      <c r="X37" s="13" t="inlineStr"/>
      <c r="Y37" s="15" t="inlineStr">
        <is>
          <t>NOTAS FISCAIS DE COMPRA JANEIRO 2026.pdf - p. 57</t>
        </is>
      </c>
    </row>
    <row r="38">
      <c r="A38" s="13" t="inlineStr">
        <is>
          <t>JAN26-P058</t>
        </is>
      </c>
      <c r="B38" s="13" t="n">
        <v>58</v>
      </c>
      <c r="C38" s="13" t="inlineStr">
        <is>
          <t>NFS-e</t>
        </is>
      </c>
      <c r="D38" s="13" t="inlineStr">
        <is>
          <t>960441</t>
        </is>
      </c>
      <c r="E38" s="13" t="inlineStr">
        <is>
          <t>HOSPITAIS E CLINICAS DO PIAUI S/S LTDA</t>
        </is>
      </c>
      <c r="F38" s="16" t="n">
        <v>5901.18</v>
      </c>
      <c r="G38" s="16" t="n"/>
      <c r="H38" s="17" t="n"/>
      <c r="I38" s="16" t="n"/>
      <c r="J38" s="16" t="n"/>
      <c r="K38" s="16" t="n"/>
      <c r="L38" s="16" t="n"/>
      <c r="M38" s="16" t="n"/>
      <c r="N38" s="16" t="n"/>
      <c r="O38" s="16" t="n">
        <v>5901.18</v>
      </c>
      <c r="P38" s="17" t="n">
        <v>0.05</v>
      </c>
      <c r="Q38" s="16" t="n">
        <v>295.05</v>
      </c>
      <c r="R38" s="16" t="n"/>
      <c r="S38" s="16" t="n"/>
      <c r="T38" s="16" t="n"/>
      <c r="U38" s="16" t="n"/>
      <c r="V38" s="16" t="n"/>
      <c r="W38" s="13" t="inlineStr">
        <is>
          <t>Sim</t>
        </is>
      </c>
      <c r="X38" s="13" t="inlineStr"/>
      <c r="Y38" s="15" t="inlineStr">
        <is>
          <t>NOTAS FISCAIS DE COMPRA JANEIRO 2026.pdf - p. 58</t>
        </is>
      </c>
    </row>
    <row r="39">
      <c r="A39" s="13" t="inlineStr">
        <is>
          <t>JAN26-P059</t>
        </is>
      </c>
      <c r="B39" s="13" t="n">
        <v>59</v>
      </c>
      <c r="C39" s="13" t="inlineStr">
        <is>
          <t>NF-e</t>
        </is>
      </c>
      <c r="D39" s="13" t="inlineStr">
        <is>
          <t>832</t>
        </is>
      </c>
      <c r="E39" s="13" t="inlineStr">
        <is>
          <t>ROMILSON SILVA DE ASSIS</t>
        </is>
      </c>
      <c r="F39" s="16" t="n">
        <v>350</v>
      </c>
      <c r="G39" s="16" t="n"/>
      <c r="H39" s="17" t="n"/>
      <c r="I39" s="16" t="n"/>
      <c r="J39" s="16" t="n"/>
      <c r="K39" s="16" t="n"/>
      <c r="L39" s="16" t="n"/>
      <c r="M39" s="16" t="n"/>
      <c r="N39" s="16" t="n"/>
      <c r="O39" s="16" t="n"/>
      <c r="P39" s="17" t="n"/>
      <c r="Q39" s="16" t="n"/>
      <c r="R39" s="16" t="n"/>
      <c r="S39" s="16" t="n"/>
      <c r="T39" s="16" t="n"/>
      <c r="U39" s="16" t="n"/>
      <c r="V39" s="16" t="n"/>
      <c r="W39" s="13" t="inlineStr">
        <is>
          <t>Sim</t>
        </is>
      </c>
      <c r="X39" s="13" t="inlineStr"/>
      <c r="Y39" s="15" t="inlineStr">
        <is>
          <t>NOTAS FISCAIS DE COMPRA JANEIRO 2026.pdf - p. 59</t>
        </is>
      </c>
    </row>
    <row r="40">
      <c r="A40" s="13" t="inlineStr">
        <is>
          <t>JAN26-P060</t>
        </is>
      </c>
      <c r="B40" s="13" t="n">
        <v>60</v>
      </c>
      <c r="C40" s="13" t="inlineStr">
        <is>
          <t>NFS-e</t>
        </is>
      </c>
      <c r="D40" s="13" t="inlineStr">
        <is>
          <t>36</t>
        </is>
      </c>
      <c r="E40" s="13" t="inlineStr">
        <is>
          <t>MARCOS JOSE FONTANA HANUS</t>
        </is>
      </c>
      <c r="F40" s="16" t="n">
        <v>52</v>
      </c>
      <c r="G40" s="16" t="n"/>
      <c r="H40" s="17" t="n"/>
      <c r="I40" s="16" t="n"/>
      <c r="J40" s="16" t="n"/>
      <c r="K40" s="16" t="n"/>
      <c r="L40" s="16" t="n"/>
      <c r="M40" s="16" t="n">
        <v>62</v>
      </c>
      <c r="N40" s="16" t="n">
        <v>62</v>
      </c>
      <c r="O40" s="16" t="n"/>
      <c r="P40" s="17" t="n"/>
      <c r="Q40" s="16" t="n"/>
      <c r="R40" s="16" t="n"/>
      <c r="S40" s="16" t="n"/>
      <c r="T40" s="16" t="n"/>
      <c r="U40" s="16" t="n"/>
      <c r="V40" s="16" t="n"/>
      <c r="W40" s="13" t="inlineStr">
        <is>
          <t>Sim</t>
        </is>
      </c>
      <c r="X40" s="13" t="inlineStr"/>
      <c r="Y40" s="15" t="inlineStr">
        <is>
          <t>NOTAS FISCAIS DE COMPRA JANEIRO 2026.pdf - p. 60</t>
        </is>
      </c>
    </row>
    <row r="41">
      <c r="A41" s="13" t="inlineStr">
        <is>
          <t>JAN26-P061</t>
        </is>
      </c>
      <c r="B41" s="13" t="n">
        <v>61</v>
      </c>
      <c r="C41" s="13" t="inlineStr">
        <is>
          <t>NFS-e</t>
        </is>
      </c>
      <c r="D41" s="13" t="inlineStr">
        <is>
          <t>330</t>
        </is>
      </c>
      <c r="E41" s="13" t="inlineStr">
        <is>
          <t>MINERAR ENGENHARIA E MEIO AMBIENTE LTDA</t>
        </is>
      </c>
      <c r="F41" s="16" t="n">
        <v>759</v>
      </c>
      <c r="G41" s="16" t="n"/>
      <c r="H41" s="17" t="n"/>
      <c r="I41" s="16" t="n"/>
      <c r="J41" s="16" t="n"/>
      <c r="K41" s="16" t="n"/>
      <c r="L41" s="16" t="n"/>
      <c r="M41" s="16" t="n"/>
      <c r="N41" s="16" t="n"/>
      <c r="O41" s="16" t="n"/>
      <c r="P41" s="17" t="n"/>
      <c r="Q41" s="16" t="n">
        <v>759</v>
      </c>
      <c r="R41" s="16" t="n"/>
      <c r="S41" s="16" t="n"/>
      <c r="T41" s="16" t="n"/>
      <c r="U41" s="16" t="n"/>
      <c r="V41" s="16" t="n"/>
      <c r="W41" s="13" t="inlineStr">
        <is>
          <t>Sim</t>
        </is>
      </c>
      <c r="X41" s="13" t="inlineStr">
        <is>
          <t>ISS OCR suspeito</t>
        </is>
      </c>
      <c r="Y41" s="15" t="inlineStr">
        <is>
          <t>NOTAS FISCAIS DE COMPRA JANEIRO 2026.pdf - p. 61</t>
        </is>
      </c>
    </row>
    <row r="42">
      <c r="A42" s="13" t="inlineStr">
        <is>
          <t>JAN26-P062</t>
        </is>
      </c>
      <c r="B42" s="13" t="n">
        <v>62</v>
      </c>
      <c r="C42" s="13" t="inlineStr">
        <is>
          <t>NFS-e</t>
        </is>
      </c>
      <c r="D42" s="13" t="inlineStr">
        <is>
          <t>53</t>
        </is>
      </c>
      <c r="E42" s="13" t="inlineStr">
        <is>
          <t>KLESIO KENNEDY REPRESENTACAO DE MATERIAL DE CONSTRUCAO LTDA</t>
        </is>
      </c>
      <c r="F42" s="16" t="n">
        <v>14933</v>
      </c>
      <c r="G42" s="16" t="n"/>
      <c r="H42" s="17" t="n"/>
      <c r="I42" s="16" t="n"/>
      <c r="J42" s="16" t="n"/>
      <c r="K42" s="16" t="n"/>
      <c r="L42" s="16" t="n"/>
      <c r="M42" s="16" t="n">
        <v>50</v>
      </c>
      <c r="N42" s="16" t="n">
        <v>50</v>
      </c>
      <c r="O42" s="16" t="n">
        <v>14933</v>
      </c>
      <c r="P42" s="17" t="n">
        <v>0.05</v>
      </c>
      <c r="Q42" s="16" t="n"/>
      <c r="R42" s="16" t="n"/>
      <c r="S42" s="16" t="n"/>
      <c r="T42" s="16" t="n"/>
      <c r="U42" s="16" t="n"/>
      <c r="V42" s="16" t="n"/>
      <c r="W42" s="13" t="inlineStr">
        <is>
          <t>Sim</t>
        </is>
      </c>
      <c r="X42" s="13" t="inlineStr"/>
      <c r="Y42" s="15" t="inlineStr">
        <is>
          <t>NOTAS FISCAIS DE COMPRA JANEIRO 2026.pdf - p. 62</t>
        </is>
      </c>
    </row>
    <row r="43">
      <c r="A43" s="13" t="inlineStr">
        <is>
          <t>JAN26-P063</t>
        </is>
      </c>
      <c r="B43" s="13" t="n">
        <v>63</v>
      </c>
      <c r="C43" s="13" t="inlineStr">
        <is>
          <t>NFS-e</t>
        </is>
      </c>
      <c r="D43" s="13" t="inlineStr">
        <is>
          <t>244</t>
        </is>
      </c>
      <c r="E43" s="13" t="inlineStr">
        <is>
          <t>F. ALVES CAMINHA - ME</t>
        </is>
      </c>
      <c r="F43" s="16" t="n">
        <v>797.5599999999999</v>
      </c>
      <c r="G43" s="16" t="n"/>
      <c r="H43" s="17" t="n"/>
      <c r="I43" s="16" t="n"/>
      <c r="J43" s="16" t="n"/>
      <c r="K43" s="16" t="n"/>
      <c r="L43" s="16" t="n"/>
      <c r="M43" s="16" t="n"/>
      <c r="N43" s="16" t="n"/>
      <c r="O43" s="16" t="n">
        <v>707.58</v>
      </c>
      <c r="P43" s="17" t="n"/>
      <c r="Q43" s="16" t="n"/>
      <c r="R43" s="16" t="n"/>
      <c r="S43" s="16" t="n"/>
      <c r="T43" s="16" t="n"/>
      <c r="U43" s="16" t="n"/>
      <c r="V43" s="16" t="n"/>
      <c r="W43" s="13" t="inlineStr">
        <is>
          <t>Sim</t>
        </is>
      </c>
      <c r="X43" s="13" t="inlineStr"/>
      <c r="Y43" s="15" t="inlineStr">
        <is>
          <t>NOTAS FISCAIS DE COMPRA JANEIRO 2026.pdf - p. 63</t>
        </is>
      </c>
    </row>
    <row r="44">
      <c r="A44" s="13" t="inlineStr">
        <is>
          <t>JAN26-P064</t>
        </is>
      </c>
      <c r="B44" s="13" t="n">
        <v>64</v>
      </c>
      <c r="C44" s="13" t="inlineStr">
        <is>
          <t>NFS-e</t>
        </is>
      </c>
      <c r="D44" s="13" t="inlineStr">
        <is>
          <t>221</t>
        </is>
      </c>
      <c r="E44" s="13" t="inlineStr">
        <is>
          <t>E &amp; P SOARES DOS SANTOS LTDA - ME</t>
        </is>
      </c>
      <c r="F44" s="16" t="n">
        <v>35238.7</v>
      </c>
      <c r="G44" s="16" t="n"/>
      <c r="H44" s="17" t="n"/>
      <c r="I44" s="16" t="n"/>
      <c r="J44" s="16" t="n"/>
      <c r="K44" s="16" t="n"/>
      <c r="L44" s="16" t="n"/>
      <c r="M44" s="16" t="n">
        <v>35238.7</v>
      </c>
      <c r="N44" s="16" t="n"/>
      <c r="O44" s="16" t="n"/>
      <c r="P44" s="17" t="n"/>
      <c r="Q44" s="16" t="n"/>
      <c r="R44" s="16" t="n"/>
      <c r="S44" s="16" t="n"/>
      <c r="T44" s="16" t="n"/>
      <c r="U44" s="16" t="n"/>
      <c r="V44" s="16" t="n"/>
      <c r="W44" s="13" t="inlineStr">
        <is>
          <t>Sim</t>
        </is>
      </c>
      <c r="X44" s="13" t="inlineStr"/>
      <c r="Y44" s="15" t="inlineStr">
        <is>
          <t>NOTAS FISCAIS DE COMPRA JANEIRO 2026.pdf - p. 64</t>
        </is>
      </c>
    </row>
    <row r="45">
      <c r="A45" s="13" t="inlineStr">
        <is>
          <t>JAN26-P065</t>
        </is>
      </c>
      <c r="B45" s="13" t="n">
        <v>65</v>
      </c>
      <c r="C45" s="13" t="inlineStr">
        <is>
          <t>NFS-e</t>
        </is>
      </c>
      <c r="D45" s="13" t="inlineStr">
        <is>
          <t>57</t>
        </is>
      </c>
      <c r="E45" s="13" t="inlineStr">
        <is>
          <t>F J DE SOUSA REPRESENTACOES</t>
        </is>
      </c>
      <c r="F45" s="16" t="n">
        <v>14232.77</v>
      </c>
      <c r="G45" s="16" t="n"/>
      <c r="H45" s="17" t="n"/>
      <c r="I45" s="16" t="n"/>
      <c r="J45" s="16" t="n"/>
      <c r="K45" s="16" t="n"/>
      <c r="L45" s="16" t="n"/>
      <c r="M45" s="16" t="n">
        <v>9</v>
      </c>
      <c r="N45" s="16" t="n"/>
      <c r="O45" s="16" t="n"/>
      <c r="P45" s="17" t="n"/>
      <c r="Q45" s="16" t="n"/>
      <c r="R45" s="16" t="n"/>
      <c r="S45" s="16" t="n"/>
      <c r="T45" s="16" t="n"/>
      <c r="U45" s="16" t="n"/>
      <c r="V45" s="16" t="n"/>
      <c r="W45" s="13" t="inlineStr">
        <is>
          <t>Sim</t>
        </is>
      </c>
      <c r="X45" s="13" t="inlineStr"/>
      <c r="Y45" s="15" t="inlineStr">
        <is>
          <t>NOTAS FISCAIS DE COMPRA JANEIRO 2026.pdf - p. 65</t>
        </is>
      </c>
    </row>
    <row r="46">
      <c r="A46" s="13" t="inlineStr">
        <is>
          <t>JAN26-P066</t>
        </is>
      </c>
      <c r="B46" s="13" t="n">
        <v>66</v>
      </c>
      <c r="C46" s="13" t="inlineStr">
        <is>
          <t>NFS-e</t>
        </is>
      </c>
      <c r="D46" s="13" t="inlineStr">
        <is>
          <t>32</t>
        </is>
      </c>
      <c r="E46" s="13" t="inlineStr">
        <is>
          <t>GRACILENE MARIA BEZERRA DOS SANTOS</t>
        </is>
      </c>
      <c r="F46" s="16" t="n">
        <v>4782.92</v>
      </c>
      <c r="G46" s="16" t="n"/>
      <c r="H46" s="17" t="n"/>
      <c r="I46" s="16" t="n"/>
      <c r="J46" s="16" t="n"/>
      <c r="K46" s="16" t="n"/>
      <c r="L46" s="16" t="n"/>
      <c r="M46" s="16" t="n">
        <v>4782.92</v>
      </c>
      <c r="N46" s="16" t="n">
        <v>4782.92</v>
      </c>
      <c r="O46" s="16" t="n"/>
      <c r="P46" s="17" t="n"/>
      <c r="Q46" s="16" t="n"/>
      <c r="R46" s="16" t="n"/>
      <c r="S46" s="16" t="n"/>
      <c r="T46" s="16" t="n"/>
      <c r="U46" s="16" t="n"/>
      <c r="V46" s="16" t="n"/>
      <c r="W46" s="13" t="inlineStr">
        <is>
          <t>Sim</t>
        </is>
      </c>
      <c r="X46" s="13" t="inlineStr"/>
      <c r="Y46" s="15" t="inlineStr">
        <is>
          <t>NOTAS FISCAIS DE COMPRA JANEIRO 2026.pdf - p. 66</t>
        </is>
      </c>
    </row>
    <row r="47">
      <c r="A47" s="13" t="inlineStr">
        <is>
          <t>JAN26-P069</t>
        </is>
      </c>
      <c r="B47" s="13" t="n">
        <v>69</v>
      </c>
      <c r="C47" s="13" t="inlineStr">
        <is>
          <t>NFS-e</t>
        </is>
      </c>
      <c r="D47" s="13" t="inlineStr">
        <is>
          <t>4</t>
        </is>
      </c>
      <c r="E47" s="13" t="inlineStr">
        <is>
          <t>JUVENCIO REPRESENTACOES LIMITADA</t>
        </is>
      </c>
      <c r="F47" s="16" t="n">
        <v>15662.93</v>
      </c>
      <c r="G47" s="16" t="n"/>
      <c r="H47" s="17" t="n"/>
      <c r="I47" s="16" t="n"/>
      <c r="J47" s="16" t="n"/>
      <c r="K47" s="16" t="n"/>
      <c r="L47" s="16" t="n"/>
      <c r="M47" s="16" t="n">
        <v>15662.93</v>
      </c>
      <c r="N47" s="16" t="n">
        <v>15662.93</v>
      </c>
      <c r="O47" s="16" t="n"/>
      <c r="P47" s="17" t="n"/>
      <c r="Q47" s="16" t="n"/>
      <c r="R47" s="16" t="n"/>
      <c r="S47" s="16" t="n"/>
      <c r="T47" s="16" t="n"/>
      <c r="U47" s="16" t="n"/>
      <c r="V47" s="16" t="n"/>
      <c r="W47" s="13" t="inlineStr">
        <is>
          <t>Revisar</t>
        </is>
      </c>
      <c r="X47" s="13" t="inlineStr"/>
      <c r="Y47" s="15" t="inlineStr">
        <is>
          <t>NOTAS FISCAIS DE COMPRA JANEIRO 2026.pdf - p. 69</t>
        </is>
      </c>
    </row>
    <row r="48">
      <c r="A48" s="13" t="inlineStr">
        <is>
          <t>JAN26-P070</t>
        </is>
      </c>
      <c r="B48" s="13" t="n">
        <v>70</v>
      </c>
      <c r="C48" s="13" t="inlineStr">
        <is>
          <t>NFS-e</t>
        </is>
      </c>
      <c r="D48" s="13" t="inlineStr">
        <is>
          <t>3</t>
        </is>
      </c>
      <c r="E48" s="13" t="inlineStr">
        <is>
          <t>JUVENCIO REPRESENTACOES LIMITADA</t>
        </is>
      </c>
      <c r="F48" s="16" t="n">
        <v>15662.93</v>
      </c>
      <c r="G48" s="16" t="n"/>
      <c r="H48" s="17" t="n"/>
      <c r="I48" s="16" t="n"/>
      <c r="J48" s="16" t="n"/>
      <c r="K48" s="16" t="n"/>
      <c r="L48" s="16" t="n"/>
      <c r="M48" s="16" t="n">
        <v>15662.93</v>
      </c>
      <c r="N48" s="16" t="n">
        <v>15662.93</v>
      </c>
      <c r="O48" s="16" t="n"/>
      <c r="P48" s="17" t="n"/>
      <c r="Q48" s="16" t="n"/>
      <c r="R48" s="16" t="n"/>
      <c r="S48" s="16" t="n"/>
      <c r="T48" s="16" t="n"/>
      <c r="U48" s="16" t="n"/>
      <c r="V48" s="16" t="n"/>
      <c r="W48" s="13" t="inlineStr">
        <is>
          <t>Revisar</t>
        </is>
      </c>
      <c r="X48" s="13" t="inlineStr"/>
      <c r="Y48" s="15" t="inlineStr">
        <is>
          <t>NOTAS FISCAIS DE COMPRA JANEIRO 2026.pdf - p. 70</t>
        </is>
      </c>
    </row>
    <row r="49">
      <c r="A49" s="13" t="inlineStr">
        <is>
          <t>JAN26-P077</t>
        </is>
      </c>
      <c r="B49" s="13" t="n">
        <v>77</v>
      </c>
      <c r="C49" s="13" t="inlineStr">
        <is>
          <t>NF-e</t>
        </is>
      </c>
      <c r="D49" s="13" t="inlineStr">
        <is>
          <t>535011</t>
        </is>
      </c>
      <c r="E49" s="13" t="inlineStr">
        <is>
          <t>COMPANHIA INDUSTRIAL DE CIMENTO APODI</t>
        </is>
      </c>
      <c r="F49" s="16" t="n">
        <v>15797.5</v>
      </c>
      <c r="G49" s="16" t="n">
        <v>15797.5</v>
      </c>
      <c r="H49" s="17" t="n">
        <v>0.12</v>
      </c>
      <c r="I49" s="16" t="n">
        <v>1895.7</v>
      </c>
      <c r="J49" s="16" t="n"/>
      <c r="K49" s="16" t="n"/>
      <c r="L49" s="16" t="n"/>
      <c r="M49" s="16" t="n"/>
      <c r="N49" s="16" t="n"/>
      <c r="O49" s="16" t="n"/>
      <c r="P49" s="17" t="n"/>
      <c r="Q49" s="16" t="n"/>
      <c r="R49" s="16" t="n"/>
      <c r="S49" s="16" t="n"/>
      <c r="T49" s="16" t="n"/>
      <c r="U49" s="16" t="n"/>
      <c r="V49" s="16" t="n"/>
      <c r="W49" s="13" t="inlineStr">
        <is>
          <t>Sim</t>
        </is>
      </c>
      <c r="X49" s="13" t="inlineStr"/>
      <c r="Y49" s="15" t="inlineStr">
        <is>
          <t>NOTAS FISCAIS DE COMPRA JANEIRO 2026.pdf - p. 77</t>
        </is>
      </c>
    </row>
    <row r="50">
      <c r="A50" s="13" t="inlineStr">
        <is>
          <t>JAN26-P078</t>
        </is>
      </c>
      <c r="B50" s="13" t="n">
        <v>78</v>
      </c>
      <c r="C50" s="13" t="inlineStr">
        <is>
          <t>NF-e</t>
        </is>
      </c>
      <c r="D50" s="13" t="inlineStr">
        <is>
          <t>861</t>
        </is>
      </c>
      <c r="E50" s="13" t="inlineStr">
        <is>
          <t>INOVE SOLUCOES EM PRODUTOS E EQUIPAMENTOS PARA LABORATORIOS</t>
        </is>
      </c>
      <c r="F50" s="16" t="n">
        <v>27000</v>
      </c>
      <c r="G50" s="16" t="n"/>
      <c r="H50" s="17" t="n"/>
      <c r="I50" s="16" t="n"/>
      <c r="J50" s="16" t="n"/>
      <c r="K50" s="16" t="n"/>
      <c r="L50" s="16" t="n"/>
      <c r="M50" s="16" t="n"/>
      <c r="N50" s="16" t="n"/>
      <c r="O50" s="16" t="n"/>
      <c r="P50" s="17" t="n"/>
      <c r="Q50" s="16" t="n"/>
      <c r="R50" s="16" t="n"/>
      <c r="S50" s="16" t="n"/>
      <c r="T50" s="16" t="n"/>
      <c r="U50" s="16" t="n"/>
      <c r="V50" s="16" t="n"/>
      <c r="W50" s="13" t="inlineStr">
        <is>
          <t>Sim</t>
        </is>
      </c>
      <c r="X50" s="13" t="inlineStr"/>
      <c r="Y50" s="15" t="inlineStr">
        <is>
          <t>NOTAS FISCAIS DE COMPRA JANEIRO 2026.pdf - p. 78</t>
        </is>
      </c>
    </row>
    <row r="51">
      <c r="A51" s="13" t="inlineStr">
        <is>
          <t>JAN26-P080</t>
        </is>
      </c>
      <c r="B51" s="13" t="n">
        <v>80</v>
      </c>
      <c r="C51" s="13" t="inlineStr">
        <is>
          <t>NFCom</t>
        </is>
      </c>
      <c r="D51" s="13" t="inlineStr">
        <is>
          <t>5011</t>
        </is>
      </c>
      <c r="E51" s="13" t="inlineStr">
        <is>
          <t>J R C DE ANDRADES LTDA</t>
        </is>
      </c>
      <c r="F51" s="16" t="n">
        <v>139.9</v>
      </c>
      <c r="G51" s="16" t="n">
        <v>0</v>
      </c>
      <c r="H51" s="17" t="n"/>
      <c r="I51" s="16" t="n">
        <v>0</v>
      </c>
      <c r="J51" s="16" t="n"/>
      <c r="K51" s="16" t="n"/>
      <c r="L51" s="16" t="n"/>
      <c r="M51" s="16" t="n">
        <v>0</v>
      </c>
      <c r="N51" s="16" t="n">
        <v>0</v>
      </c>
      <c r="O51" s="16" t="n"/>
      <c r="P51" s="17" t="n"/>
      <c r="Q51" s="16" t="n"/>
      <c r="R51" s="16" t="n"/>
      <c r="S51" s="16" t="n"/>
      <c r="T51" s="16" t="n"/>
      <c r="U51" s="16" t="n"/>
      <c r="V51" s="16" t="n"/>
      <c r="W51" s="13" t="inlineStr">
        <is>
          <t>Sim</t>
        </is>
      </c>
      <c r="X51" s="13" t="inlineStr"/>
      <c r="Y51" s="15" t="inlineStr">
        <is>
          <t>NOTAS FISCAIS DE COMPRA JANEIRO 2026.pdf - p. 80</t>
        </is>
      </c>
    </row>
    <row r="52">
      <c r="A52" s="13" t="inlineStr">
        <is>
          <t>JAN26-P081</t>
        </is>
      </c>
      <c r="B52" s="13" t="n">
        <v>81</v>
      </c>
      <c r="C52" s="13" t="inlineStr">
        <is>
          <t>NF-e</t>
        </is>
      </c>
      <c r="D52" s="13" t="inlineStr">
        <is>
          <t>60587</t>
        </is>
      </c>
      <c r="E52" s="13" t="inlineStr">
        <is>
          <t>DISTRIBUICAO DE ALIMENTOS VANGUARDA S/A</t>
        </is>
      </c>
      <c r="F52" s="16" t="n">
        <v>800</v>
      </c>
      <c r="G52" s="16" t="n"/>
      <c r="H52" s="17" t="n"/>
      <c r="I52" s="16" t="n"/>
      <c r="J52" s="16" t="n"/>
      <c r="K52" s="16" t="n"/>
      <c r="L52" s="16" t="n"/>
      <c r="M52" s="16" t="n"/>
      <c r="N52" s="16" t="n"/>
      <c r="O52" s="16" t="n"/>
      <c r="P52" s="17" t="n"/>
      <c r="Q52" s="16" t="n"/>
      <c r="R52" s="16" t="n"/>
      <c r="S52" s="16" t="n"/>
      <c r="T52" s="16" t="n"/>
      <c r="U52" s="16" t="n"/>
      <c r="V52" s="16" t="n"/>
      <c r="W52" s="13" t="inlineStr">
        <is>
          <t>Sim</t>
        </is>
      </c>
      <c r="X52" s="13" t="inlineStr"/>
      <c r="Y52" s="15" t="inlineStr">
        <is>
          <t>NOTAS FISCAIS DE COMPRA JANEIRO 2026.pdf - p. 81</t>
        </is>
      </c>
    </row>
    <row r="53">
      <c r="A53" s="13" t="inlineStr">
        <is>
          <t>JAN26-P082</t>
        </is>
      </c>
      <c r="B53" s="13" t="n">
        <v>82</v>
      </c>
      <c r="C53" s="13" t="inlineStr">
        <is>
          <t>NFS-e</t>
        </is>
      </c>
      <c r="D53" s="13" t="inlineStr">
        <is>
          <t>767</t>
        </is>
      </c>
      <c r="E53" s="13" t="inlineStr">
        <is>
          <t>EDWARD MOURA SOCIEDADE INDIVIDUAL DE ADVOCACIA</t>
        </is>
      </c>
      <c r="F53" s="16" t="n">
        <v>4075</v>
      </c>
      <c r="G53" s="16" t="n"/>
      <c r="H53" s="17" t="n"/>
      <c r="I53" s="16" t="n"/>
      <c r="J53" s="16" t="n"/>
      <c r="K53" s="16" t="n"/>
      <c r="L53" s="16" t="n"/>
      <c r="M53" s="16" t="n">
        <v>0</v>
      </c>
      <c r="N53" s="16" t="n">
        <v>0</v>
      </c>
      <c r="O53" s="16" t="n"/>
      <c r="P53" s="17" t="n"/>
      <c r="Q53" s="16" t="n">
        <v>4.07</v>
      </c>
      <c r="R53" s="16" t="n"/>
      <c r="S53" s="16" t="n"/>
      <c r="T53" s="16" t="n"/>
      <c r="U53" s="16" t="n"/>
      <c r="V53" s="16" t="n"/>
      <c r="W53" s="13" t="inlineStr">
        <is>
          <t>Sim</t>
        </is>
      </c>
      <c r="X53" s="13" t="inlineStr"/>
      <c r="Y53" s="15" t="inlineStr">
        <is>
          <t>NOTAS FISCAIS DE COMPRA JANEIRO 2026.pdf - p. 82</t>
        </is>
      </c>
    </row>
    <row r="54">
      <c r="A54" s="13" t="inlineStr">
        <is>
          <t>JAN26-P083</t>
        </is>
      </c>
      <c r="B54" s="13" t="n">
        <v>83</v>
      </c>
      <c r="C54" s="13" t="inlineStr">
        <is>
          <t>NFS-e</t>
        </is>
      </c>
      <c r="D54" s="13" t="inlineStr">
        <is>
          <t>3331</t>
        </is>
      </c>
      <c r="E54" s="13" t="inlineStr">
        <is>
          <t>LCM CONSULTING AND INFORMATION SERVICES LTDA</t>
        </is>
      </c>
      <c r="F54" s="16" t="n">
        <v>9689.33</v>
      </c>
      <c r="G54" s="16" t="n"/>
      <c r="H54" s="17" t="n"/>
      <c r="I54" s="16" t="n"/>
      <c r="J54" s="16" t="n"/>
      <c r="K54" s="16" t="n"/>
      <c r="L54" s="16" t="n"/>
      <c r="M54" s="16" t="n"/>
      <c r="N54" s="16" t="n"/>
      <c r="O54" s="16" t="n"/>
      <c r="P54" s="17" t="n"/>
      <c r="Q54" s="16" t="n">
        <v>9.880000000000001</v>
      </c>
      <c r="R54" s="16" t="n"/>
      <c r="S54" s="16" t="n"/>
      <c r="T54" s="16" t="n"/>
      <c r="U54" s="16" t="n"/>
      <c r="V54" s="16" t="n"/>
      <c r="W54" s="13" t="inlineStr">
        <is>
          <t>Sim</t>
        </is>
      </c>
      <c r="X54" s="13" t="inlineStr"/>
      <c r="Y54" s="15" t="inlineStr">
        <is>
          <t>NOTAS FISCAIS DE COMPRA JANEIRO 2026.pdf - p. 83</t>
        </is>
      </c>
    </row>
    <row r="55">
      <c r="A55" s="13" t="inlineStr">
        <is>
          <t>JAN26-P084</t>
        </is>
      </c>
      <c r="B55" s="13" t="n">
        <v>84</v>
      </c>
      <c r="C55" s="13" t="inlineStr">
        <is>
          <t>NF-e</t>
        </is>
      </c>
      <c r="D55" s="13" t="inlineStr">
        <is>
          <t>232676</t>
        </is>
      </c>
      <c r="E55" s="13" t="inlineStr">
        <is>
          <t>INDUMAK MAQUINAS LTDA</t>
        </is>
      </c>
      <c r="F55" s="16" t="n">
        <v>1587.23</v>
      </c>
      <c r="G55" s="16" t="n">
        <v>1587.23</v>
      </c>
      <c r="H55" s="17" t="n"/>
      <c r="I55" s="16" t="n">
        <v>100.51</v>
      </c>
      <c r="J55" s="16" t="n"/>
      <c r="K55" s="16" t="n"/>
      <c r="L55" s="16" t="n">
        <v>75.65000000000001</v>
      </c>
      <c r="M55" s="16" t="n"/>
      <c r="N55" s="16" t="n"/>
      <c r="O55" s="16" t="n"/>
      <c r="P55" s="17" t="n"/>
      <c r="Q55" s="16" t="n"/>
      <c r="R55" s="16" t="n"/>
      <c r="S55" s="16" t="n"/>
      <c r="T55" s="16" t="n"/>
      <c r="U55" s="16" t="n"/>
      <c r="V55" s="16" t="n"/>
      <c r="W55" s="13" t="inlineStr">
        <is>
          <t>Sim</t>
        </is>
      </c>
      <c r="X55" s="13" t="inlineStr"/>
      <c r="Y55" s="15" t="inlineStr">
        <is>
          <t>NOTAS FISCAIS DE COMPRA JANEIRO 2026.pdf - p. 84</t>
        </is>
      </c>
    </row>
    <row r="56">
      <c r="A56" s="13" t="inlineStr">
        <is>
          <t>JAN26-P087</t>
        </is>
      </c>
      <c r="B56" s="13" t="n">
        <v>87</v>
      </c>
      <c r="C56" s="13" t="inlineStr">
        <is>
          <t>CT-e</t>
        </is>
      </c>
      <c r="D56" s="13" t="inlineStr">
        <is>
          <t>409</t>
        </is>
      </c>
      <c r="E56" s="13" t="inlineStr">
        <is>
          <t>F G INTELIGENCIA EM LOGISTICA LTDA</t>
        </is>
      </c>
      <c r="F56" s="16" t="n">
        <v>11683.9</v>
      </c>
      <c r="G56" s="16" t="n">
        <v>11683.9</v>
      </c>
      <c r="H56" s="17" t="n">
        <v>0.12</v>
      </c>
      <c r="I56" s="16" t="n">
        <v>1402.07</v>
      </c>
      <c r="J56" s="16" t="n"/>
      <c r="K56" s="16" t="n"/>
      <c r="L56" s="16" t="n"/>
      <c r="M56" s="16" t="n"/>
      <c r="N56" s="16" t="n"/>
      <c r="O56" s="16" t="n"/>
      <c r="P56" s="17" t="n"/>
      <c r="Q56" s="16" t="n"/>
      <c r="R56" s="16" t="n"/>
      <c r="S56" s="16" t="n"/>
      <c r="T56" s="16" t="n"/>
      <c r="U56" s="16" t="n"/>
      <c r="V56" s="16" t="n"/>
      <c r="W56" s="13" t="inlineStr">
        <is>
          <t>Sim</t>
        </is>
      </c>
      <c r="X56" s="13" t="inlineStr"/>
      <c r="Y56" s="15" t="inlineStr">
        <is>
          <t>NOTAS FISCAIS DE COMPRA JANEIRO 2026.pdf - p. 87</t>
        </is>
      </c>
    </row>
    <row r="57">
      <c r="A57" s="13" t="inlineStr">
        <is>
          <t>JAN26-P088</t>
        </is>
      </c>
      <c r="B57" s="13" t="n">
        <v>88</v>
      </c>
      <c r="C57" s="13" t="inlineStr">
        <is>
          <t>CT-e</t>
        </is>
      </c>
      <c r="D57" s="13" t="inlineStr">
        <is>
          <t>408</t>
        </is>
      </c>
      <c r="E57" s="13" t="inlineStr">
        <is>
          <t>F G INTELIGENCIA EM LOGISTICA LTDA</t>
        </is>
      </c>
      <c r="F57" s="16" t="n">
        <v>11776.9</v>
      </c>
      <c r="G57" s="16" t="n">
        <v>11776.9</v>
      </c>
      <c r="H57" s="17" t="n">
        <v>0.12</v>
      </c>
      <c r="I57" s="16" t="n">
        <v>1413.23</v>
      </c>
      <c r="J57" s="16" t="n"/>
      <c r="K57" s="16" t="n"/>
      <c r="L57" s="16" t="n"/>
      <c r="M57" s="16" t="n"/>
      <c r="N57" s="16" t="n"/>
      <c r="O57" s="16" t="n"/>
      <c r="P57" s="17" t="n"/>
      <c r="Q57" s="16" t="n"/>
      <c r="R57" s="16" t="n"/>
      <c r="S57" s="16" t="n"/>
      <c r="T57" s="16" t="n"/>
      <c r="U57" s="16" t="n"/>
      <c r="V57" s="16" t="n"/>
      <c r="W57" s="13" t="inlineStr">
        <is>
          <t>Sim</t>
        </is>
      </c>
      <c r="X57" s="13" t="inlineStr"/>
      <c r="Y57" s="15" t="inlineStr">
        <is>
          <t>NOTAS FISCAIS DE COMPRA JANEIRO 2026.pdf - p. 88</t>
        </is>
      </c>
    </row>
    <row r="58">
      <c r="A58" s="13" t="inlineStr">
        <is>
          <t>JAN26-P089</t>
        </is>
      </c>
      <c r="B58" s="13" t="n">
        <v>89</v>
      </c>
      <c r="C58" s="13" t="inlineStr">
        <is>
          <t>CT-e</t>
        </is>
      </c>
      <c r="D58" s="13" t="inlineStr">
        <is>
          <t>407</t>
        </is>
      </c>
      <c r="E58" s="13" t="inlineStr">
        <is>
          <t>F G INTELIGENCIA EM LOGISTICA LTDA</t>
        </is>
      </c>
      <c r="F58" s="16" t="n">
        <v>2307.5</v>
      </c>
      <c r="G58" s="16" t="n">
        <v>2307.5</v>
      </c>
      <c r="H58" s="17" t="n">
        <v>0.12</v>
      </c>
      <c r="I58" s="16" t="n">
        <v>276.9</v>
      </c>
      <c r="J58" s="16" t="n"/>
      <c r="K58" s="16" t="n"/>
      <c r="L58" s="16" t="n"/>
      <c r="M58" s="16" t="n"/>
      <c r="N58" s="16" t="n"/>
      <c r="O58" s="16" t="n"/>
      <c r="P58" s="17" t="n"/>
      <c r="Q58" s="16" t="n"/>
      <c r="R58" s="16" t="n"/>
      <c r="S58" s="16" t="n"/>
      <c r="T58" s="16" t="n"/>
      <c r="U58" s="16" t="n"/>
      <c r="V58" s="16" t="n"/>
      <c r="W58" s="13" t="inlineStr">
        <is>
          <t>Sim</t>
        </is>
      </c>
      <c r="X58" s="13" t="inlineStr"/>
      <c r="Y58" s="15" t="inlineStr">
        <is>
          <t>NOTAS FISCAIS DE COMPRA JANEIRO 2026.pdf - p. 89</t>
        </is>
      </c>
    </row>
    <row r="59">
      <c r="A59" s="13" t="inlineStr">
        <is>
          <t>JAN26-P090</t>
        </is>
      </c>
      <c r="B59" s="13" t="n">
        <v>90</v>
      </c>
      <c r="C59" s="13" t="inlineStr">
        <is>
          <t>CT-e</t>
        </is>
      </c>
      <c r="D59" s="13" t="inlineStr">
        <is>
          <t>405</t>
        </is>
      </c>
      <c r="E59" s="13" t="inlineStr">
        <is>
          <t>F G INTELIGENCIA EM LOGISTICA LTDA</t>
        </is>
      </c>
      <c r="F59" s="16" t="n">
        <v>11711.8</v>
      </c>
      <c r="G59" s="16" t="n">
        <v>11711.8</v>
      </c>
      <c r="H59" s="17" t="n">
        <v>0.12</v>
      </c>
      <c r="I59" s="16" t="n">
        <v>1405.42</v>
      </c>
      <c r="J59" s="16" t="n"/>
      <c r="K59" s="16" t="n"/>
      <c r="L59" s="16" t="n"/>
      <c r="M59" s="16" t="n"/>
      <c r="N59" s="16" t="n"/>
      <c r="O59" s="16" t="n"/>
      <c r="P59" s="17" t="n"/>
      <c r="Q59" s="16" t="n"/>
      <c r="R59" s="16" t="n"/>
      <c r="S59" s="16" t="n"/>
      <c r="T59" s="16" t="n"/>
      <c r="U59" s="16" t="n"/>
      <c r="V59" s="16" t="n"/>
      <c r="W59" s="13" t="inlineStr">
        <is>
          <t>Sim</t>
        </is>
      </c>
      <c r="X59" s="13" t="inlineStr"/>
      <c r="Y59" s="15" t="inlineStr">
        <is>
          <t>NOTAS FISCAIS DE COMPRA JANEIRO 2026.pdf - p. 90</t>
        </is>
      </c>
    </row>
    <row r="60">
      <c r="A60" s="13" t="inlineStr">
        <is>
          <t>JAN26-P091</t>
        </is>
      </c>
      <c r="B60" s="13" t="n">
        <v>91</v>
      </c>
      <c r="C60" s="13" t="inlineStr">
        <is>
          <t>CT-e</t>
        </is>
      </c>
      <c r="D60" s="13" t="inlineStr">
        <is>
          <t>401</t>
        </is>
      </c>
      <c r="E60" s="13" t="inlineStr">
        <is>
          <t>F G INTELIGENCIA EM LOGISTICA LTDA</t>
        </is>
      </c>
      <c r="F60" s="16" t="n">
        <v>11764.5</v>
      </c>
      <c r="G60" s="16" t="n">
        <v>11764.5</v>
      </c>
      <c r="H60" s="17" t="n">
        <v>0.12</v>
      </c>
      <c r="I60" s="16" t="n">
        <v>1411.74</v>
      </c>
      <c r="J60" s="16" t="n"/>
      <c r="K60" s="16" t="n"/>
      <c r="L60" s="16" t="n"/>
      <c r="M60" s="16" t="n"/>
      <c r="N60" s="16" t="n"/>
      <c r="O60" s="16" t="n"/>
      <c r="P60" s="17" t="n"/>
      <c r="Q60" s="16" t="n"/>
      <c r="R60" s="16" t="n"/>
      <c r="S60" s="16" t="n"/>
      <c r="T60" s="16" t="n"/>
      <c r="U60" s="16" t="n"/>
      <c r="V60" s="16" t="n"/>
      <c r="W60" s="13" t="inlineStr">
        <is>
          <t>Sim</t>
        </is>
      </c>
      <c r="X60" s="13" t="inlineStr"/>
      <c r="Y60" s="15" t="inlineStr">
        <is>
          <t>NOTAS FISCAIS DE COMPRA JANEIRO 2026.pdf - p. 91</t>
        </is>
      </c>
    </row>
    <row r="61">
      <c r="A61" s="13" t="inlineStr">
        <is>
          <t>JAN26-P092</t>
        </is>
      </c>
      <c r="B61" s="13" t="n">
        <v>92</v>
      </c>
      <c r="C61" s="13" t="inlineStr">
        <is>
          <t>NF-e</t>
        </is>
      </c>
      <c r="D61" s="13" t="inlineStr">
        <is>
          <t>535504</t>
        </is>
      </c>
      <c r="E61" s="13" t="inlineStr">
        <is>
          <t>COMPANHIA INDUSTRIAL DE CIMENTO APODI</t>
        </is>
      </c>
      <c r="F61" s="16" t="n">
        <v>18676.35</v>
      </c>
      <c r="G61" s="16" t="n">
        <v>18676.35</v>
      </c>
      <c r="H61" s="17" t="n">
        <v>0.12</v>
      </c>
      <c r="I61" s="16" t="n">
        <v>2241.16</v>
      </c>
      <c r="J61" s="16" t="n"/>
      <c r="K61" s="16" t="n"/>
      <c r="L61" s="16" t="n"/>
      <c r="M61" s="16" t="n"/>
      <c r="N61" s="16" t="n"/>
      <c r="O61" s="16" t="n"/>
      <c r="P61" s="17" t="n"/>
      <c r="Q61" s="16" t="n"/>
      <c r="R61" s="16" t="n"/>
      <c r="S61" s="16" t="n"/>
      <c r="T61" s="16" t="n"/>
      <c r="U61" s="16" t="n"/>
      <c r="V61" s="16" t="n"/>
      <c r="W61" s="13" t="inlineStr">
        <is>
          <t>Sim</t>
        </is>
      </c>
      <c r="X61" s="13" t="inlineStr"/>
      <c r="Y61" s="15" t="inlineStr">
        <is>
          <t>NOTAS FISCAIS DE COMPRA JANEIRO 2026.pdf - p. 92</t>
        </is>
      </c>
    </row>
    <row r="62">
      <c r="A62" s="13" t="inlineStr">
        <is>
          <t>JAN26-P093</t>
        </is>
      </c>
      <c r="B62" s="13" t="n">
        <v>93</v>
      </c>
      <c r="C62" s="13" t="inlineStr">
        <is>
          <t>NF-e</t>
        </is>
      </c>
      <c r="D62" s="13" t="inlineStr">
        <is>
          <t>535252</t>
        </is>
      </c>
      <c r="E62" s="13" t="inlineStr">
        <is>
          <t>COMPANHIA INDUSTRIAL DE CIMENTO APODI</t>
        </is>
      </c>
      <c r="F62" s="16" t="n">
        <v>18720.9</v>
      </c>
      <c r="G62" s="16" t="n">
        <v>18720.9</v>
      </c>
      <c r="H62" s="17" t="n">
        <v>0.12</v>
      </c>
      <c r="I62" s="16" t="n">
        <v>2246.51</v>
      </c>
      <c r="J62" s="16" t="n"/>
      <c r="K62" s="16" t="n"/>
      <c r="L62" s="16" t="n"/>
      <c r="M62" s="16" t="n"/>
      <c r="N62" s="16" t="n"/>
      <c r="O62" s="16" t="n"/>
      <c r="P62" s="17" t="n"/>
      <c r="Q62" s="16" t="n"/>
      <c r="R62" s="16" t="n"/>
      <c r="S62" s="16" t="n"/>
      <c r="T62" s="16" t="n"/>
      <c r="U62" s="16" t="n"/>
      <c r="V62" s="16" t="n"/>
      <c r="W62" s="13" t="inlineStr">
        <is>
          <t>Sim</t>
        </is>
      </c>
      <c r="X62" s="13" t="inlineStr"/>
      <c r="Y62" s="15" t="inlineStr">
        <is>
          <t>NOTAS FISCAIS DE COMPRA JANEIRO 2026.pdf - p. 93</t>
        </is>
      </c>
    </row>
    <row r="63">
      <c r="A63" s="13" t="inlineStr">
        <is>
          <t>JAN26-P094</t>
        </is>
      </c>
      <c r="B63" s="13" t="n">
        <v>94</v>
      </c>
      <c r="C63" s="13" t="inlineStr">
        <is>
          <t>NF-e</t>
        </is>
      </c>
      <c r="D63" s="13" t="inlineStr">
        <is>
          <t>535128</t>
        </is>
      </c>
      <c r="E63" s="13" t="inlineStr">
        <is>
          <t>COMPANHIA INDUSTRIAL DE CIMENTO APODI</t>
        </is>
      </c>
      <c r="F63" s="16" t="n">
        <v>18656.55</v>
      </c>
      <c r="G63" s="16" t="n">
        <v>18656.55</v>
      </c>
      <c r="H63" s="17" t="n">
        <v>0.12</v>
      </c>
      <c r="I63" s="16" t="n">
        <v>2238.79</v>
      </c>
      <c r="J63" s="16" t="n"/>
      <c r="K63" s="16" t="n"/>
      <c r="L63" s="16" t="n"/>
      <c r="M63" s="16" t="n"/>
      <c r="N63" s="16" t="n"/>
      <c r="O63" s="16" t="n"/>
      <c r="P63" s="17" t="n"/>
      <c r="Q63" s="16" t="n"/>
      <c r="R63" s="16" t="n"/>
      <c r="S63" s="16" t="n"/>
      <c r="T63" s="16" t="n"/>
      <c r="U63" s="16" t="n"/>
      <c r="V63" s="16" t="n"/>
      <c r="W63" s="13" t="inlineStr">
        <is>
          <t>Sim</t>
        </is>
      </c>
      <c r="X63" s="13" t="inlineStr"/>
      <c r="Y63" s="15" t="inlineStr">
        <is>
          <t>NOTAS FISCAIS DE COMPRA JANEIRO 2026.pdf - p. 94</t>
        </is>
      </c>
    </row>
    <row r="64">
      <c r="A64" s="13" t="inlineStr">
        <is>
          <t>JAN26-P096</t>
        </is>
      </c>
      <c r="B64" s="13" t="n">
        <v>96</v>
      </c>
      <c r="C64" s="13" t="inlineStr">
        <is>
          <t>NF-e</t>
        </is>
      </c>
      <c r="D64" s="13" t="inlineStr">
        <is>
          <t>534870</t>
        </is>
      </c>
      <c r="E64" s="13" t="inlineStr">
        <is>
          <t>COMPANHIA INDUSTRIAL DE CIMENTO APODI</t>
        </is>
      </c>
      <c r="F64" s="16" t="n">
        <v>18701.1</v>
      </c>
      <c r="G64" s="16" t="n">
        <v>18701.1</v>
      </c>
      <c r="H64" s="17" t="n">
        <v>0.12</v>
      </c>
      <c r="I64" s="16" t="n">
        <v>2244.13</v>
      </c>
      <c r="J64" s="16" t="n"/>
      <c r="K64" s="16" t="n"/>
      <c r="L64" s="16" t="n"/>
      <c r="M64" s="16" t="n"/>
      <c r="N64" s="16" t="n"/>
      <c r="O64" s="16" t="n"/>
      <c r="P64" s="17" t="n"/>
      <c r="Q64" s="16" t="n"/>
      <c r="R64" s="16" t="n"/>
      <c r="S64" s="16" t="n"/>
      <c r="T64" s="16" t="n"/>
      <c r="U64" s="16" t="n"/>
      <c r="V64" s="16" t="n"/>
      <c r="W64" s="13" t="inlineStr">
        <is>
          <t>Sim</t>
        </is>
      </c>
      <c r="X64" s="13" t="inlineStr"/>
      <c r="Y64" s="15" t="inlineStr">
        <is>
          <t>NOTAS FISCAIS DE COMPRA JANEIRO 2026.pdf - p. 96</t>
        </is>
      </c>
    </row>
    <row r="65">
      <c r="A65" s="13" t="inlineStr">
        <is>
          <t>JAN26-P097</t>
        </is>
      </c>
      <c r="B65" s="13" t="n">
        <v>97</v>
      </c>
      <c r="C65" s="13" t="inlineStr">
        <is>
          <t>NF-e</t>
        </is>
      </c>
      <c r="D65" s="13" t="inlineStr">
        <is>
          <t>534761</t>
        </is>
      </c>
      <c r="E65" s="13" t="inlineStr">
        <is>
          <t>COMPANHIA INDUSTRIAL DE CIMENTO APODI</t>
        </is>
      </c>
      <c r="F65" s="16" t="n">
        <v>18785.25</v>
      </c>
      <c r="G65" s="16" t="n">
        <v>18785.25</v>
      </c>
      <c r="H65" s="17" t="n">
        <v>0.12</v>
      </c>
      <c r="I65" s="16" t="n">
        <v>2254.23</v>
      </c>
      <c r="J65" s="16" t="n"/>
      <c r="K65" s="16" t="n"/>
      <c r="L65" s="16" t="n"/>
      <c r="M65" s="16" t="n"/>
      <c r="N65" s="16" t="n"/>
      <c r="O65" s="16" t="n"/>
      <c r="P65" s="17" t="n"/>
      <c r="Q65" s="16" t="n"/>
      <c r="R65" s="16" t="n"/>
      <c r="S65" s="16" t="n"/>
      <c r="T65" s="16" t="n"/>
      <c r="U65" s="16" t="n"/>
      <c r="V65" s="16" t="n"/>
      <c r="W65" s="13" t="inlineStr">
        <is>
          <t>Sim</t>
        </is>
      </c>
      <c r="X65" s="13" t="inlineStr"/>
      <c r="Y65" s="15" t="inlineStr">
        <is>
          <t>NOTAS FISCAIS DE COMPRA JANEIRO 2026.pdf - p. 97</t>
        </is>
      </c>
    </row>
    <row r="66">
      <c r="A66" s="13" t="inlineStr">
        <is>
          <t>JAN26-P098</t>
        </is>
      </c>
      <c r="B66" s="13" t="n">
        <v>98</v>
      </c>
      <c r="C66" s="13" t="inlineStr">
        <is>
          <t>CT-e</t>
        </is>
      </c>
      <c r="D66" s="13" t="inlineStr">
        <is>
          <t>373</t>
        </is>
      </c>
      <c r="E66" s="13" t="inlineStr">
        <is>
          <t>F G INTELIGENCIA EM LOGISTICA LTDA</t>
        </is>
      </c>
      <c r="F66" s="16" t="n">
        <v>11795.5</v>
      </c>
      <c r="G66" s="16" t="n">
        <v>11795.5</v>
      </c>
      <c r="H66" s="17" t="n">
        <v>0.12</v>
      </c>
      <c r="I66" s="16" t="n">
        <v>1415.46</v>
      </c>
      <c r="J66" s="16" t="n"/>
      <c r="K66" s="16" t="n"/>
      <c r="L66" s="16" t="n"/>
      <c r="M66" s="16" t="n"/>
      <c r="N66" s="16" t="n"/>
      <c r="O66" s="16" t="n"/>
      <c r="P66" s="17" t="n"/>
      <c r="Q66" s="16" t="n"/>
      <c r="R66" s="16" t="n"/>
      <c r="S66" s="16" t="n"/>
      <c r="T66" s="16" t="n"/>
      <c r="U66" s="16" t="n"/>
      <c r="V66" s="16" t="n"/>
      <c r="W66" s="13" t="inlineStr">
        <is>
          <t>Sim</t>
        </is>
      </c>
      <c r="X66" s="13" t="inlineStr"/>
      <c r="Y66" s="15" t="inlineStr">
        <is>
          <t>NOTAS FISCAIS DE COMPRA JANEIRO 2026.pdf - p. 98</t>
        </is>
      </c>
    </row>
    <row r="67">
      <c r="A67" s="13" t="inlineStr">
        <is>
          <t>JAN26-P100</t>
        </is>
      </c>
      <c r="B67" s="13" t="n">
        <v>100</v>
      </c>
      <c r="C67" s="13" t="inlineStr">
        <is>
          <t>CT-e</t>
        </is>
      </c>
      <c r="D67" s="13" t="inlineStr">
        <is>
          <t>376</t>
        </is>
      </c>
      <c r="E67" s="13" t="inlineStr">
        <is>
          <t>F G INTELIGENCIA EM LOGISTICA LTDA</t>
        </is>
      </c>
      <c r="F67" s="16" t="n">
        <v>11687</v>
      </c>
      <c r="G67" s="16" t="n">
        <v>11687</v>
      </c>
      <c r="H67" s="17" t="n">
        <v>0.12</v>
      </c>
      <c r="I67" s="16" t="n">
        <v>1402.44</v>
      </c>
      <c r="J67" s="16" t="n"/>
      <c r="K67" s="16" t="n"/>
      <c r="L67" s="16" t="n"/>
      <c r="M67" s="16" t="n"/>
      <c r="N67" s="16" t="n"/>
      <c r="O67" s="16" t="n"/>
      <c r="P67" s="17" t="n"/>
      <c r="Q67" s="16" t="n"/>
      <c r="R67" s="16" t="n"/>
      <c r="S67" s="16" t="n"/>
      <c r="T67" s="16" t="n"/>
      <c r="U67" s="16" t="n"/>
      <c r="V67" s="16" t="n"/>
      <c r="W67" s="13" t="inlineStr">
        <is>
          <t>Sim</t>
        </is>
      </c>
      <c r="X67" s="13" t="inlineStr"/>
      <c r="Y67" s="15" t="inlineStr">
        <is>
          <t>NOTAS FISCAIS DE COMPRA JANEIRO 2026.pdf - p. 100</t>
        </is>
      </c>
    </row>
    <row r="68">
      <c r="A68" s="13" t="inlineStr">
        <is>
          <t>JAN26-P102</t>
        </is>
      </c>
      <c r="B68" s="13" t="n">
        <v>102</v>
      </c>
      <c r="C68" s="13" t="inlineStr">
        <is>
          <t>CT-e</t>
        </is>
      </c>
      <c r="D68" s="13" t="inlineStr">
        <is>
          <t>381</t>
        </is>
      </c>
      <c r="E68" s="13" t="inlineStr">
        <is>
          <t>F G INTELIGENCIA EM LOGISTICA LTDA</t>
        </is>
      </c>
      <c r="F68" s="16" t="n">
        <v>11780</v>
      </c>
      <c r="G68" s="16" t="n">
        <v>11780</v>
      </c>
      <c r="H68" s="17" t="n">
        <v>0.12</v>
      </c>
      <c r="I68" s="16" t="n">
        <v>1413.6</v>
      </c>
      <c r="J68" s="16" t="n"/>
      <c r="K68" s="16" t="n"/>
      <c r="L68" s="16" t="n"/>
      <c r="M68" s="16" t="n"/>
      <c r="N68" s="16" t="n"/>
      <c r="O68" s="16" t="n"/>
      <c r="P68" s="17" t="n"/>
      <c r="Q68" s="16" t="n"/>
      <c r="R68" s="16" t="n"/>
      <c r="S68" s="16" t="n"/>
      <c r="T68" s="16" t="n"/>
      <c r="U68" s="16" t="n"/>
      <c r="V68" s="16" t="n"/>
      <c r="W68" s="13" t="inlineStr">
        <is>
          <t>Sim</t>
        </is>
      </c>
      <c r="X68" s="13" t="inlineStr"/>
      <c r="Y68" s="15" t="inlineStr">
        <is>
          <t>NOTAS FISCAIS DE COMPRA JANEIRO 2026.pdf - p. 102</t>
        </is>
      </c>
    </row>
    <row r="69">
      <c r="A69" s="13" t="inlineStr">
        <is>
          <t>JAN26-P104</t>
        </is>
      </c>
      <c r="B69" s="13" t="n">
        <v>104</v>
      </c>
      <c r="C69" s="13" t="inlineStr">
        <is>
          <t>CT-e</t>
        </is>
      </c>
      <c r="D69" s="13" t="inlineStr">
        <is>
          <t>383</t>
        </is>
      </c>
      <c r="E69" s="13" t="inlineStr">
        <is>
          <t>F G INTELIGENCIA EM LOGISTICA LTDA</t>
        </is>
      </c>
      <c r="F69" s="16" t="n">
        <v>11383.2</v>
      </c>
      <c r="G69" s="16" t="n">
        <v>11383.2</v>
      </c>
      <c r="H69" s="17" t="n">
        <v>0.12</v>
      </c>
      <c r="I69" s="16" t="n">
        <v>1365.98</v>
      </c>
      <c r="J69" s="16" t="n"/>
      <c r="K69" s="16" t="n"/>
      <c r="L69" s="16" t="n"/>
      <c r="M69" s="16" t="n"/>
      <c r="N69" s="16" t="n"/>
      <c r="O69" s="16" t="n"/>
      <c r="P69" s="17" t="n"/>
      <c r="Q69" s="16" t="n"/>
      <c r="R69" s="16" t="n"/>
      <c r="S69" s="16" t="n"/>
      <c r="T69" s="16" t="n"/>
      <c r="U69" s="16" t="n"/>
      <c r="V69" s="16" t="n"/>
      <c r="W69" s="13" t="inlineStr">
        <is>
          <t>Sim</t>
        </is>
      </c>
      <c r="X69" s="13" t="inlineStr"/>
      <c r="Y69" s="15" t="inlineStr">
        <is>
          <t>NOTAS FISCAIS DE COMPRA JANEIRO 2026.pdf - p. 104</t>
        </is>
      </c>
    </row>
    <row r="70">
      <c r="A70" s="13" t="inlineStr">
        <is>
          <t>JAN26-P106</t>
        </is>
      </c>
      <c r="B70" s="13" t="n">
        <v>106</v>
      </c>
      <c r="C70" s="13" t="inlineStr">
        <is>
          <t>CT-e</t>
        </is>
      </c>
      <c r="D70" s="13" t="inlineStr">
        <is>
          <t>385</t>
        </is>
      </c>
      <c r="E70" s="13" t="inlineStr">
        <is>
          <t>F G INTELIGENCIA EM LOGISTICA LTDA</t>
        </is>
      </c>
      <c r="F70" s="16" t="n">
        <v>11727.3</v>
      </c>
      <c r="G70" s="16" t="n">
        <v>11727.3</v>
      </c>
      <c r="H70" s="17" t="n">
        <v>0.12</v>
      </c>
      <c r="I70" s="16" t="n">
        <v>1407.28</v>
      </c>
      <c r="J70" s="16" t="n"/>
      <c r="K70" s="16" t="n"/>
      <c r="L70" s="16" t="n"/>
      <c r="M70" s="16" t="n"/>
      <c r="N70" s="16" t="n"/>
      <c r="O70" s="16" t="n"/>
      <c r="P70" s="17" t="n"/>
      <c r="Q70" s="16" t="n"/>
      <c r="R70" s="16" t="n"/>
      <c r="S70" s="16" t="n"/>
      <c r="T70" s="16" t="n"/>
      <c r="U70" s="16" t="n"/>
      <c r="V70" s="16" t="n"/>
      <c r="W70" s="13" t="inlineStr">
        <is>
          <t>Sim</t>
        </is>
      </c>
      <c r="X70" s="13" t="inlineStr"/>
      <c r="Y70" s="15" t="inlineStr">
        <is>
          <t>NOTAS FISCAIS DE COMPRA JANEIRO 2026.pdf - p. 106</t>
        </is>
      </c>
    </row>
    <row r="71">
      <c r="A71" s="13" t="inlineStr">
        <is>
          <t>JAN26-P108</t>
        </is>
      </c>
      <c r="B71" s="13" t="n">
        <v>108</v>
      </c>
      <c r="C71" s="13" t="inlineStr">
        <is>
          <t>CT-e</t>
        </is>
      </c>
      <c r="D71" s="13" t="inlineStr">
        <is>
          <t>389</t>
        </is>
      </c>
      <c r="E71" s="13" t="inlineStr">
        <is>
          <t>F G INTELIGENCIA EM LOGISTICA LTDA</t>
        </is>
      </c>
      <c r="F71" s="16" t="n">
        <v>11612.6</v>
      </c>
      <c r="G71" s="16" t="n">
        <v>11612.6</v>
      </c>
      <c r="H71" s="17" t="n">
        <v>0.12</v>
      </c>
      <c r="I71" s="16" t="n">
        <v>1393.51</v>
      </c>
      <c r="J71" s="16" t="n"/>
      <c r="K71" s="16" t="n"/>
      <c r="L71" s="16" t="n"/>
      <c r="M71" s="16" t="n"/>
      <c r="N71" s="16" t="n"/>
      <c r="O71" s="16" t="n"/>
      <c r="P71" s="17" t="n"/>
      <c r="Q71" s="16" t="n"/>
      <c r="R71" s="16" t="n"/>
      <c r="S71" s="16" t="n"/>
      <c r="T71" s="16" t="n"/>
      <c r="U71" s="16" t="n"/>
      <c r="V71" s="16" t="n"/>
      <c r="W71" s="13" t="inlineStr">
        <is>
          <t>Sim</t>
        </is>
      </c>
      <c r="X71" s="13" t="inlineStr"/>
      <c r="Y71" s="15" t="inlineStr">
        <is>
          <t>NOTAS FISCAIS DE COMPRA JANEIRO 2026.pdf - p. 108</t>
        </is>
      </c>
    </row>
    <row r="72">
      <c r="A72" s="13" t="inlineStr">
        <is>
          <t>JAN26-P111</t>
        </is>
      </c>
      <c r="B72" s="13" t="n">
        <v>111</v>
      </c>
      <c r="C72" s="13" t="inlineStr">
        <is>
          <t>NFS-e</t>
        </is>
      </c>
      <c r="D72" s="13" t="inlineStr">
        <is>
          <t>536943</t>
        </is>
      </c>
      <c r="E72" s="13" t="inlineStr">
        <is>
          <t>CONNECT INFORMACOES E TECNOLOGIA SA</t>
        </is>
      </c>
      <c r="F72" s="16" t="n">
        <v>460</v>
      </c>
      <c r="G72" s="16" t="n"/>
      <c r="H72" s="17" t="n"/>
      <c r="I72" s="16" t="n"/>
      <c r="J72" s="16" t="n"/>
      <c r="K72" s="16" t="n"/>
      <c r="L72" s="16" t="n"/>
      <c r="M72" s="16" t="n"/>
      <c r="N72" s="16" t="n"/>
      <c r="O72" s="16" t="n">
        <v>460</v>
      </c>
      <c r="P72" s="17" t="n">
        <v>0.02</v>
      </c>
      <c r="Q72" s="16" t="n">
        <v>9.199999999999999</v>
      </c>
      <c r="R72" s="16" t="n"/>
      <c r="S72" s="16" t="n"/>
      <c r="T72" s="16" t="n"/>
      <c r="U72" s="16" t="n"/>
      <c r="V72" s="16" t="n"/>
      <c r="W72" s="13" t="inlineStr">
        <is>
          <t>Sim</t>
        </is>
      </c>
      <c r="X72" s="13" t="inlineStr"/>
      <c r="Y72" s="15" t="inlineStr">
        <is>
          <t>NOTAS FISCAIS DE COMPRA JANEIRO 2026.pdf - p. 111</t>
        </is>
      </c>
    </row>
    <row r="73">
      <c r="A73" s="13" t="inlineStr">
        <is>
          <t>JAN26-P112</t>
        </is>
      </c>
      <c r="B73" s="13" t="n">
        <v>112</v>
      </c>
      <c r="C73" s="13" t="inlineStr">
        <is>
          <t>NF-e</t>
        </is>
      </c>
      <c r="D73" s="13" t="inlineStr">
        <is>
          <t>402080</t>
        </is>
      </c>
      <c r="E73" s="13" t="inlineStr">
        <is>
          <t>APODI DISTRIBUICAO E LOGISTICA LTDA</t>
        </is>
      </c>
      <c r="F73" s="16" t="n">
        <v>1820</v>
      </c>
      <c r="G73" s="16" t="n"/>
      <c r="H73" s="17" t="n"/>
      <c r="I73" s="16" t="n"/>
      <c r="J73" s="16" t="n"/>
      <c r="K73" s="16" t="n"/>
      <c r="L73" s="16" t="n"/>
      <c r="M73" s="16" t="n"/>
      <c r="N73" s="16" t="n"/>
      <c r="O73" s="16" t="n"/>
      <c r="P73" s="17" t="n"/>
      <c r="Q73" s="16" t="n"/>
      <c r="R73" s="16" t="n"/>
      <c r="S73" s="16" t="n"/>
      <c r="T73" s="16" t="n"/>
      <c r="U73" s="16" t="n"/>
      <c r="V73" s="16" t="n"/>
      <c r="W73" s="13" t="inlineStr">
        <is>
          <t>Sim</t>
        </is>
      </c>
      <c r="X73" s="13" t="inlineStr"/>
      <c r="Y73" s="15" t="inlineStr">
        <is>
          <t>NOTAS FISCAIS DE COMPRA JANEIRO 2026.pdf - p. 112</t>
        </is>
      </c>
    </row>
    <row r="74">
      <c r="A74" s="13" t="inlineStr">
        <is>
          <t>JAN26-P113</t>
        </is>
      </c>
      <c r="B74" s="13" t="n">
        <v>113</v>
      </c>
      <c r="C74" s="13" t="inlineStr">
        <is>
          <t>NFS-e</t>
        </is>
      </c>
      <c r="D74" s="13" t="inlineStr">
        <is>
          <t>22</t>
        </is>
      </c>
      <c r="E74" s="13" t="inlineStr">
        <is>
          <t>JORGE GUILHERME COSTA FERREIRA</t>
        </is>
      </c>
      <c r="F74" s="16" t="n">
        <v>500</v>
      </c>
      <c r="G74" s="16" t="n"/>
      <c r="H74" s="17" t="n"/>
      <c r="I74" s="16" t="n"/>
      <c r="J74" s="16" t="n"/>
      <c r="K74" s="16" t="n"/>
      <c r="L74" s="16" t="n"/>
      <c r="M74" s="16" t="n">
        <v>10</v>
      </c>
      <c r="N74" s="16" t="n">
        <v>10</v>
      </c>
      <c r="O74" s="16" t="n"/>
      <c r="P74" s="17" t="n"/>
      <c r="Q74" s="16" t="n"/>
      <c r="R74" s="16" t="n"/>
      <c r="S74" s="16" t="n"/>
      <c r="T74" s="16" t="n"/>
      <c r="U74" s="16" t="n"/>
      <c r="V74" s="16" t="n"/>
      <c r="W74" s="13" t="inlineStr">
        <is>
          <t>Sim</t>
        </is>
      </c>
      <c r="X74" s="13" t="inlineStr"/>
      <c r="Y74" s="15" t="inlineStr">
        <is>
          <t>NOTAS FISCAIS DE COMPRA JANEIRO 2026.pdf - p. 113</t>
        </is>
      </c>
    </row>
    <row r="75">
      <c r="A75" s="13" t="inlineStr">
        <is>
          <t>JAN26-P114</t>
        </is>
      </c>
      <c r="B75" s="13" t="n">
        <v>114</v>
      </c>
      <c r="C75" s="13" t="inlineStr">
        <is>
          <t>NF-e</t>
        </is>
      </c>
      <c r="D75" s="13" t="inlineStr">
        <is>
          <t>20113</t>
        </is>
      </c>
      <c r="E75" s="13" t="inlineStr">
        <is>
          <t>DISTRIBUIDORA DE BEBIDAS ATACADAO DA GELA</t>
        </is>
      </c>
      <c r="F75" s="16" t="n">
        <v>3600</v>
      </c>
      <c r="G75" s="16" t="n"/>
      <c r="H75" s="17" t="n"/>
      <c r="I75" s="16" t="n"/>
      <c r="J75" s="16" t="n"/>
      <c r="K75" s="16" t="n"/>
      <c r="L75" s="16" t="n"/>
      <c r="M75" s="16" t="n"/>
      <c r="N75" s="16" t="n"/>
      <c r="O75" s="16" t="n"/>
      <c r="P75" s="17" t="n"/>
      <c r="Q75" s="16" t="n"/>
      <c r="R75" s="16" t="n"/>
      <c r="S75" s="16" t="n"/>
      <c r="T75" s="16" t="n"/>
      <c r="U75" s="16" t="n"/>
      <c r="V75" s="16" t="n"/>
      <c r="W75" s="13" t="inlineStr">
        <is>
          <t>Sim</t>
        </is>
      </c>
      <c r="X75" s="13" t="inlineStr"/>
      <c r="Y75" s="15" t="inlineStr">
        <is>
          <t>NOTAS FISCAIS DE COMPRA JANEIRO 2026.pdf - p. 114</t>
        </is>
      </c>
    </row>
    <row r="76">
      <c r="A76" s="13" t="inlineStr">
        <is>
          <t>JAN26-P116</t>
        </is>
      </c>
      <c r="B76" s="13" t="n">
        <v>116</v>
      </c>
      <c r="C76" s="13" t="inlineStr">
        <is>
          <t>NF-e</t>
        </is>
      </c>
      <c r="D76" s="13" t="inlineStr">
        <is>
          <t>172</t>
        </is>
      </c>
      <c r="E76" s="13" t="inlineStr">
        <is>
          <t>EVERARDO SILVA DO NASCIMENTO</t>
        </is>
      </c>
      <c r="F76" s="16" t="n">
        <v>8238</v>
      </c>
      <c r="G76" s="16" t="n"/>
      <c r="H76" s="17" t="n"/>
      <c r="I76" s="16" t="n"/>
      <c r="J76" s="16" t="n"/>
      <c r="K76" s="16" t="n"/>
      <c r="L76" s="16" t="n"/>
      <c r="M76" s="16" t="n"/>
      <c r="N76" s="16" t="n"/>
      <c r="O76" s="16" t="n"/>
      <c r="P76" s="17" t="n"/>
      <c r="Q76" s="16" t="n"/>
      <c r="R76" s="16" t="n"/>
      <c r="S76" s="16" t="n"/>
      <c r="T76" s="16" t="n"/>
      <c r="U76" s="16" t="n"/>
      <c r="V76" s="16" t="n"/>
      <c r="W76" s="13" t="inlineStr">
        <is>
          <t>Sim</t>
        </is>
      </c>
      <c r="X76" s="13" t="inlineStr"/>
      <c r="Y76" s="15" t="inlineStr">
        <is>
          <t>NOTAS FISCAIS DE COMPRA JANEIRO 2026.pdf - p. 116</t>
        </is>
      </c>
    </row>
    <row r="77">
      <c r="A77" s="13" t="inlineStr">
        <is>
          <t>JAN26-P117</t>
        </is>
      </c>
      <c r="B77" s="13" t="n">
        <v>117</v>
      </c>
      <c r="C77" s="13" t="inlineStr">
        <is>
          <t>CT-e</t>
        </is>
      </c>
      <c r="D77" s="13" t="inlineStr">
        <is>
          <t>417</t>
        </is>
      </c>
      <c r="E77" s="13" t="inlineStr">
        <is>
          <t>F G INTELIGENCIA EM LOGISTICA LTDA</t>
        </is>
      </c>
      <c r="F77" s="16" t="n">
        <v>11696.3</v>
      </c>
      <c r="G77" s="16" t="n">
        <v>11696.3</v>
      </c>
      <c r="H77" s="17" t="n">
        <v>0.12</v>
      </c>
      <c r="I77" s="16" t="n">
        <v>1403.56</v>
      </c>
      <c r="J77" s="16" t="n"/>
      <c r="K77" s="16" t="n"/>
      <c r="L77" s="16" t="n"/>
      <c r="M77" s="16" t="n"/>
      <c r="N77" s="16" t="n"/>
      <c r="O77" s="16" t="n"/>
      <c r="P77" s="17" t="n"/>
      <c r="Q77" s="16" t="n"/>
      <c r="R77" s="16" t="n"/>
      <c r="S77" s="16" t="n"/>
      <c r="T77" s="16" t="n"/>
      <c r="U77" s="16" t="n"/>
      <c r="V77" s="16" t="n"/>
      <c r="W77" s="13" t="inlineStr">
        <is>
          <t>Sim</t>
        </is>
      </c>
      <c r="X77" s="13" t="inlineStr"/>
      <c r="Y77" s="15" t="inlineStr">
        <is>
          <t>NOTAS FISCAIS DE COMPRA JANEIRO 2026.pdf - p. 117</t>
        </is>
      </c>
    </row>
    <row r="78">
      <c r="A78" s="13" t="inlineStr">
        <is>
          <t>JAN26-P118</t>
        </is>
      </c>
      <c r="B78" s="13" t="n">
        <v>118</v>
      </c>
      <c r="C78" s="13" t="inlineStr">
        <is>
          <t>CT-e</t>
        </is>
      </c>
      <c r="D78" s="13" t="inlineStr">
        <is>
          <t>411</t>
        </is>
      </c>
      <c r="E78" s="13" t="inlineStr">
        <is>
          <t>F G INTELIGENCIA EM LOGISTICA LTDA</t>
        </is>
      </c>
      <c r="F78" s="16" t="n">
        <v>11724.2</v>
      </c>
      <c r="G78" s="16" t="n">
        <v>11724.2</v>
      </c>
      <c r="H78" s="17" t="n">
        <v>0.12</v>
      </c>
      <c r="I78" s="16" t="n">
        <v>1406.9</v>
      </c>
      <c r="J78" s="16" t="n"/>
      <c r="K78" s="16" t="n"/>
      <c r="L78" s="16" t="n"/>
      <c r="M78" s="16" t="n"/>
      <c r="N78" s="16" t="n"/>
      <c r="O78" s="16" t="n"/>
      <c r="P78" s="17" t="n"/>
      <c r="Q78" s="16" t="n"/>
      <c r="R78" s="16" t="n"/>
      <c r="S78" s="16" t="n"/>
      <c r="T78" s="16" t="n"/>
      <c r="U78" s="16" t="n"/>
      <c r="V78" s="16" t="n"/>
      <c r="W78" s="13" t="inlineStr">
        <is>
          <t>Sim</t>
        </is>
      </c>
      <c r="X78" s="13" t="inlineStr"/>
      <c r="Y78" s="15" t="inlineStr">
        <is>
          <t>NOTAS FISCAIS DE COMPRA JANEIRO 2026.pdf - p. 118</t>
        </is>
      </c>
    </row>
    <row r="79">
      <c r="A79" s="13" t="inlineStr">
        <is>
          <t>JAN26-P119</t>
        </is>
      </c>
      <c r="B79" s="13" t="n">
        <v>119</v>
      </c>
      <c r="C79" s="13" t="inlineStr">
        <is>
          <t>NF-e</t>
        </is>
      </c>
      <c r="D79" s="13" t="inlineStr">
        <is>
          <t>77338</t>
        </is>
      </c>
      <c r="E79" s="13" t="inlineStr">
        <is>
          <t>POLI-GYN EMBALAGENS LTDA</t>
        </is>
      </c>
      <c r="F79" s="16" t="n">
        <v>32443.09</v>
      </c>
      <c r="G79" s="16" t="n">
        <v>29560.9</v>
      </c>
      <c r="H79" s="17" t="n"/>
      <c r="I79" s="16" t="n">
        <v>1182.44</v>
      </c>
      <c r="J79" s="16" t="n"/>
      <c r="K79" s="16" t="n"/>
      <c r="L79" s="16" t="n">
        <v>2882.19</v>
      </c>
      <c r="M79" s="16" t="n">
        <v>468.24</v>
      </c>
      <c r="N79" s="16" t="n">
        <v>2156.76</v>
      </c>
      <c r="O79" s="16" t="n"/>
      <c r="P79" s="17" t="n"/>
      <c r="Q79" s="16" t="n"/>
      <c r="R79" s="16" t="n"/>
      <c r="S79" s="16" t="n"/>
      <c r="T79" s="16" t="n"/>
      <c r="U79" s="16" t="n"/>
      <c r="V79" s="16" t="n"/>
      <c r="W79" s="13" t="inlineStr">
        <is>
          <t>Sim</t>
        </is>
      </c>
      <c r="X79" s="13" t="inlineStr"/>
      <c r="Y79" s="15" t="inlineStr">
        <is>
          <t>NOTAS FISCAIS DE COMPRA JANEIRO 2026.pdf - p. 119</t>
        </is>
      </c>
    </row>
    <row r="80">
      <c r="A80" s="13" t="inlineStr">
        <is>
          <t>JAN26-P120</t>
        </is>
      </c>
      <c r="B80" s="13" t="n">
        <v>120</v>
      </c>
      <c r="C80" s="13" t="inlineStr">
        <is>
          <t>NF-e</t>
        </is>
      </c>
      <c r="D80" s="13" t="inlineStr">
        <is>
          <t>535055</t>
        </is>
      </c>
      <c r="E80" s="13" t="inlineStr">
        <is>
          <t>COMPANHIA INDUSTRIAL DE CIMENTO APODI</t>
        </is>
      </c>
      <c r="F80" s="16" t="n">
        <v>18805.05</v>
      </c>
      <c r="G80" s="16" t="n">
        <v>18805.05</v>
      </c>
      <c r="H80" s="17" t="n">
        <v>0.12</v>
      </c>
      <c r="I80" s="16" t="n">
        <v>2256.61</v>
      </c>
      <c r="J80" s="16" t="n"/>
      <c r="K80" s="16" t="n"/>
      <c r="L80" s="16" t="n"/>
      <c r="M80" s="16" t="n"/>
      <c r="N80" s="16" t="n"/>
      <c r="O80" s="16" t="n"/>
      <c r="P80" s="17" t="n"/>
      <c r="Q80" s="16" t="n"/>
      <c r="R80" s="16" t="n"/>
      <c r="S80" s="16" t="n"/>
      <c r="T80" s="16" t="n"/>
      <c r="U80" s="16" t="n"/>
      <c r="V80" s="16" t="n"/>
      <c r="W80" s="13" t="inlineStr">
        <is>
          <t>Sim</t>
        </is>
      </c>
      <c r="X80" s="13" t="inlineStr"/>
      <c r="Y80" s="15" t="inlineStr">
        <is>
          <t>NOTAS FISCAIS DE COMPRA JANEIRO 2026.pdf - p. 120</t>
        </is>
      </c>
    </row>
    <row r="81">
      <c r="A81" s="13" t="inlineStr">
        <is>
          <t>JAN26-P121</t>
        </is>
      </c>
      <c r="B81" s="13" t="n">
        <v>121</v>
      </c>
      <c r="C81" s="13" t="inlineStr">
        <is>
          <t>CT-e</t>
        </is>
      </c>
      <c r="D81" s="13" t="inlineStr">
        <is>
          <t>392</t>
        </is>
      </c>
      <c r="E81" s="13" t="inlineStr">
        <is>
          <t>F G INTELIGENCIA EM LOGISTICA LTDA</t>
        </is>
      </c>
      <c r="F81" s="16" t="n">
        <v>11625</v>
      </c>
      <c r="G81" s="16" t="n">
        <v>11625</v>
      </c>
      <c r="H81" s="17" t="n">
        <v>0.12</v>
      </c>
      <c r="I81" s="16" t="n">
        <v>1395</v>
      </c>
      <c r="J81" s="16" t="n"/>
      <c r="K81" s="16" t="n"/>
      <c r="L81" s="16" t="n"/>
      <c r="M81" s="16" t="n"/>
      <c r="N81" s="16" t="n"/>
      <c r="O81" s="16" t="n"/>
      <c r="P81" s="17" t="n"/>
      <c r="Q81" s="16" t="n"/>
      <c r="R81" s="16" t="n"/>
      <c r="S81" s="16" t="n"/>
      <c r="T81" s="16" t="n"/>
      <c r="U81" s="16" t="n"/>
      <c r="V81" s="16" t="n"/>
      <c r="W81" s="13" t="inlineStr">
        <is>
          <t>Sim</t>
        </is>
      </c>
      <c r="X81" s="13" t="inlineStr"/>
      <c r="Y81" s="15" t="inlineStr">
        <is>
          <t>NOTAS FISCAIS DE COMPRA JANEIRO 2026.pdf - p. 121</t>
        </is>
      </c>
    </row>
    <row r="82">
      <c r="A82" s="13" t="inlineStr">
        <is>
          <t>JAN26-P123</t>
        </is>
      </c>
      <c r="B82" s="13" t="n">
        <v>123</v>
      </c>
      <c r="C82" s="13" t="inlineStr">
        <is>
          <t>CT-e</t>
        </is>
      </c>
      <c r="D82" s="13" t="inlineStr">
        <is>
          <t>393</t>
        </is>
      </c>
      <c r="E82" s="13" t="inlineStr">
        <is>
          <t>F G INTELIGENCIA EM LOGISTICA LTDA</t>
        </is>
      </c>
      <c r="F82" s="16" t="n">
        <v>11770.7</v>
      </c>
      <c r="G82" s="16" t="n">
        <v>11770.7</v>
      </c>
      <c r="H82" s="17" t="n">
        <v>0.12</v>
      </c>
      <c r="I82" s="16" t="n">
        <v>1412.48</v>
      </c>
      <c r="J82" s="16" t="n"/>
      <c r="K82" s="16" t="n"/>
      <c r="L82" s="16" t="n"/>
      <c r="M82" s="16" t="n"/>
      <c r="N82" s="16" t="n"/>
      <c r="O82" s="16" t="n"/>
      <c r="P82" s="17" t="n"/>
      <c r="Q82" s="16" t="n"/>
      <c r="R82" s="16" t="n"/>
      <c r="S82" s="16" t="n"/>
      <c r="T82" s="16" t="n"/>
      <c r="U82" s="16" t="n"/>
      <c r="V82" s="16" t="n"/>
      <c r="W82" s="13" t="inlineStr">
        <is>
          <t>Sim</t>
        </is>
      </c>
      <c r="X82" s="13" t="inlineStr"/>
      <c r="Y82" s="15" t="inlineStr">
        <is>
          <t>NOTAS FISCAIS DE COMPRA JANEIRO 2026.pdf - p. 123</t>
        </is>
      </c>
    </row>
    <row r="83">
      <c r="A83" s="13" t="inlineStr">
        <is>
          <t>JAN26-P126</t>
        </is>
      </c>
      <c r="B83" s="13" t="n">
        <v>126</v>
      </c>
      <c r="C83" s="13" t="inlineStr">
        <is>
          <t>CT-e</t>
        </is>
      </c>
      <c r="D83" s="13" t="inlineStr">
        <is>
          <t>394</t>
        </is>
      </c>
      <c r="E83" s="13" t="inlineStr">
        <is>
          <t>F G INTELIGENCIA EM LOGISTICA LTDA</t>
        </is>
      </c>
      <c r="F83" s="16" t="n">
        <v>11745.9</v>
      </c>
      <c r="G83" s="16" t="n">
        <v>11745.9</v>
      </c>
      <c r="H83" s="17" t="n">
        <v>0.12</v>
      </c>
      <c r="I83" s="16" t="n">
        <v>1409.51</v>
      </c>
      <c r="J83" s="16" t="n"/>
      <c r="K83" s="16" t="n"/>
      <c r="L83" s="16" t="n"/>
      <c r="M83" s="16" t="n"/>
      <c r="N83" s="16" t="n"/>
      <c r="O83" s="16" t="n"/>
      <c r="P83" s="17" t="n"/>
      <c r="Q83" s="16" t="n"/>
      <c r="R83" s="16" t="n"/>
      <c r="S83" s="16" t="n"/>
      <c r="T83" s="16" t="n"/>
      <c r="U83" s="16" t="n"/>
      <c r="V83" s="16" t="n"/>
      <c r="W83" s="13" t="inlineStr">
        <is>
          <t>Sim</t>
        </is>
      </c>
      <c r="X83" s="13" t="inlineStr"/>
      <c r="Y83" s="15" t="inlineStr">
        <is>
          <t>NOTAS FISCAIS DE COMPRA JANEIRO 2026.pdf - p. 126</t>
        </is>
      </c>
    </row>
    <row r="84">
      <c r="A84" s="13" t="inlineStr">
        <is>
          <t>JAN26-P128</t>
        </is>
      </c>
      <c r="B84" s="13" t="n">
        <v>128</v>
      </c>
      <c r="C84" s="13" t="inlineStr">
        <is>
          <t>CT-e</t>
        </is>
      </c>
      <c r="D84" s="13" t="inlineStr">
        <is>
          <t>396</t>
        </is>
      </c>
      <c r="E84" s="13" t="inlineStr">
        <is>
          <t>F G INTELIGENCIA EM LOGISTICA LTDA</t>
        </is>
      </c>
      <c r="F84" s="16" t="n">
        <v>11804.8</v>
      </c>
      <c r="G84" s="16" t="n">
        <v>11804.8</v>
      </c>
      <c r="H84" s="17" t="n">
        <v>0.12</v>
      </c>
      <c r="I84" s="16" t="n">
        <v>1416.58</v>
      </c>
      <c r="J84" s="16" t="n"/>
      <c r="K84" s="16" t="n"/>
      <c r="L84" s="16" t="n"/>
      <c r="M84" s="16" t="n"/>
      <c r="N84" s="16" t="n"/>
      <c r="O84" s="16" t="n"/>
      <c r="P84" s="17" t="n"/>
      <c r="Q84" s="16" t="n"/>
      <c r="R84" s="16" t="n"/>
      <c r="S84" s="16" t="n"/>
      <c r="T84" s="16" t="n"/>
      <c r="U84" s="16" t="n"/>
      <c r="V84" s="16" t="n"/>
      <c r="W84" s="13" t="inlineStr">
        <is>
          <t>Sim</t>
        </is>
      </c>
      <c r="X84" s="13" t="inlineStr"/>
      <c r="Y84" s="15" t="inlineStr">
        <is>
          <t>NOTAS FISCAIS DE COMPRA JANEIRO 2026.pdf - p. 128</t>
        </is>
      </c>
    </row>
    <row r="85">
      <c r="A85" s="13" t="inlineStr">
        <is>
          <t>JAN26-P129</t>
        </is>
      </c>
      <c r="B85" s="13" t="n">
        <v>129</v>
      </c>
      <c r="C85" s="13" t="inlineStr">
        <is>
          <t>CT-e</t>
        </is>
      </c>
      <c r="D85" s="13" t="inlineStr">
        <is>
          <t>397</t>
        </is>
      </c>
      <c r="E85" s="13" t="inlineStr">
        <is>
          <t>F G INTELIGENCIA EM LOGISTICA LTDA</t>
        </is>
      </c>
      <c r="F85" s="16" t="n">
        <v>11699.4</v>
      </c>
      <c r="G85" s="16" t="n">
        <v>11699.4</v>
      </c>
      <c r="H85" s="17" t="n">
        <v>0.12</v>
      </c>
      <c r="I85" s="16" t="n">
        <v>1403.93</v>
      </c>
      <c r="J85" s="16" t="n"/>
      <c r="K85" s="16" t="n"/>
      <c r="L85" s="16" t="n"/>
      <c r="M85" s="16" t="n"/>
      <c r="N85" s="16" t="n"/>
      <c r="O85" s="16" t="n"/>
      <c r="P85" s="17" t="n"/>
      <c r="Q85" s="16" t="n"/>
      <c r="R85" s="16" t="n"/>
      <c r="S85" s="16" t="n"/>
      <c r="T85" s="16" t="n"/>
      <c r="U85" s="16" t="n"/>
      <c r="V85" s="16" t="n"/>
      <c r="W85" s="13" t="inlineStr">
        <is>
          <t>Sim</t>
        </is>
      </c>
      <c r="X85" s="13" t="inlineStr"/>
      <c r="Y85" s="15" t="inlineStr">
        <is>
          <t>NOTAS FISCAIS DE COMPRA JANEIRO 2026.pdf - p. 129</t>
        </is>
      </c>
    </row>
    <row r="86">
      <c r="A86" s="13" t="inlineStr">
        <is>
          <t>JAN26-P130</t>
        </is>
      </c>
      <c r="B86" s="13" t="n">
        <v>130</v>
      </c>
      <c r="C86" s="13" t="inlineStr">
        <is>
          <t>Fatura/Locacao</t>
        </is>
      </c>
      <c r="D86" s="13" t="inlineStr">
        <is>
          <t>003260</t>
        </is>
      </c>
      <c r="E86" s="13" t="inlineStr">
        <is>
          <t>PAZ &amp; SAMPAIO LTDA - MM LOCACOES</t>
        </is>
      </c>
      <c r="F86" s="16" t="n">
        <v>265</v>
      </c>
      <c r="G86" s="16" t="n"/>
      <c r="H86" s="17" t="n"/>
      <c r="I86" s="16" t="n"/>
      <c r="J86" s="16" t="n"/>
      <c r="K86" s="16" t="n"/>
      <c r="L86" s="16" t="n"/>
      <c r="M86" s="16" t="n"/>
      <c r="N86" s="16" t="n"/>
      <c r="O86" s="16" t="n"/>
      <c r="P86" s="17" t="n"/>
      <c r="Q86" s="16" t="n"/>
      <c r="R86" s="16" t="n"/>
      <c r="S86" s="16" t="n"/>
      <c r="T86" s="16" t="n"/>
      <c r="U86" s="16" t="n"/>
      <c r="V86" s="16" t="n"/>
      <c r="W86" s="13" t="inlineStr">
        <is>
          <t>Sim</t>
        </is>
      </c>
      <c r="X86" s="13" t="inlineStr"/>
      <c r="Y86" s="15" t="inlineStr">
        <is>
          <t>NOTAS FISCAIS DE COMPRA JANEIRO 2026.pdf - p. 130</t>
        </is>
      </c>
    </row>
    <row r="87">
      <c r="A87" s="13" t="inlineStr">
        <is>
          <t>JAN26-P131</t>
        </is>
      </c>
      <c r="B87" s="13" t="n">
        <v>131</v>
      </c>
      <c r="C87" s="13" t="inlineStr">
        <is>
          <t>NFS-e</t>
        </is>
      </c>
      <c r="D87" s="13" t="inlineStr">
        <is>
          <t>167</t>
        </is>
      </c>
      <c r="E87" s="13" t="inlineStr">
        <is>
          <t>FENIX PRESTADORA DE SERVICOS LTDA</t>
        </is>
      </c>
      <c r="F87" s="16" t="n">
        <v>8175</v>
      </c>
      <c r="G87" s="16" t="n"/>
      <c r="H87" s="17" t="n"/>
      <c r="I87" s="16" t="n"/>
      <c r="J87" s="16" t="n"/>
      <c r="K87" s="16" t="n"/>
      <c r="L87" s="16" t="n"/>
      <c r="M87" s="16" t="n"/>
      <c r="N87" s="16" t="n"/>
      <c r="O87" s="16" t="n"/>
      <c r="P87" s="17" t="n"/>
      <c r="Q87" s="16" t="n"/>
      <c r="R87" s="16" t="n"/>
      <c r="S87" s="16" t="n"/>
      <c r="T87" s="16" t="n"/>
      <c r="U87" s="16" t="n"/>
      <c r="V87" s="16" t="n"/>
      <c r="W87" s="13" t="inlineStr">
        <is>
          <t>Sim</t>
        </is>
      </c>
      <c r="X87" s="13" t="inlineStr"/>
      <c r="Y87" s="15" t="inlineStr">
        <is>
          <t>NOTAS FISCAIS DE COMPRA JANEIRO 2026.pdf - p. 131</t>
        </is>
      </c>
    </row>
    <row r="88">
      <c r="A88" s="13" t="inlineStr">
        <is>
          <t>JAN26-P132</t>
        </is>
      </c>
      <c r="B88" s="13" t="n">
        <v>132</v>
      </c>
      <c r="C88" s="13" t="inlineStr">
        <is>
          <t>NFS-e</t>
        </is>
      </c>
      <c r="D88" s="13" t="inlineStr">
        <is>
          <t>166</t>
        </is>
      </c>
      <c r="E88" s="13" t="inlineStr">
        <is>
          <t>FENIX PRESTADORA DE SERVICOS LTDA</t>
        </is>
      </c>
      <c r="F88" s="16" t="n">
        <v>8175</v>
      </c>
      <c r="G88" s="16" t="n"/>
      <c r="H88" s="17" t="n"/>
      <c r="I88" s="16" t="n"/>
      <c r="J88" s="16" t="n"/>
      <c r="K88" s="16" t="n"/>
      <c r="L88" s="16" t="n"/>
      <c r="M88" s="16" t="n"/>
      <c r="N88" s="16" t="n"/>
      <c r="O88" s="16" t="n"/>
      <c r="P88" s="17" t="n"/>
      <c r="Q88" s="16" t="n"/>
      <c r="R88" s="16" t="n"/>
      <c r="S88" s="16" t="n"/>
      <c r="T88" s="16" t="n"/>
      <c r="U88" s="16" t="n"/>
      <c r="V88" s="16" t="n"/>
      <c r="W88" s="13" t="inlineStr">
        <is>
          <t>Sim</t>
        </is>
      </c>
      <c r="X88" s="13" t="inlineStr"/>
      <c r="Y88" s="15" t="inlineStr">
        <is>
          <t>NOTAS FISCAIS DE COMPRA JANEIRO 2026.pdf - p. 132</t>
        </is>
      </c>
    </row>
    <row r="89">
      <c r="A89" s="13" t="inlineStr">
        <is>
          <t>JAN26-P133</t>
        </is>
      </c>
      <c r="B89" s="13" t="n">
        <v>133</v>
      </c>
      <c r="C89" s="13" t="inlineStr">
        <is>
          <t>NFS-e</t>
        </is>
      </c>
      <c r="D89" s="13" t="inlineStr">
        <is>
          <t>22</t>
        </is>
      </c>
      <c r="E89" s="13" t="inlineStr">
        <is>
          <t>EMERSON CANDIDO DE AQUINO 56476779320</t>
        </is>
      </c>
      <c r="F89" s="16" t="n">
        <v>2000</v>
      </c>
      <c r="G89" s="16" t="n"/>
      <c r="H89" s="17" t="n"/>
      <c r="I89" s="16" t="n"/>
      <c r="J89" s="16" t="n"/>
      <c r="K89" s="16" t="n"/>
      <c r="L89" s="16" t="n"/>
      <c r="M89" s="16" t="n"/>
      <c r="N89" s="16" t="n">
        <v>2000</v>
      </c>
      <c r="O89" s="16" t="n"/>
      <c r="P89" s="17" t="n"/>
      <c r="Q89" s="16" t="n"/>
      <c r="R89" s="16" t="n"/>
      <c r="S89" s="16" t="n"/>
      <c r="T89" s="16" t="n"/>
      <c r="U89" s="16" t="n"/>
      <c r="V89" s="16" t="n"/>
      <c r="W89" s="13" t="inlineStr">
        <is>
          <t>Sim</t>
        </is>
      </c>
      <c r="X89" s="13" t="inlineStr"/>
      <c r="Y89" s="15" t="inlineStr">
        <is>
          <t>NOTAS FISCAIS DE COMPRA JANEIRO 2026.pdf - p. 133</t>
        </is>
      </c>
    </row>
    <row r="90">
      <c r="A90" s="13" t="inlineStr">
        <is>
          <t>JAN26-P134</t>
        </is>
      </c>
      <c r="B90" s="13" t="n">
        <v>134</v>
      </c>
      <c r="C90" s="13" t="inlineStr">
        <is>
          <t>NFS-e</t>
        </is>
      </c>
      <c r="D90" s="13" t="inlineStr">
        <is>
          <t>767</t>
        </is>
      </c>
      <c r="E90" s="13" t="inlineStr">
        <is>
          <t>EDWARD MOURA SOCIEDADE INDIVIDUAL DE ADVOCACIA</t>
        </is>
      </c>
      <c r="F90" s="16" t="n">
        <v>4075</v>
      </c>
      <c r="G90" s="16" t="n"/>
      <c r="H90" s="17" t="n"/>
      <c r="I90" s="16" t="n"/>
      <c r="J90" s="16" t="n"/>
      <c r="K90" s="16" t="n"/>
      <c r="L90" s="16" t="n"/>
      <c r="M90" s="16" t="n">
        <v>0</v>
      </c>
      <c r="N90" s="16" t="n">
        <v>0</v>
      </c>
      <c r="O90" s="16" t="n"/>
      <c r="P90" s="17" t="n"/>
      <c r="Q90" s="16" t="n">
        <v>4.07</v>
      </c>
      <c r="R90" s="16" t="n"/>
      <c r="S90" s="16" t="n"/>
      <c r="T90" s="16" t="n"/>
      <c r="U90" s="16" t="n"/>
      <c r="V90" s="16" t="n"/>
      <c r="W90" s="13" t="inlineStr">
        <is>
          <t>Não</t>
        </is>
      </c>
      <c r="X90" s="13" t="inlineStr"/>
      <c r="Y90" s="15" t="inlineStr">
        <is>
          <t>NOTAS FISCAIS DE COMPRA JANEIRO 2026.pdf - p. 134</t>
        </is>
      </c>
    </row>
    <row r="91">
      <c r="A91" s="13" t="inlineStr">
        <is>
          <t>JAN26-P135</t>
        </is>
      </c>
      <c r="B91" s="13" t="n">
        <v>135</v>
      </c>
      <c r="C91" s="13" t="inlineStr">
        <is>
          <t>NFS-e</t>
        </is>
      </c>
      <c r="D91" s="13" t="inlineStr">
        <is>
          <t>16004</t>
        </is>
      </c>
      <c r="E91" s="13" t="inlineStr">
        <is>
          <t>LENCO CENTRO DE CONTROLE TECNOLOGICO LTDA</t>
        </is>
      </c>
      <c r="F91" s="16" t="n">
        <v>750</v>
      </c>
      <c r="G91" s="16" t="n"/>
      <c r="H91" s="17" t="n"/>
      <c r="I91" s="16" t="n"/>
      <c r="J91" s="16" t="n"/>
      <c r="K91" s="16" t="n"/>
      <c r="L91" s="16" t="n"/>
      <c r="M91" s="16" t="n"/>
      <c r="N91" s="16" t="n"/>
      <c r="O91" s="16" t="n">
        <v>750</v>
      </c>
      <c r="P91" s="17" t="n">
        <v>0.05</v>
      </c>
      <c r="Q91" s="16" t="n">
        <v>37.5</v>
      </c>
      <c r="R91" s="16" t="n">
        <v>11.25</v>
      </c>
      <c r="S91" s="16" t="n">
        <v>7.5</v>
      </c>
      <c r="T91" s="16" t="n">
        <v>4.88</v>
      </c>
      <c r="U91" s="16" t="n">
        <v>22.5</v>
      </c>
      <c r="V91" s="16" t="n"/>
      <c r="W91" s="13" t="inlineStr">
        <is>
          <t>Sim</t>
        </is>
      </c>
      <c r="X91" s="13" t="inlineStr"/>
      <c r="Y91" s="15" t="inlineStr">
        <is>
          <t>NOTAS FISCAIS DE COMPRA JANEIRO 2026.pdf - p. 135</t>
        </is>
      </c>
    </row>
    <row r="92">
      <c r="A92" s="13" t="inlineStr">
        <is>
          <t>JAN26-P136</t>
        </is>
      </c>
      <c r="B92" s="13" t="n">
        <v>136</v>
      </c>
      <c r="C92" s="13" t="inlineStr">
        <is>
          <t>NFS-e</t>
        </is>
      </c>
      <c r="D92" s="13" t="inlineStr">
        <is>
          <t>3320</t>
        </is>
      </c>
      <c r="E92" s="13" t="inlineStr">
        <is>
          <t>LCM CONSULTING AND INFORMATION SERVICES LTDA</t>
        </is>
      </c>
      <c r="F92" s="16" t="n">
        <v>1788.75</v>
      </c>
      <c r="G92" s="16" t="n"/>
      <c r="H92" s="17" t="n"/>
      <c r="I92" s="16" t="n"/>
      <c r="J92" s="16" t="n"/>
      <c r="K92" s="16" t="n"/>
      <c r="L92" s="16" t="n"/>
      <c r="M92" s="16" t="n"/>
      <c r="N92" s="16" t="n"/>
      <c r="O92" s="16" t="n"/>
      <c r="P92" s="17" t="n"/>
      <c r="Q92" s="16" t="n"/>
      <c r="R92" s="16" t="n"/>
      <c r="S92" s="16" t="n"/>
      <c r="T92" s="16" t="n"/>
      <c r="U92" s="16" t="n"/>
      <c r="V92" s="16" t="n"/>
      <c r="W92" s="13" t="inlineStr">
        <is>
          <t>Sim</t>
        </is>
      </c>
      <c r="X92" s="13" t="inlineStr"/>
      <c r="Y92" s="15" t="inlineStr">
        <is>
          <t>NOTAS FISCAIS DE COMPRA JANEIRO 2026.pdf - p. 136</t>
        </is>
      </c>
    </row>
    <row r="93">
      <c r="A93" s="13" t="inlineStr">
        <is>
          <t>JAN26-P143</t>
        </is>
      </c>
      <c r="B93" s="13" t="n">
        <v>143</v>
      </c>
      <c r="C93" s="13" t="inlineStr">
        <is>
          <t>NFS-e</t>
        </is>
      </c>
      <c r="D93" s="13" t="inlineStr">
        <is>
          <t>3</t>
        </is>
      </c>
      <c r="E93" s="13" t="inlineStr">
        <is>
          <t>MICHELA MEDEIROS FRANCO</t>
        </is>
      </c>
      <c r="F93" s="16" t="n">
        <v>4800</v>
      </c>
      <c r="G93" s="16" t="n"/>
      <c r="H93" s="17" t="n"/>
      <c r="I93" s="16" t="n"/>
      <c r="J93" s="16" t="n"/>
      <c r="K93" s="16" t="n"/>
      <c r="L93" s="16" t="n"/>
      <c r="M93" s="16" t="n"/>
      <c r="N93" s="16" t="n"/>
      <c r="O93" s="16" t="n"/>
      <c r="P93" s="17" t="n"/>
      <c r="Q93" s="16" t="n"/>
      <c r="R93" s="16" t="n"/>
      <c r="S93" s="16" t="n"/>
      <c r="T93" s="16" t="n"/>
      <c r="U93" s="16" t="n"/>
      <c r="V93" s="16" t="n"/>
      <c r="W93" s="13" t="inlineStr">
        <is>
          <t>Sim</t>
        </is>
      </c>
      <c r="X93" s="13" t="inlineStr"/>
      <c r="Y93" s="15" t="inlineStr">
        <is>
          <t>NOTAS FISCAIS DE COMPRA JANEIRO 2026.pdf - p. 143</t>
        </is>
      </c>
    </row>
    <row r="94">
      <c r="A94" s="13" t="inlineStr">
        <is>
          <t>JAN26-P144</t>
        </is>
      </c>
      <c r="B94" s="13" t="n">
        <v>144</v>
      </c>
      <c r="C94" s="13" t="inlineStr">
        <is>
          <t>NFS-e</t>
        </is>
      </c>
      <c r="D94" s="13" t="inlineStr">
        <is>
          <t>18513</t>
        </is>
      </c>
      <c r="E94" s="13" t="inlineStr">
        <is>
          <t>VANGUARD PECAS E SERVICOS AUTOMOTIVOS LTDA</t>
        </is>
      </c>
      <c r="F94" s="16" t="n">
        <v>270</v>
      </c>
      <c r="G94" s="16" t="n"/>
      <c r="H94" s="17" t="n"/>
      <c r="I94" s="16" t="n"/>
      <c r="J94" s="16" t="n"/>
      <c r="K94" s="16" t="n"/>
      <c r="L94" s="16" t="n"/>
      <c r="M94" s="16" t="n">
        <v>8</v>
      </c>
      <c r="N94" s="16" t="n"/>
      <c r="O94" s="16" t="n">
        <v>270</v>
      </c>
      <c r="P94" s="17" t="n">
        <v>0.05</v>
      </c>
      <c r="Q94" s="16" t="n">
        <v>13.5</v>
      </c>
      <c r="R94" s="16" t="n"/>
      <c r="S94" s="16" t="n"/>
      <c r="T94" s="16" t="n"/>
      <c r="U94" s="16" t="n"/>
      <c r="V94" s="16" t="n"/>
      <c r="W94" s="13" t="inlineStr">
        <is>
          <t>Sim</t>
        </is>
      </c>
      <c r="X94" s="13" t="inlineStr"/>
      <c r="Y94" s="15" t="inlineStr">
        <is>
          <t>NOTAS FISCAIS DE COMPRA JANEIRO 2026.pdf - p. 144</t>
        </is>
      </c>
    </row>
    <row r="95">
      <c r="A95" s="13" t="inlineStr">
        <is>
          <t>JAN26-P145</t>
        </is>
      </c>
      <c r="B95" s="13" t="n">
        <v>145</v>
      </c>
      <c r="C95" s="13" t="inlineStr">
        <is>
          <t>NFS-e</t>
        </is>
      </c>
      <c r="D95" s="13" t="inlineStr">
        <is>
          <t>9</t>
        </is>
      </c>
      <c r="E95" s="13" t="inlineStr">
        <is>
          <t>MARCEL DE MOURA GOMES LTDA</t>
        </is>
      </c>
      <c r="F95" s="16" t="n">
        <v>3000</v>
      </c>
      <c r="G95" s="16" t="n"/>
      <c r="H95" s="17" t="n"/>
      <c r="I95" s="16" t="n"/>
      <c r="J95" s="16" t="n"/>
      <c r="K95" s="16" t="n"/>
      <c r="L95" s="16" t="n"/>
      <c r="M95" s="16" t="n"/>
      <c r="N95" s="16" t="n"/>
      <c r="O95" s="16" t="n">
        <v>3000</v>
      </c>
      <c r="P95" s="17" t="n">
        <v>0.05</v>
      </c>
      <c r="Q95" s="16" t="n">
        <v>150</v>
      </c>
      <c r="R95" s="16" t="n"/>
      <c r="S95" s="16" t="n"/>
      <c r="T95" s="16" t="n"/>
      <c r="U95" s="16" t="n"/>
      <c r="V95" s="16" t="n"/>
      <c r="W95" s="13" t="inlineStr">
        <is>
          <t>Sim</t>
        </is>
      </c>
      <c r="X95" s="13" t="inlineStr"/>
      <c r="Y95" s="15" t="inlineStr">
        <is>
          <t>NOTAS FISCAIS DE COMPRA JANEIRO 2026.pdf - p. 145</t>
        </is>
      </c>
    </row>
    <row r="96">
      <c r="A96" s="13" t="inlineStr">
        <is>
          <t>JAN26-P146</t>
        </is>
      </c>
      <c r="B96" s="13" t="n">
        <v>146</v>
      </c>
      <c r="C96" s="13" t="inlineStr">
        <is>
          <t>Fatura/Reembolso</t>
        </is>
      </c>
      <c r="D96" s="13" t="inlineStr">
        <is>
          <t>67178532</t>
        </is>
      </c>
      <c r="E96" s="13" t="inlineStr">
        <is>
          <t>TICKET LOG / EDENRED SOLUCOES INSTITUICAO DE PAGAMENTO HA S.A.</t>
        </is>
      </c>
      <c r="F96" s="16" t="n">
        <v>358.58</v>
      </c>
      <c r="G96" s="16" t="n"/>
      <c r="H96" s="17" t="n"/>
      <c r="I96" s="16" t="n"/>
      <c r="J96" s="16" t="n"/>
      <c r="K96" s="16" t="n"/>
      <c r="L96" s="16" t="n"/>
      <c r="M96" s="16" t="n"/>
      <c r="N96" s="16" t="n"/>
      <c r="O96" s="16" t="n"/>
      <c r="P96" s="17" t="n"/>
      <c r="Q96" s="16" t="n"/>
      <c r="R96" s="16" t="n"/>
      <c r="S96" s="16" t="n"/>
      <c r="T96" s="16" t="n"/>
      <c r="U96" s="16" t="n"/>
      <c r="V96" s="16" t="n"/>
      <c r="W96" s="13" t="inlineStr">
        <is>
          <t>Revisar</t>
        </is>
      </c>
      <c r="X96" s="13" t="inlineStr"/>
      <c r="Y96" s="15" t="inlineStr">
        <is>
          <t>NOTAS FISCAIS DE COMPRA JANEIRO 2026.pdf - p. 146</t>
        </is>
      </c>
    </row>
    <row r="97">
      <c r="A97" s="13" t="inlineStr">
        <is>
          <t>JAN26-P147</t>
        </is>
      </c>
      <c r="B97" s="13" t="n">
        <v>147</v>
      </c>
      <c r="C97" s="13" t="inlineStr">
        <is>
          <t>NF-e</t>
        </is>
      </c>
      <c r="D97" s="13" t="inlineStr">
        <is>
          <t>3520</t>
        </is>
      </c>
      <c r="E97" s="13" t="inlineStr">
        <is>
          <t>BORGES &amp; CAMURCA RESTAURANTES LTDA</t>
        </is>
      </c>
      <c r="F97" s="16" t="n">
        <v>819</v>
      </c>
      <c r="G97" s="16" t="n"/>
      <c r="H97" s="17" t="n"/>
      <c r="I97" s="16" t="n"/>
      <c r="J97" s="16" t="n"/>
      <c r="K97" s="16" t="n"/>
      <c r="L97" s="16" t="n"/>
      <c r="M97" s="16" t="n"/>
      <c r="N97" s="16" t="n"/>
      <c r="O97" s="16" t="n"/>
      <c r="P97" s="17" t="n"/>
      <c r="Q97" s="16" t="n"/>
      <c r="R97" s="16" t="n"/>
      <c r="S97" s="16" t="n"/>
      <c r="T97" s="16" t="n"/>
      <c r="U97" s="16" t="n"/>
      <c r="V97" s="16" t="n"/>
      <c r="W97" s="13" t="inlineStr">
        <is>
          <t>Sim</t>
        </is>
      </c>
      <c r="X97" s="13" t="inlineStr"/>
      <c r="Y97" s="15" t="inlineStr">
        <is>
          <t>NOTAS FISCAIS DE COMPRA JANEIRO 2026.pdf - p. 147</t>
        </is>
      </c>
    </row>
    <row r="98">
      <c r="A98" s="13" t="inlineStr">
        <is>
          <t>JAN26-P148</t>
        </is>
      </c>
      <c r="B98" s="13" t="n">
        <v>148</v>
      </c>
      <c r="C98" s="13" t="inlineStr">
        <is>
          <t>NF-e</t>
        </is>
      </c>
      <c r="D98" s="13" t="inlineStr">
        <is>
          <t>16028</t>
        </is>
      </c>
      <c r="E98" s="13" t="inlineStr">
        <is>
          <t>RENOVAR INDUSTRIA E COMERCIO DE EMBALAGENS EIRELI</t>
        </is>
      </c>
      <c r="F98" s="16" t="n">
        <v>29892.54</v>
      </c>
      <c r="G98" s="16" t="n">
        <v>27236.94</v>
      </c>
      <c r="H98" s="17" t="n"/>
      <c r="I98" s="16" t="n">
        <v>3268.43</v>
      </c>
      <c r="J98" s="16" t="n"/>
      <c r="K98" s="16" t="n"/>
      <c r="L98" s="16" t="n">
        <v>2655.6</v>
      </c>
      <c r="M98" s="16" t="n"/>
      <c r="N98" s="16" t="n"/>
      <c r="O98" s="16" t="n"/>
      <c r="P98" s="17" t="n"/>
      <c r="Q98" s="16" t="n"/>
      <c r="R98" s="16" t="n"/>
      <c r="S98" s="16" t="n"/>
      <c r="T98" s="16" t="n"/>
      <c r="U98" s="16" t="n"/>
      <c r="V98" s="16" t="n"/>
      <c r="W98" s="13" t="inlineStr">
        <is>
          <t>Sim</t>
        </is>
      </c>
      <c r="X98" s="13" t="inlineStr"/>
      <c r="Y98" s="15" t="inlineStr">
        <is>
          <t>NOTAS FISCAIS DE COMPRA JANEIRO 2026.pdf - p. 148</t>
        </is>
      </c>
    </row>
    <row r="99">
      <c r="A99" s="13" t="inlineStr">
        <is>
          <t>JAN26-P149</t>
        </is>
      </c>
      <c r="B99" s="13" t="n">
        <v>149</v>
      </c>
      <c r="C99" s="13" t="inlineStr">
        <is>
          <t>NFCom</t>
        </is>
      </c>
      <c r="D99" s="13" t="inlineStr">
        <is>
          <t>213</t>
        </is>
      </c>
      <c r="E99" s="13" t="inlineStr">
        <is>
          <t>DUO TELECOM LTDA</t>
        </is>
      </c>
      <c r="F99" s="16" t="n">
        <v>300</v>
      </c>
      <c r="G99" s="16" t="n">
        <v>0</v>
      </c>
      <c r="H99" s="17" t="n"/>
      <c r="I99" s="16" t="n">
        <v>0</v>
      </c>
      <c r="J99" s="16" t="n"/>
      <c r="K99" s="16" t="n"/>
      <c r="L99" s="16" t="n"/>
      <c r="M99" s="16" t="n">
        <v>0</v>
      </c>
      <c r="N99" s="16" t="n">
        <v>0</v>
      </c>
      <c r="O99" s="16" t="n"/>
      <c r="P99" s="17" t="n"/>
      <c r="Q99" s="16" t="n"/>
      <c r="R99" s="16" t="n"/>
      <c r="S99" s="16" t="n"/>
      <c r="T99" s="16" t="n"/>
      <c r="U99" s="16" t="n"/>
      <c r="V99" s="16" t="n"/>
      <c r="W99" s="13" t="inlineStr">
        <is>
          <t>Sim</t>
        </is>
      </c>
      <c r="X99" s="13" t="inlineStr"/>
      <c r="Y99" s="15" t="inlineStr">
        <is>
          <t>NOTAS FISCAIS DE COMPRA JANEIRO 2026.pdf - p. 149</t>
        </is>
      </c>
    </row>
    <row r="100">
      <c r="A100" s="13" t="inlineStr">
        <is>
          <t>JAN26-P150</t>
        </is>
      </c>
      <c r="B100" s="13" t="n">
        <v>150</v>
      </c>
      <c r="C100" s="13" t="inlineStr">
        <is>
          <t>NF-e</t>
        </is>
      </c>
      <c r="D100" s="13" t="inlineStr">
        <is>
          <t>4834</t>
        </is>
      </c>
      <c r="E100" s="13" t="inlineStr">
        <is>
          <t>ELITE PECAS E MAQUINAS LTDA</t>
        </is>
      </c>
      <c r="F100" s="16" t="n">
        <v>1016.4</v>
      </c>
      <c r="G100" s="16" t="n">
        <v>880</v>
      </c>
      <c r="H100" s="17" t="n"/>
      <c r="I100" s="16" t="n">
        <v>61.6</v>
      </c>
      <c r="J100" s="16" t="n"/>
      <c r="K100" s="16" t="n">
        <v>136.4</v>
      </c>
      <c r="L100" s="16" t="n"/>
      <c r="M100" s="16" t="n"/>
      <c r="N100" s="16" t="n"/>
      <c r="O100" s="16" t="n"/>
      <c r="P100" s="17" t="n"/>
      <c r="Q100" s="16" t="n"/>
      <c r="R100" s="16" t="n"/>
      <c r="S100" s="16" t="n"/>
      <c r="T100" s="16" t="n"/>
      <c r="U100" s="16" t="n"/>
      <c r="V100" s="16" t="n"/>
      <c r="W100" s="13" t="inlineStr">
        <is>
          <t>Sim</t>
        </is>
      </c>
      <c r="X100" s="13" t="inlineStr"/>
      <c r="Y100" s="15" t="inlineStr">
        <is>
          <t>NOTAS FISCAIS DE COMPRA JANEIRO 2026.pdf - p. 150</t>
        </is>
      </c>
    </row>
    <row r="101">
      <c r="A101" s="13" t="inlineStr">
        <is>
          <t>JAN26-P153</t>
        </is>
      </c>
      <c r="B101" s="13" t="n">
        <v>153</v>
      </c>
      <c r="C101" s="13" t="inlineStr">
        <is>
          <t>NFS-e</t>
        </is>
      </c>
      <c r="D101" s="13" t="inlineStr">
        <is>
          <t>221</t>
        </is>
      </c>
      <c r="E101" s="13" t="inlineStr">
        <is>
          <t>Valortoiica MEERA) —_Tolabes.cacigtes 3) Deas. Rcandicloando (RH Gune de chieul do MEGN RS) Ally. (hk) Valor do HOON RS)</t>
        </is>
      </c>
      <c r="F101" s="16" t="n">
        <v>35238.7</v>
      </c>
      <c r="G101" s="16" t="n"/>
      <c r="H101" s="17" t="n"/>
      <c r="I101" s="16" t="n"/>
      <c r="J101" s="16" t="n"/>
      <c r="K101" s="16" t="n"/>
      <c r="L101" s="16" t="n"/>
      <c r="M101" s="16" t="n">
        <v>35238.7</v>
      </c>
      <c r="N101" s="16" t="n"/>
      <c r="O101" s="16" t="n"/>
      <c r="P101" s="17" t="n"/>
      <c r="Q101" s="16" t="n"/>
      <c r="R101" s="16" t="n"/>
      <c r="S101" s="16" t="n"/>
      <c r="T101" s="16" t="n"/>
      <c r="U101" s="16" t="n"/>
      <c r="V101" s="16" t="n"/>
      <c r="W101" s="13" t="inlineStr">
        <is>
          <t>Não</t>
        </is>
      </c>
      <c r="X101" s="13" t="inlineStr"/>
      <c r="Y101" s="15" t="inlineStr">
        <is>
          <t>NOTAS FISCAIS DE COMPRA JANEIRO 2026.pdf - p. 153</t>
        </is>
      </c>
    </row>
    <row r="102">
      <c r="A102" s="13" t="inlineStr">
        <is>
          <t>JAN26-P154</t>
        </is>
      </c>
      <c r="B102" s="13" t="n">
        <v>154</v>
      </c>
      <c r="C102" s="13" t="inlineStr">
        <is>
          <t>NFS-e</t>
        </is>
      </c>
      <c r="D102" s="13" t="inlineStr">
        <is>
          <t>3992/U</t>
        </is>
      </c>
      <c r="E102" s="13" t="inlineStr">
        <is>
          <t>R F DAS B LEMOS - ME</t>
        </is>
      </c>
      <c r="F102" s="16" t="n">
        <v>751.47</v>
      </c>
      <c r="G102" s="16" t="n"/>
      <c r="H102" s="17" t="n"/>
      <c r="I102" s="16" t="n"/>
      <c r="J102" s="16" t="n"/>
      <c r="K102" s="16" t="n"/>
      <c r="L102" s="16" t="n"/>
      <c r="M102" s="16" t="n"/>
      <c r="N102" s="16" t="n"/>
      <c r="O102" s="16" t="n"/>
      <c r="P102" s="17" t="n"/>
      <c r="Q102" s="16" t="n">
        <v>37.57</v>
      </c>
      <c r="R102" s="16" t="n"/>
      <c r="S102" s="16" t="n"/>
      <c r="T102" s="16" t="n"/>
      <c r="U102" s="16" t="n"/>
      <c r="V102" s="16" t="n"/>
      <c r="W102" s="13" t="inlineStr">
        <is>
          <t>Sim</t>
        </is>
      </c>
      <c r="X102" s="13" t="inlineStr"/>
      <c r="Y102" s="15" t="inlineStr">
        <is>
          <t>NOTAS FISCAIS DE COMPRA JANEIRO 2026.pdf - p. 154</t>
        </is>
      </c>
    </row>
    <row r="103">
      <c r="A103" s="13" t="inlineStr">
        <is>
          <t>JAN26-P156</t>
        </is>
      </c>
      <c r="B103" s="13" t="n">
        <v>156</v>
      </c>
      <c r="C103" s="13" t="inlineStr">
        <is>
          <t>NFS-e</t>
        </is>
      </c>
      <c r="D103" s="13" t="inlineStr">
        <is>
          <t>3992/U</t>
        </is>
      </c>
      <c r="E103" s="13" t="inlineStr">
        <is>
          <t>BEER wo reves oro moo PAROLE MHRUNZOUDRAMLOTE AAR meal TREEAPrORASE oa077.60</t>
        </is>
      </c>
      <c r="F103" s="16" t="n">
        <v>751.47</v>
      </c>
      <c r="G103" s="16" t="n"/>
      <c r="H103" s="17" t="n"/>
      <c r="I103" s="16" t="n"/>
      <c r="J103" s="16" t="n"/>
      <c r="K103" s="16" t="n"/>
      <c r="L103" s="16" t="n"/>
      <c r="M103" s="16" t="n"/>
      <c r="N103" s="16" t="n"/>
      <c r="O103" s="16" t="n"/>
      <c r="P103" s="17" t="n"/>
      <c r="Q103" s="16" t="n">
        <v>37.57</v>
      </c>
      <c r="R103" s="16" t="n"/>
      <c r="S103" s="16" t="n"/>
      <c r="T103" s="16" t="n"/>
      <c r="U103" s="16" t="n"/>
      <c r="V103" s="16" t="n"/>
      <c r="W103" s="13" t="inlineStr">
        <is>
          <t>Não</t>
        </is>
      </c>
      <c r="X103" s="13" t="inlineStr"/>
      <c r="Y103" s="15" t="inlineStr">
        <is>
          <t>NOTAS FISCAIS DE COMPRA JANEIRO 2026.pdf - p. 156</t>
        </is>
      </c>
    </row>
    <row r="104">
      <c r="A104" s="13" t="inlineStr">
        <is>
          <t>JAN26-P157</t>
        </is>
      </c>
      <c r="B104" s="13" t="n">
        <v>157</v>
      </c>
      <c r="C104" s="13" t="inlineStr">
        <is>
          <t>NFS-e</t>
        </is>
      </c>
      <c r="D104" s="13" t="inlineStr">
        <is>
          <t>154628/U</t>
        </is>
      </c>
      <c r="E104" s="13" t="inlineStr">
        <is>
          <t>NATUS AMBIENTAL LTDA</t>
        </is>
      </c>
      <c r="F104" s="16" t="n">
        <v>1265.53</v>
      </c>
      <c r="G104" s="16" t="n"/>
      <c r="H104" s="17" t="n"/>
      <c r="I104" s="16" t="n"/>
      <c r="J104" s="16" t="n"/>
      <c r="K104" s="16" t="n"/>
      <c r="L104" s="16" t="n"/>
      <c r="M104" s="16" t="n"/>
      <c r="N104" s="16" t="n"/>
      <c r="O104" s="16" t="n"/>
      <c r="P104" s="17" t="n"/>
      <c r="Q104" s="16" t="n">
        <v>37.96</v>
      </c>
      <c r="R104" s="16" t="n"/>
      <c r="S104" s="16" t="n"/>
      <c r="T104" s="16" t="n"/>
      <c r="U104" s="16" t="n"/>
      <c r="V104" s="16" t="n"/>
      <c r="W104" s="13" t="inlineStr">
        <is>
          <t>Sim</t>
        </is>
      </c>
      <c r="X104" s="13" t="inlineStr"/>
      <c r="Y104" s="15" t="inlineStr">
        <is>
          <t>NOTAS FISCAIS DE COMPRA JANEIRO 2026.pdf - p. 157</t>
        </is>
      </c>
    </row>
    <row r="105">
      <c r="A105" s="13" t="inlineStr">
        <is>
          <t>JAN26-P158</t>
        </is>
      </c>
      <c r="B105" s="13" t="n">
        <v>158</v>
      </c>
      <c r="C105" s="13" t="inlineStr">
        <is>
          <t>NFS-e</t>
        </is>
      </c>
      <c r="D105" s="13" t="inlineStr">
        <is>
          <t>154627/U</t>
        </is>
      </c>
      <c r="E105" s="13" t="inlineStr">
        <is>
          <t>NATUS AMBIENTAL LTDA</t>
        </is>
      </c>
      <c r="F105" s="16" t="n">
        <v>250.57</v>
      </c>
      <c r="G105" s="16" t="n"/>
      <c r="H105" s="17" t="n"/>
      <c r="I105" s="16" t="n"/>
      <c r="J105" s="16" t="n"/>
      <c r="K105" s="16" t="n"/>
      <c r="L105" s="16" t="n"/>
      <c r="M105" s="16" t="n"/>
      <c r="N105" s="16" t="n"/>
      <c r="O105" s="16" t="n"/>
      <c r="P105" s="17" t="n"/>
      <c r="Q105" s="16" t="n">
        <v>7.51</v>
      </c>
      <c r="R105" s="16" t="n"/>
      <c r="S105" s="16" t="n"/>
      <c r="T105" s="16" t="n"/>
      <c r="U105" s="16" t="n"/>
      <c r="V105" s="16" t="n"/>
      <c r="W105" s="13" t="inlineStr">
        <is>
          <t>Sim</t>
        </is>
      </c>
      <c r="X105" s="13" t="inlineStr"/>
      <c r="Y105" s="15" t="inlineStr">
        <is>
          <t>NOTAS FISCAIS DE COMPRA JANEIRO 2026.pdf - p. 158</t>
        </is>
      </c>
    </row>
    <row r="106">
      <c r="A106" s="13" t="inlineStr">
        <is>
          <t>JAN26-P159</t>
        </is>
      </c>
      <c r="B106" s="13" t="n">
        <v>159</v>
      </c>
      <c r="C106" s="13" t="inlineStr">
        <is>
          <t>NFS-e</t>
        </is>
      </c>
      <c r="D106" s="13" t="inlineStr">
        <is>
          <t>21</t>
        </is>
      </c>
      <c r="E106" s="13" t="inlineStr">
        <is>
          <t>24.870.571 JORGE GUILHERME COSTA FERREIRA</t>
        </is>
      </c>
      <c r="F106" s="16" t="n">
        <v>7000</v>
      </c>
      <c r="G106" s="16" t="n"/>
      <c r="H106" s="17" t="n"/>
      <c r="I106" s="16" t="n"/>
      <c r="J106" s="16" t="n"/>
      <c r="K106" s="16" t="n"/>
      <c r="L106" s="16" t="n"/>
      <c r="M106" s="16" t="n"/>
      <c r="N106" s="16" t="n"/>
      <c r="O106" s="16" t="n"/>
      <c r="P106" s="17" t="n"/>
      <c r="Q106" s="16" t="n"/>
      <c r="R106" s="16" t="n"/>
      <c r="S106" s="16" t="n"/>
      <c r="T106" s="16" t="n"/>
      <c r="U106" s="16" t="n"/>
      <c r="V106" s="16" t="n"/>
      <c r="W106" s="13" t="inlineStr">
        <is>
          <t>Sim</t>
        </is>
      </c>
      <c r="X106" s="13" t="inlineStr"/>
      <c r="Y106" s="15" t="inlineStr">
        <is>
          <t>NOTAS FISCAIS DE COMPRA JANEIRO 2026.pdf - p. 159</t>
        </is>
      </c>
    </row>
    <row r="107">
      <c r="A107" s="13" t="inlineStr">
        <is>
          <t>JAN26-P161</t>
        </is>
      </c>
      <c r="B107" s="13" t="n">
        <v>161</v>
      </c>
      <c r="C107" s="13" t="inlineStr">
        <is>
          <t>NFCom</t>
        </is>
      </c>
      <c r="D107" s="13" t="inlineStr">
        <is>
          <t>21</t>
        </is>
      </c>
      <c r="E107" s="13" t="inlineStr">
        <is>
          <t>AREA CONTRIBUTENTE: MENSAGENS PRIORITARIAS / AVISOS AO CONSUMIDOR .</t>
        </is>
      </c>
      <c r="F107" s="16" t="n">
        <v>900</v>
      </c>
      <c r="G107" s="16" t="n"/>
      <c r="H107" s="17" t="n"/>
      <c r="I107" s="16" t="n"/>
      <c r="J107" s="16" t="n"/>
      <c r="K107" s="16" t="n"/>
      <c r="L107" s="16" t="n"/>
      <c r="M107" s="16" t="n"/>
      <c r="N107" s="16" t="n"/>
      <c r="O107" s="16" t="n"/>
      <c r="P107" s="17" t="n"/>
      <c r="Q107" s="16" t="n"/>
      <c r="R107" s="16" t="n"/>
      <c r="S107" s="16" t="n"/>
      <c r="T107" s="16" t="n"/>
      <c r="U107" s="16" t="n"/>
      <c r="V107" s="16" t="n"/>
      <c r="W107" s="13" t="inlineStr">
        <is>
          <t>Sim</t>
        </is>
      </c>
      <c r="X107" s="13" t="inlineStr"/>
      <c r="Y107" s="15" t="inlineStr">
        <is>
          <t>NOTAS FISCAIS DE COMPRA JANEIRO 2026.pdf - p. 161</t>
        </is>
      </c>
    </row>
    <row r="108">
      <c r="A108" s="13" t="inlineStr">
        <is>
          <t>JAN26-P165</t>
        </is>
      </c>
      <c r="B108" s="13" t="n">
        <v>165</v>
      </c>
      <c r="C108" s="13" t="inlineStr">
        <is>
          <t>NFS-e</t>
        </is>
      </c>
      <c r="D108" s="13" t="inlineStr">
        <is>
          <t>167</t>
        </is>
      </c>
      <c r="E108" s="13" t="inlineStr">
        <is>
          <t>fixengiodo 650M Stage do preetador do sani pera o SimelenHecisnm ein copia do bibwigbe do OS</t>
        </is>
      </c>
      <c r="F108" s="16" t="n">
        <v>8175</v>
      </c>
      <c r="G108" s="16" t="n"/>
      <c r="H108" s="17" t="n"/>
      <c r="I108" s="16" t="n"/>
      <c r="J108" s="16" t="n"/>
      <c r="K108" s="16" t="n"/>
      <c r="L108" s="16" t="n"/>
      <c r="M108" s="16" t="n"/>
      <c r="N108" s="16" t="n"/>
      <c r="O108" s="16" t="n"/>
      <c r="P108" s="17" t="n"/>
      <c r="Q108" s="16" t="n"/>
      <c r="R108" s="16" t="n"/>
      <c r="S108" s="16" t="n"/>
      <c r="T108" s="16" t="n"/>
      <c r="U108" s="16" t="n"/>
      <c r="V108" s="16" t="n"/>
      <c r="W108" s="13" t="inlineStr">
        <is>
          <t>Não</t>
        </is>
      </c>
      <c r="X108" s="13" t="inlineStr"/>
      <c r="Y108" s="15" t="inlineStr">
        <is>
          <t>NOTAS FISCAIS DE COMPRA JANEIRO 2026.pdf - p. 165</t>
        </is>
      </c>
    </row>
    <row r="109">
      <c r="A109" s="13" t="inlineStr">
        <is>
          <t>JAN26-P166</t>
        </is>
      </c>
      <c r="B109" s="13" t="n">
        <v>166</v>
      </c>
      <c r="C109" s="13" t="inlineStr">
        <is>
          <t>NFS-e</t>
        </is>
      </c>
      <c r="D109" s="13" t="inlineStr">
        <is>
          <t>166</t>
        </is>
      </c>
      <c r="E109" s="13" t="inlineStr">
        <is>
          <t>DalzedoredeenisaBo — Compettincts = Mimoroférit ‘Sseenac Sa os pond</t>
        </is>
      </c>
      <c r="F109" s="16" t="n">
        <v>8175</v>
      </c>
      <c r="G109" s="16" t="n"/>
      <c r="H109" s="17" t="n"/>
      <c r="I109" s="16" t="n"/>
      <c r="J109" s="16" t="n"/>
      <c r="K109" s="16" t="n"/>
      <c r="L109" s="16" t="n"/>
      <c r="M109" s="16" t="n"/>
      <c r="N109" s="16" t="n"/>
      <c r="O109" s="16" t="n"/>
      <c r="P109" s="17" t="n"/>
      <c r="Q109" s="16" t="n"/>
      <c r="R109" s="16" t="n"/>
      <c r="S109" s="16" t="n"/>
      <c r="T109" s="16" t="n"/>
      <c r="U109" s="16" t="n"/>
      <c r="V109" s="16" t="n"/>
      <c r="W109" s="13" t="inlineStr">
        <is>
          <t>Não</t>
        </is>
      </c>
      <c r="X109" s="13" t="inlineStr"/>
      <c r="Y109" s="15" t="inlineStr">
        <is>
          <t>NOTAS FISCAIS DE COMPRA JANEIRO 2026.pdf - p. 166</t>
        </is>
      </c>
    </row>
    <row r="110">
      <c r="A110" s="13" t="inlineStr">
        <is>
          <t>JAN26-P174</t>
        </is>
      </c>
      <c r="B110" s="13" t="n">
        <v>174</v>
      </c>
      <c r="C110" s="13" t="inlineStr">
        <is>
          <t>NFS-e</t>
        </is>
      </c>
      <c r="D110" s="13" t="inlineStr">
        <is>
          <t>242/U</t>
        </is>
      </c>
      <c r="E110" s="13" t="inlineStr">
        <is>
          <t>BOA VISTA AUTO ELETRICA LTDA</t>
        </is>
      </c>
      <c r="F110" s="16" t="n">
        <v>1426</v>
      </c>
      <c r="G110" s="16" t="n"/>
      <c r="H110" s="17" t="n"/>
      <c r="I110" s="16" t="n"/>
      <c r="J110" s="16" t="n"/>
      <c r="K110" s="16" t="n"/>
      <c r="L110" s="16" t="n"/>
      <c r="M110" s="16" t="n"/>
      <c r="N110" s="16" t="n"/>
      <c r="O110" s="16" t="n"/>
      <c r="P110" s="17" t="n"/>
      <c r="Q110" s="16" t="n"/>
      <c r="R110" s="16" t="n"/>
      <c r="S110" s="16" t="n"/>
      <c r="T110" s="16" t="n"/>
      <c r="U110" s="16" t="n"/>
      <c r="V110" s="16" t="n"/>
      <c r="W110" s="13" t="inlineStr">
        <is>
          <t>Sim</t>
        </is>
      </c>
      <c r="X110" s="13" t="inlineStr"/>
      <c r="Y110" s="15" t="inlineStr">
        <is>
          <t>NOTAS FISCAIS DE COMPRA JANEIRO 2026.pdf - p. 174</t>
        </is>
      </c>
    </row>
    <row r="111">
      <c r="A111" s="13" t="inlineStr">
        <is>
          <t>JAN26-P199</t>
        </is>
      </c>
      <c r="B111" s="13" t="n">
        <v>199</v>
      </c>
      <c r="C111" s="13" t="inlineStr">
        <is>
          <t>NFS-e</t>
        </is>
      </c>
      <c r="D111" s="13" t="inlineStr">
        <is>
          <t>9</t>
        </is>
      </c>
      <c r="E111" s="13" t="inlineStr">
        <is>
          <t>Sack EXPLORACAO DE SALOES DE FESTAS, CENTRO DE CONVENCOES, ESCRITORIOS VIRTUNS. STANDS, QUADRAS ESPORTIVAS,ESTADIOS, GNASIOS,</t>
        </is>
      </c>
      <c r="F111" s="16" t="n">
        <v>3000</v>
      </c>
      <c r="G111" s="16" t="n"/>
      <c r="H111" s="17" t="n"/>
      <c r="I111" s="16" t="n"/>
      <c r="J111" s="16" t="n"/>
      <c r="K111" s="16" t="n"/>
      <c r="L111" s="16" t="n"/>
      <c r="M111" s="16" t="n">
        <v>3000</v>
      </c>
      <c r="N111" s="16" t="n"/>
      <c r="O111" s="16" t="n">
        <v>3000</v>
      </c>
      <c r="P111" s="17" t="n">
        <v>0.05</v>
      </c>
      <c r="Q111" s="16" t="n">
        <v>150</v>
      </c>
      <c r="R111" s="16" t="n"/>
      <c r="S111" s="16" t="n"/>
      <c r="T111" s="16" t="n"/>
      <c r="U111" s="16" t="n"/>
      <c r="V111" s="16" t="n"/>
      <c r="W111" s="13" t="inlineStr">
        <is>
          <t>Não</t>
        </is>
      </c>
      <c r="X111" s="13" t="inlineStr"/>
      <c r="Y111" s="15" t="inlineStr">
        <is>
          <t>NOTAS FISCAIS DE COMPRA JANEIRO 2026.pdf - p. 199</t>
        </is>
      </c>
    </row>
    <row r="112">
      <c r="A112" s="13" t="inlineStr">
        <is>
          <t>JAN26-P200</t>
        </is>
      </c>
      <c r="B112" s="13" t="n">
        <v>200</v>
      </c>
      <c r="C112" s="13" t="inlineStr">
        <is>
          <t>NFS-e</t>
        </is>
      </c>
      <c r="D112" s="13" t="inlineStr">
        <is>
          <t>3</t>
        </is>
      </c>
      <c r="E112" s="13" t="inlineStr">
        <is>
          <t>‘aorde santee escort Conlonade Devcon cetera (SON Fedo</t>
        </is>
      </c>
      <c r="F112" s="16" t="n">
        <v>15662.93</v>
      </c>
      <c r="G112" s="16" t="n"/>
      <c r="H112" s="17" t="n"/>
      <c r="I112" s="16" t="n"/>
      <c r="J112" s="16" t="n"/>
      <c r="K112" s="16" t="n"/>
      <c r="L112" s="16" t="n"/>
      <c r="M112" s="16" t="n">
        <v>15462.53</v>
      </c>
      <c r="N112" s="16" t="n">
        <v>15.66</v>
      </c>
      <c r="O112" s="16" t="n"/>
      <c r="P112" s="17" t="n"/>
      <c r="Q112" s="16" t="n"/>
      <c r="R112" s="16" t="n"/>
      <c r="S112" s="16" t="n"/>
      <c r="T112" s="16" t="n"/>
      <c r="U112" s="16" t="n"/>
      <c r="V112" s="16" t="n"/>
      <c r="W112" s="13" t="inlineStr">
        <is>
          <t>Não</t>
        </is>
      </c>
      <c r="X112" s="13" t="inlineStr"/>
      <c r="Y112" s="15" t="inlineStr">
        <is>
          <t>NOTAS FISCAIS DE COMPRA JANEIRO 2026.pdf - p. 200</t>
        </is>
      </c>
    </row>
    <row r="113">
      <c r="A113" s="13" t="inlineStr">
        <is>
          <t>JAN26-P201</t>
        </is>
      </c>
      <c r="B113" s="13" t="n">
        <v>201</v>
      </c>
      <c r="C113" s="13" t="inlineStr">
        <is>
          <t>NFS-e</t>
        </is>
      </c>
      <c r="D113" s="13" t="inlineStr"/>
      <c r="E113" s="13" t="inlineStr">
        <is>
          <t>f'oe0 522 MICHELA MEDEIROS FRANCO MICHELAMEDEIROBZ3€2GMAILCOM</t>
        </is>
      </c>
      <c r="F113" s="16" t="n"/>
      <c r="G113" s="16" t="n"/>
      <c r="H113" s="17" t="n"/>
      <c r="I113" s="16" t="n"/>
      <c r="J113" s="16" t="n"/>
      <c r="K113" s="16" t="n"/>
      <c r="L113" s="16" t="n"/>
      <c r="M113" s="16" t="n"/>
      <c r="N113" s="16" t="n">
        <v>4800</v>
      </c>
      <c r="O113" s="16" t="n"/>
      <c r="P113" s="17" t="n"/>
      <c r="Q113" s="16" t="n"/>
      <c r="R113" s="16" t="n"/>
      <c r="S113" s="16" t="n"/>
      <c r="T113" s="16" t="n"/>
      <c r="U113" s="16" t="n"/>
      <c r="V113" s="16" t="n"/>
      <c r="W113" s="13" t="inlineStr">
        <is>
          <t>Revisar</t>
        </is>
      </c>
      <c r="X113" s="13" t="inlineStr"/>
      <c r="Y113" s="15" t="inlineStr">
        <is>
          <t>NOTAS FISCAIS DE COMPRA JANEIRO 2026.pdf - p. 201</t>
        </is>
      </c>
    </row>
    <row r="114">
      <c r="A114" s="13" t="inlineStr">
        <is>
          <t>JAN26-P205</t>
        </is>
      </c>
      <c r="B114" s="13" t="n">
        <v>205</v>
      </c>
      <c r="C114" s="13" t="inlineStr">
        <is>
          <t>NFS-e</t>
        </is>
      </c>
      <c r="D114" s="13" t="inlineStr"/>
      <c r="E114" s="13" t="inlineStr">
        <is>
          <t>ErENDR Sho rNcRCO mom SAND EXTREMA Fences i aRAGL Srares80</t>
        </is>
      </c>
      <c r="F114" s="16" t="n">
        <v>75</v>
      </c>
      <c r="G114" s="16" t="n"/>
      <c r="H114" s="17" t="n"/>
      <c r="I114" s="16" t="n"/>
      <c r="J114" s="16" t="n"/>
      <c r="K114" s="16" t="n"/>
      <c r="L114" s="16" t="n"/>
      <c r="M114" s="16" t="n"/>
      <c r="N114" s="16" t="n"/>
      <c r="O114" s="16" t="n"/>
      <c r="P114" s="17" t="n"/>
      <c r="Q114" s="16" t="n"/>
      <c r="R114" s="16" t="n"/>
      <c r="S114" s="16" t="n"/>
      <c r="T114" s="16" t="n"/>
      <c r="U114" s="16" t="n"/>
      <c r="V114" s="16" t="n"/>
      <c r="W114" s="13" t="inlineStr">
        <is>
          <t>Revisar</t>
        </is>
      </c>
      <c r="X114" s="13" t="inlineStr"/>
      <c r="Y114" s="15" t="inlineStr">
        <is>
          <t>NOTAS FISCAIS DE COMPRA JANEIRO 2026.pdf - p. 205</t>
        </is>
      </c>
    </row>
    <row r="115">
      <c r="A115" s="13" t="inlineStr">
        <is>
          <t>JAN26-P215</t>
        </is>
      </c>
      <c r="B115" s="13" t="n">
        <v>215</v>
      </c>
      <c r="C115" s="13" t="inlineStr">
        <is>
          <t>NFS-e</t>
        </is>
      </c>
      <c r="D115" s="13" t="inlineStr">
        <is>
          <t>1706/U</t>
        </is>
      </c>
      <c r="E115" s="13" t="inlineStr">
        <is>
          <t>MILMAQ METALURGICA E MANUTENCAO INDUSTRIAL LTDA - ME</t>
        </is>
      </c>
      <c r="F115" s="16" t="n">
        <v>1500</v>
      </c>
      <c r="G115" s="16" t="n"/>
      <c r="H115" s="17" t="n"/>
      <c r="I115" s="16" t="n"/>
      <c r="J115" s="16" t="n"/>
      <c r="K115" s="16" t="n"/>
      <c r="L115" s="16" t="n"/>
      <c r="M115" s="16" t="n">
        <v>2</v>
      </c>
      <c r="N115" s="16" t="n">
        <v>2</v>
      </c>
      <c r="O115" s="16" t="n"/>
      <c r="P115" s="17" t="n"/>
      <c r="Q115" s="16" t="n"/>
      <c r="R115" s="16" t="n"/>
      <c r="S115" s="16" t="n"/>
      <c r="T115" s="16" t="n"/>
      <c r="U115" s="16" t="n"/>
      <c r="V115" s="16" t="n"/>
      <c r="W115" s="13" t="inlineStr">
        <is>
          <t>Sim</t>
        </is>
      </c>
      <c r="X115" s="13" t="inlineStr"/>
      <c r="Y115" s="15" t="inlineStr">
        <is>
          <t>NOTAS FISCAIS DE COMPRA JANEIRO 2026.pdf - p. 215</t>
        </is>
      </c>
    </row>
    <row r="116">
      <c r="A116" s="13" t="inlineStr">
        <is>
          <t>JAN26-P220</t>
        </is>
      </c>
      <c r="B116" s="13" t="n">
        <v>220</v>
      </c>
      <c r="C116" s="13" t="inlineStr">
        <is>
          <t>NFS-e</t>
        </is>
      </c>
      <c r="D116" s="13" t="inlineStr">
        <is>
          <t>0</t>
        </is>
      </c>
      <c r="E116" s="13" t="inlineStr">
        <is>
          <t>Local da preszagdo do sarvigo aia da prectagso do servigo</t>
        </is>
      </c>
      <c r="F116" s="16" t="n">
        <v>4000</v>
      </c>
      <c r="G116" s="16" t="n"/>
      <c r="H116" s="17" t="n"/>
      <c r="I116" s="16" t="n"/>
      <c r="J116" s="16" t="n"/>
      <c r="K116" s="16" t="n"/>
      <c r="L116" s="16" t="n"/>
      <c r="M116" s="16" t="n"/>
      <c r="N116" s="16" t="n"/>
      <c r="O116" s="16" t="n"/>
      <c r="P116" s="17" t="n"/>
      <c r="Q116" s="16" t="n">
        <v>170</v>
      </c>
      <c r="R116" s="16" t="n"/>
      <c r="S116" s="16" t="n"/>
      <c r="T116" s="16" t="n"/>
      <c r="U116" s="16" t="n"/>
      <c r="V116" s="16" t="n"/>
      <c r="W116" s="13" t="inlineStr">
        <is>
          <t>Revisar</t>
        </is>
      </c>
      <c r="X116" s="13" t="inlineStr"/>
      <c r="Y116" s="15" t="inlineStr">
        <is>
          <t>NOTAS FISCAIS DE COMPRA JANEIRO 2026.pdf - p. 220</t>
        </is>
      </c>
    </row>
    <row r="117">
      <c r="A117" s="13" t="inlineStr">
        <is>
          <t>JAN26-P230</t>
        </is>
      </c>
      <c r="B117" s="13" t="n">
        <v>230</v>
      </c>
      <c r="C117" s="13" t="inlineStr">
        <is>
          <t>NFS-e</t>
        </is>
      </c>
      <c r="D117" s="13" t="inlineStr"/>
      <c r="E117" s="13" t="inlineStr">
        <is>
          <t>INTERMEDIARIO DO SERVIC NAO IDENTIACADO NA NFE'S.</t>
        </is>
      </c>
      <c r="F117" s="16" t="n">
        <v>1708.72</v>
      </c>
      <c r="G117" s="16" t="n"/>
      <c r="H117" s="17" t="n"/>
      <c r="I117" s="16" t="n"/>
      <c r="J117" s="16" t="n"/>
      <c r="K117" s="16" t="n"/>
      <c r="L117" s="16" t="n"/>
      <c r="M117" s="16" t="n">
        <v>1708.72</v>
      </c>
      <c r="N117" s="16" t="n"/>
      <c r="O117" s="16" t="n"/>
      <c r="P117" s="17" t="n"/>
      <c r="Q117" s="16" t="n"/>
      <c r="R117" s="16" t="n"/>
      <c r="S117" s="16" t="n"/>
      <c r="T117" s="16" t="n"/>
      <c r="U117" s="16" t="n"/>
      <c r="V117" s="16" t="n"/>
      <c r="W117" s="13" t="inlineStr">
        <is>
          <t>Revisar</t>
        </is>
      </c>
      <c r="X117" s="13" t="inlineStr"/>
      <c r="Y117" s="15" t="inlineStr">
        <is>
          <t>NOTAS FISCAIS DE COMPRA JANEIRO 2026.pdf - p. 230</t>
        </is>
      </c>
    </row>
    <row r="118">
      <c r="A118" s="13" t="inlineStr">
        <is>
          <t>JAN26-P246</t>
        </is>
      </c>
      <c r="B118" s="13" t="n">
        <v>246</v>
      </c>
      <c r="C118" s="13" t="inlineStr">
        <is>
          <t>NFS-e</t>
        </is>
      </c>
      <c r="D118" s="13" t="inlineStr">
        <is>
          <t>97351/U</t>
        </is>
      </c>
      <c r="E118" s="13" t="inlineStr">
        <is>
          <t>CACIQUE PNEUS INDUSTRIA E COMERCIO LTDA</t>
        </is>
      </c>
      <c r="F118" s="16" t="n">
        <v>2104.68</v>
      </c>
      <c r="G118" s="16" t="n"/>
      <c r="H118" s="17" t="n"/>
      <c r="I118" s="16" t="n"/>
      <c r="J118" s="16" t="n"/>
      <c r="K118" s="16" t="n"/>
      <c r="L118" s="16" t="n"/>
      <c r="M118" s="16" t="n"/>
      <c r="N118" s="16" t="n"/>
      <c r="O118" s="16" t="n"/>
      <c r="P118" s="17" t="n"/>
      <c r="Q118" s="16" t="n">
        <v>105.23</v>
      </c>
      <c r="R118" s="16" t="n"/>
      <c r="S118" s="16" t="n"/>
      <c r="T118" s="16" t="n"/>
      <c r="U118" s="16" t="n"/>
      <c r="V118" s="16" t="n"/>
      <c r="W118" s="13" t="inlineStr">
        <is>
          <t>Sim</t>
        </is>
      </c>
      <c r="X118" s="13" t="inlineStr"/>
      <c r="Y118" s="15" t="inlineStr">
        <is>
          <t>NOTAS FISCAIS DE COMPRA JANEIRO 2026.pdf - p. 246</t>
        </is>
      </c>
    </row>
    <row r="119">
      <c r="A119" s="13" t="inlineStr">
        <is>
          <t>JAN26-P247</t>
        </is>
      </c>
      <c r="B119" s="13" t="n">
        <v>247</v>
      </c>
      <c r="C119" s="13" t="inlineStr">
        <is>
          <t>NFS-e</t>
        </is>
      </c>
      <c r="D119" s="13" t="inlineStr">
        <is>
          <t>35</t>
        </is>
      </c>
      <c r="E119" s="13" t="inlineStr">
        <is>
          <t>MARCOS JOSE FONTANA HANUS</t>
        </is>
      </c>
      <c r="F119" s="16" t="n">
        <v>440</v>
      </c>
      <c r="G119" s="16" t="n"/>
      <c r="H119" s="17" t="n"/>
      <c r="I119" s="16" t="n"/>
      <c r="J119" s="16" t="n"/>
      <c r="K119" s="16" t="n"/>
      <c r="L119" s="16" t="n"/>
      <c r="M119" s="16" t="n"/>
      <c r="N119" s="16" t="n"/>
      <c r="O119" s="16" t="n"/>
      <c r="P119" s="17" t="n"/>
      <c r="Q119" s="16" t="n"/>
      <c r="R119" s="16" t="n"/>
      <c r="S119" s="16" t="n"/>
      <c r="T119" s="16" t="n"/>
      <c r="U119" s="16" t="n"/>
      <c r="V119" s="16" t="n"/>
      <c r="W119" s="13" t="inlineStr">
        <is>
          <t>Sim</t>
        </is>
      </c>
      <c r="X119" s="13" t="inlineStr"/>
      <c r="Y119" s="15" t="inlineStr">
        <is>
          <t>NOTAS FISCAIS DE COMPRA JANEIRO 2026.pdf - p. 247</t>
        </is>
      </c>
    </row>
    <row r="120">
      <c r="A120" s="13" t="inlineStr">
        <is>
          <t>JAN26-P249</t>
        </is>
      </c>
      <c r="B120" s="13" t="n">
        <v>249</v>
      </c>
      <c r="C120" s="13" t="inlineStr">
        <is>
          <t>NFS-e</t>
        </is>
      </c>
      <c r="D120" s="13" t="inlineStr">
        <is>
          <t>382/U</t>
        </is>
      </c>
      <c r="E120" s="13" t="inlineStr">
        <is>
          <t>FRANCISCO DAS CHAGAS BISPO DE ARAUJO JUNIOR</t>
        </is>
      </c>
      <c r="F120" s="16" t="n">
        <v>14000</v>
      </c>
      <c r="G120" s="16" t="n"/>
      <c r="H120" s="17" t="n"/>
      <c r="I120" s="16" t="n"/>
      <c r="J120" s="16" t="n"/>
      <c r="K120" s="16" t="n"/>
      <c r="L120" s="16" t="n"/>
      <c r="M120" s="16" t="n"/>
      <c r="N120" s="16" t="n"/>
      <c r="O120" s="16" t="n"/>
      <c r="P120" s="17" t="n"/>
      <c r="Q120" s="16" t="n">
        <v>700</v>
      </c>
      <c r="R120" s="16" t="n"/>
      <c r="S120" s="16" t="n"/>
      <c r="T120" s="16" t="n"/>
      <c r="U120" s="16" t="n"/>
      <c r="V120" s="16" t="n"/>
      <c r="W120" s="13" t="inlineStr">
        <is>
          <t>Sim</t>
        </is>
      </c>
      <c r="X120" s="13" t="inlineStr"/>
      <c r="Y120" s="15" t="inlineStr">
        <is>
          <t>NOTAS FISCAIS DE COMPRA JANEIRO 2026.pdf - p. 249</t>
        </is>
      </c>
    </row>
    <row r="121">
      <c r="A121" s="13" t="inlineStr">
        <is>
          <t>JAN26-P250</t>
        </is>
      </c>
      <c r="B121" s="13" t="n">
        <v>250</v>
      </c>
      <c r="C121" s="13" t="inlineStr">
        <is>
          <t>NFS-e</t>
        </is>
      </c>
      <c r="D121" s="13" t="inlineStr">
        <is>
          <t>383/U</t>
        </is>
      </c>
      <c r="E121" s="13" t="inlineStr">
        <is>
          <t>FRANCISCO DAS CHAGAS BISPO DE ARAUJO JUNIOR</t>
        </is>
      </c>
      <c r="F121" s="16" t="n">
        <v>800</v>
      </c>
      <c r="G121" s="16" t="n"/>
      <c r="H121" s="17" t="n"/>
      <c r="I121" s="16" t="n"/>
      <c r="J121" s="16" t="n"/>
      <c r="K121" s="16" t="n"/>
      <c r="L121" s="16" t="n"/>
      <c r="M121" s="16" t="n">
        <v>0.5</v>
      </c>
      <c r="N121" s="16" t="n">
        <v>0.5</v>
      </c>
      <c r="O121" s="16" t="n"/>
      <c r="P121" s="17" t="n"/>
      <c r="Q121" s="16" t="n">
        <v>40</v>
      </c>
      <c r="R121" s="16" t="n"/>
      <c r="S121" s="16" t="n"/>
      <c r="T121" s="16" t="n"/>
      <c r="U121" s="16" t="n"/>
      <c r="V121" s="16" t="n"/>
      <c r="W121" s="13" t="inlineStr">
        <is>
          <t>Sim</t>
        </is>
      </c>
      <c r="X121" s="13" t="inlineStr"/>
      <c r="Y121" s="15" t="inlineStr">
        <is>
          <t>NOTAS FISCAIS DE COMPRA JANEIRO 2026.pdf - p. 250</t>
        </is>
      </c>
    </row>
    <row r="122">
      <c r="A122" s="13" t="inlineStr">
        <is>
          <t>JAN26-P251</t>
        </is>
      </c>
      <c r="B122" s="13" t="n">
        <v>251</v>
      </c>
      <c r="C122" s="13" t="inlineStr">
        <is>
          <t>NFS-e</t>
        </is>
      </c>
      <c r="D122" s="13" t="inlineStr">
        <is>
          <t>26589/U</t>
        </is>
      </c>
      <c r="E122" s="13" t="inlineStr">
        <is>
          <t>ATHOS MED SERVICOS EM SAUDE - LTDA</t>
        </is>
      </c>
      <c r="F122" s="16" t="n">
        <v>5922</v>
      </c>
      <c r="G122" s="16" t="n"/>
      <c r="H122" s="17" t="n"/>
      <c r="I122" s="16" t="n"/>
      <c r="J122" s="16" t="n"/>
      <c r="K122" s="16" t="n"/>
      <c r="L122" s="16" t="n"/>
      <c r="M122" s="16" t="n"/>
      <c r="N122" s="16" t="n"/>
      <c r="O122" s="16" t="n"/>
      <c r="P122" s="17" t="n"/>
      <c r="Q122" s="16" t="n">
        <v>177.66</v>
      </c>
      <c r="R122" s="16" t="n">
        <v>88.83</v>
      </c>
      <c r="S122" s="16" t="n">
        <v>59.22</v>
      </c>
      <c r="T122" s="16" t="n">
        <v>38.49</v>
      </c>
      <c r="U122" s="16" t="n">
        <v>177.66</v>
      </c>
      <c r="V122" s="16" t="n"/>
      <c r="W122" s="13" t="inlineStr">
        <is>
          <t>Sim</t>
        </is>
      </c>
      <c r="X122" s="13" t="inlineStr"/>
      <c r="Y122" s="15" t="inlineStr">
        <is>
          <t>NOTAS FISCAIS DE COMPRA JANEIRO 2026.pdf - p. 251</t>
        </is>
      </c>
    </row>
    <row r="123">
      <c r="A123" s="13" t="inlineStr">
        <is>
          <t>JAN26-P253</t>
        </is>
      </c>
      <c r="B123" s="13" t="n">
        <v>253</v>
      </c>
      <c r="C123" s="13" t="inlineStr">
        <is>
          <t>NFS-e</t>
        </is>
      </c>
      <c r="D123" s="13" t="inlineStr">
        <is>
          <t>23</t>
        </is>
      </c>
      <c r="E123" s="13" t="inlineStr">
        <is>
          <t>MARCOS JOSE FONTANA HANUS</t>
        </is>
      </c>
      <c r="F123" s="16" t="n">
        <v>440</v>
      </c>
      <c r="G123" s="16" t="n"/>
      <c r="H123" s="17" t="n"/>
      <c r="I123" s="16" t="n"/>
      <c r="J123" s="16" t="n"/>
      <c r="K123" s="16" t="n"/>
      <c r="L123" s="16" t="n"/>
      <c r="M123" s="16" t="n">
        <v>440</v>
      </c>
      <c r="N123" s="16" t="n"/>
      <c r="O123" s="16" t="n"/>
      <c r="P123" s="17" t="n"/>
      <c r="Q123" s="16" t="n"/>
      <c r="R123" s="16" t="n"/>
      <c r="S123" s="16" t="n"/>
      <c r="T123" s="16" t="n"/>
      <c r="U123" s="16" t="n"/>
      <c r="V123" s="16" t="n"/>
      <c r="W123" s="13" t="inlineStr">
        <is>
          <t>Sim</t>
        </is>
      </c>
      <c r="X123" s="13" t="inlineStr"/>
      <c r="Y123" s="15" t="inlineStr">
        <is>
          <t>NOTAS FISCAIS DE COMPRA JANEIRO 2026.pdf - p. 253</t>
        </is>
      </c>
    </row>
    <row r="124">
      <c r="A124" s="13" t="inlineStr">
        <is>
          <t>JAN26-P264</t>
        </is>
      </c>
      <c r="B124" s="13" t="n">
        <v>264</v>
      </c>
      <c r="C124" s="13" t="inlineStr">
        <is>
          <t>NFS-e</t>
        </is>
      </c>
      <c r="D124" s="13" t="inlineStr">
        <is>
          <t>4</t>
        </is>
      </c>
      <c r="E124" s="13" t="inlineStr">
        <is>
          <t>G R DE MORAES CONSTRUCOES</t>
        </is>
      </c>
      <c r="F124" s="16" t="n">
        <v>40000</v>
      </c>
      <c r="G124" s="16" t="n"/>
      <c r="H124" s="17" t="n"/>
      <c r="I124" s="16" t="n"/>
      <c r="J124" s="16" t="n"/>
      <c r="K124" s="16" t="n"/>
      <c r="L124" s="16" t="n"/>
      <c r="M124" s="16" t="n">
        <v>40600</v>
      </c>
      <c r="N124" s="16" t="n"/>
      <c r="O124" s="16" t="n"/>
      <c r="P124" s="17" t="n"/>
      <c r="Q124" s="16" t="n"/>
      <c r="R124" s="16" t="n"/>
      <c r="S124" s="16" t="n"/>
      <c r="T124" s="16" t="n"/>
      <c r="U124" s="16" t="n"/>
      <c r="V124" s="16" t="n"/>
      <c r="W124" s="13" t="inlineStr">
        <is>
          <t>Sim</t>
        </is>
      </c>
      <c r="X124" s="13" t="inlineStr"/>
      <c r="Y124" s="15" t="inlineStr">
        <is>
          <t>NOTAS FISCAIS DE COMPRA JANEIRO 2026.pdf - p. 264</t>
        </is>
      </c>
    </row>
    <row r="125">
      <c r="A125" s="13" t="inlineStr">
        <is>
          <t>JAN26-P271</t>
        </is>
      </c>
      <c r="B125" s="13" t="n">
        <v>271</v>
      </c>
      <c r="C125" s="13" t="inlineStr">
        <is>
          <t>NFS-e</t>
        </is>
      </c>
      <c r="D125" s="13" t="inlineStr">
        <is>
          <t>1204/U</t>
        </is>
      </c>
      <c r="E125" s="13" t="inlineStr">
        <is>
          <t>MARINA NAYARA FLORES GUIMARAES - ME</t>
        </is>
      </c>
      <c r="F125" s="16" t="n">
        <v>300</v>
      </c>
      <c r="G125" s="16" t="n"/>
      <c r="H125" s="17" t="n"/>
      <c r="I125" s="16" t="n"/>
      <c r="J125" s="16" t="n"/>
      <c r="K125" s="16" t="n"/>
      <c r="L125" s="16" t="n"/>
      <c r="M125" s="16" t="n">
        <v>14.01</v>
      </c>
      <c r="N125" s="16" t="n"/>
      <c r="O125" s="16" t="n"/>
      <c r="P125" s="17" t="n"/>
      <c r="Q125" s="16" t="n">
        <v>15</v>
      </c>
      <c r="R125" s="16" t="n"/>
      <c r="S125" s="16" t="n"/>
      <c r="T125" s="16" t="n"/>
      <c r="U125" s="16" t="n"/>
      <c r="V125" s="16" t="n"/>
      <c r="W125" s="13" t="inlineStr">
        <is>
          <t>Sim</t>
        </is>
      </c>
      <c r="X125" s="13" t="inlineStr"/>
      <c r="Y125" s="15" t="inlineStr">
        <is>
          <t>NOTAS FISCAIS DE COMPRA JANEIRO 2026.pdf - p. 271</t>
        </is>
      </c>
    </row>
    <row r="126">
      <c r="A126" s="13" t="inlineStr">
        <is>
          <t>JAN26-P272</t>
        </is>
      </c>
      <c r="B126" s="13" t="n">
        <v>272</v>
      </c>
      <c r="C126" s="13" t="inlineStr">
        <is>
          <t>NFS-e</t>
        </is>
      </c>
      <c r="D126" s="13" t="inlineStr">
        <is>
          <t>1203/U</t>
        </is>
      </c>
      <c r="E126" s="13" t="inlineStr">
        <is>
          <t>MARINA NAYARA FLORES GUIMARAES - ME</t>
        </is>
      </c>
      <c r="F126" s="16" t="n">
        <v>180</v>
      </c>
      <c r="G126" s="16" t="n"/>
      <c r="H126" s="17" t="n"/>
      <c r="I126" s="16" t="n"/>
      <c r="J126" s="16" t="n"/>
      <c r="K126" s="16" t="n"/>
      <c r="L126" s="16" t="n"/>
      <c r="M126" s="16" t="n"/>
      <c r="N126" s="16" t="n"/>
      <c r="O126" s="16" t="n"/>
      <c r="P126" s="17" t="n"/>
      <c r="Q126" s="16" t="n">
        <v>9</v>
      </c>
      <c r="R126" s="16" t="n"/>
      <c r="S126" s="16" t="n"/>
      <c r="T126" s="16" t="n"/>
      <c r="U126" s="16" t="n"/>
      <c r="V126" s="16" t="n"/>
      <c r="W126" s="13" t="inlineStr">
        <is>
          <t>Sim</t>
        </is>
      </c>
      <c r="X126" s="13" t="inlineStr"/>
      <c r="Y126" s="15" t="inlineStr">
        <is>
          <t>NOTAS FISCAIS DE COMPRA JANEIRO 2026.pdf - p. 272</t>
        </is>
      </c>
    </row>
    <row r="127">
      <c r="A127" s="13" t="inlineStr">
        <is>
          <t>JAN26-P291</t>
        </is>
      </c>
      <c r="B127" s="13" t="n">
        <v>291</v>
      </c>
      <c r="C127" s="13" t="inlineStr">
        <is>
          <t>NFS-e</t>
        </is>
      </c>
      <c r="D127" s="13" t="inlineStr">
        <is>
          <t>3475/U</t>
        </is>
      </c>
      <c r="E127" s="13" t="inlineStr">
        <is>
          <t>J E SILVA LIMA - ME</t>
        </is>
      </c>
      <c r="F127" s="16" t="n">
        <v>3258</v>
      </c>
      <c r="G127" s="16" t="n"/>
      <c r="H127" s="17" t="n"/>
      <c r="I127" s="16" t="n"/>
      <c r="J127" s="16" t="n"/>
      <c r="K127" s="16" t="n"/>
      <c r="L127" s="16" t="n"/>
      <c r="M127" s="16" t="n"/>
      <c r="N127" s="16" t="n"/>
      <c r="O127" s="16" t="n"/>
      <c r="P127" s="17" t="n"/>
      <c r="Q127" s="16" t="n"/>
      <c r="R127" s="16" t="n"/>
      <c r="S127" s="16" t="n"/>
      <c r="T127" s="16" t="n"/>
      <c r="U127" s="16" t="n"/>
      <c r="V127" s="16" t="n"/>
      <c r="W127" s="13" t="inlineStr">
        <is>
          <t>Sim</t>
        </is>
      </c>
      <c r="X127" s="13" t="inlineStr"/>
      <c r="Y127" s="15" t="inlineStr">
        <is>
          <t>NOTAS FISCAIS DE COMPRA JANEIRO 2026.pdf - p. 291</t>
        </is>
      </c>
    </row>
    <row r="128">
      <c r="A128" s="13" t="inlineStr">
        <is>
          <t>JAN26-P292</t>
        </is>
      </c>
      <c r="B128" s="13" t="n">
        <v>292</v>
      </c>
      <c r="C128" s="13" t="inlineStr">
        <is>
          <t>NFS-e</t>
        </is>
      </c>
      <c r="D128" s="13" t="inlineStr">
        <is>
          <t>1087/U</t>
        </is>
      </c>
      <c r="E128" s="13" t="inlineStr">
        <is>
          <t>A LUIZ NETO LTDA</t>
        </is>
      </c>
      <c r="F128" s="16" t="n">
        <v>1500</v>
      </c>
      <c r="G128" s="16" t="n"/>
      <c r="H128" s="17" t="n"/>
      <c r="I128" s="16" t="n"/>
      <c r="J128" s="16" t="n"/>
      <c r="K128" s="16" t="n"/>
      <c r="L128" s="16" t="n"/>
      <c r="M128" s="16" t="n">
        <v>2</v>
      </c>
      <c r="N128" s="16" t="n">
        <v>2</v>
      </c>
      <c r="O128" s="16" t="n"/>
      <c r="P128" s="17" t="n"/>
      <c r="Q128" s="16" t="n"/>
      <c r="R128" s="16" t="n"/>
      <c r="S128" s="16" t="n"/>
      <c r="T128" s="16" t="n"/>
      <c r="U128" s="16" t="n"/>
      <c r="V128" s="16" t="n"/>
      <c r="W128" s="13" t="inlineStr">
        <is>
          <t>Sim</t>
        </is>
      </c>
      <c r="X128" s="13" t="inlineStr"/>
      <c r="Y128" s="15" t="inlineStr">
        <is>
          <t>NOTAS FISCAIS DE COMPRA JANEIRO 2026.pdf - p. 292</t>
        </is>
      </c>
    </row>
    <row r="129">
      <c r="A129" s="13" t="inlineStr">
        <is>
          <t>JAN26-P294</t>
        </is>
      </c>
      <c r="B129" s="13" t="n">
        <v>294</v>
      </c>
      <c r="C129" s="13" t="inlineStr">
        <is>
          <t>NFS-e</t>
        </is>
      </c>
      <c r="D129" s="13" t="inlineStr">
        <is>
          <t>71/U</t>
        </is>
      </c>
      <c r="E129" s="13" t="inlineStr">
        <is>
          <t>M H F SANTOS AUTOPECAS</t>
        </is>
      </c>
      <c r="F129" s="16" t="n">
        <v>120</v>
      </c>
      <c r="G129" s="16" t="n"/>
      <c r="H129" s="17" t="n"/>
      <c r="I129" s="16" t="n"/>
      <c r="J129" s="16" t="n"/>
      <c r="K129" s="16" t="n"/>
      <c r="L129" s="16" t="n"/>
      <c r="M129" s="16" t="n"/>
      <c r="N129" s="16" t="n"/>
      <c r="O129" s="16" t="n"/>
      <c r="P129" s="17" t="n"/>
      <c r="Q129" s="16" t="n"/>
      <c r="R129" s="16" t="n"/>
      <c r="S129" s="16" t="n"/>
      <c r="T129" s="16" t="n"/>
      <c r="U129" s="16" t="n"/>
      <c r="V129" s="16" t="n"/>
      <c r="W129" s="13" t="inlineStr">
        <is>
          <t>Sim</t>
        </is>
      </c>
      <c r="X129" s="13" t="inlineStr"/>
      <c r="Y129" s="15" t="inlineStr">
        <is>
          <t>NOTAS FISCAIS DE COMPRA JANEIRO 2026.pdf - p. 294</t>
        </is>
      </c>
    </row>
    <row r="130">
      <c r="A130" s="13" t="inlineStr">
        <is>
          <t>JAN26-P295</t>
        </is>
      </c>
      <c r="B130" s="13" t="n">
        <v>295</v>
      </c>
      <c r="C130" s="13" t="inlineStr">
        <is>
          <t>NFS-e</t>
        </is>
      </c>
      <c r="D130" s="13" t="inlineStr">
        <is>
          <t>240/U</t>
        </is>
      </c>
      <c r="E130" s="13" t="inlineStr">
        <is>
          <t>BOA VISTA AUTO ELETRICA LTDA</t>
        </is>
      </c>
      <c r="F130" s="16" t="n">
        <v>685</v>
      </c>
      <c r="G130" s="16" t="n"/>
      <c r="H130" s="17" t="n"/>
      <c r="I130" s="16" t="n"/>
      <c r="J130" s="16" t="n"/>
      <c r="K130" s="16" t="n"/>
      <c r="L130" s="16" t="n"/>
      <c r="M130" s="16" t="n"/>
      <c r="N130" s="16" t="n"/>
      <c r="O130" s="16" t="n"/>
      <c r="P130" s="17" t="n"/>
      <c r="Q130" s="16" t="n"/>
      <c r="R130" s="16" t="n"/>
      <c r="S130" s="16" t="n"/>
      <c r="T130" s="16" t="n"/>
      <c r="U130" s="16" t="n"/>
      <c r="V130" s="16" t="n"/>
      <c r="W130" s="13" t="inlineStr">
        <is>
          <t>Sim</t>
        </is>
      </c>
      <c r="X130" s="13" t="inlineStr"/>
      <c r="Y130" s="15" t="inlineStr">
        <is>
          <t>NOTAS FISCAIS DE COMPRA JANEIRO 2026.pdf - p. 295</t>
        </is>
      </c>
    </row>
    <row r="131">
      <c r="A131" s="13" t="inlineStr">
        <is>
          <t>JAN26-P299</t>
        </is>
      </c>
      <c r="B131" s="13" t="n">
        <v>299</v>
      </c>
      <c r="C131" s="13" t="inlineStr">
        <is>
          <t>NFS-e</t>
        </is>
      </c>
      <c r="D131" s="13" t="inlineStr">
        <is>
          <t>115/U</t>
        </is>
      </c>
      <c r="E131" s="13" t="inlineStr">
        <is>
          <t>J K B FIALHO LTDA</t>
        </is>
      </c>
      <c r="F131" s="16" t="n">
        <v>3000</v>
      </c>
      <c r="G131" s="16" t="n"/>
      <c r="H131" s="17" t="n"/>
      <c r="I131" s="16" t="n"/>
      <c r="J131" s="16" t="n"/>
      <c r="K131" s="16" t="n"/>
      <c r="L131" s="16" t="n"/>
      <c r="M131" s="16" t="n"/>
      <c r="N131" s="16" t="n"/>
      <c r="O131" s="16" t="n"/>
      <c r="P131" s="17" t="n"/>
      <c r="Q131" s="16" t="n">
        <v>150</v>
      </c>
      <c r="R131" s="16" t="n"/>
      <c r="S131" s="16" t="n"/>
      <c r="T131" s="16" t="n"/>
      <c r="U131" s="16" t="n"/>
      <c r="V131" s="16" t="n"/>
      <c r="W131" s="13" t="inlineStr">
        <is>
          <t>Sim</t>
        </is>
      </c>
      <c r="X131" s="13" t="inlineStr"/>
      <c r="Y131" s="15" t="inlineStr">
        <is>
          <t>NOTAS FISCAIS DE COMPRA JANEIRO 2026.pdf - p. 299</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K106"/>
  <sheetViews>
    <sheetView showGridLines="0" workbookViewId="0">
      <pane ySplit="1" topLeftCell="A2" activePane="bottomLeft" state="frozen"/>
      <selection pane="bottomLeft" activeCell="A1" sqref="A1"/>
    </sheetView>
  </sheetViews>
  <sheetFormatPr baseColWidth="8" defaultRowHeight="15"/>
  <cols>
    <col width="15" customWidth="1" min="1" max="1"/>
    <col width="8" customWidth="1" min="2" max="2"/>
    <col width="22" customWidth="1" min="3" max="3"/>
    <col width="16" customWidth="1" min="4" max="4"/>
    <col width="13" customWidth="1" min="5" max="5"/>
    <col width="42" customWidth="1" min="6" max="6"/>
    <col width="16" customWidth="1" min="7" max="7"/>
    <col width="30" customWidth="1" min="8" max="8"/>
    <col width="14" customWidth="1" min="9" max="9"/>
    <col width="55" customWidth="1" min="10" max="10"/>
    <col width="42" customWidth="1" min="11" max="11"/>
  </cols>
  <sheetData>
    <row r="1" ht="36" customHeight="1">
      <c r="A1" s="12" t="inlineStr">
        <is>
          <t>Doc_ID</t>
        </is>
      </c>
      <c r="B1" s="12" t="inlineStr">
        <is>
          <t>Pagina</t>
        </is>
      </c>
      <c r="C1" s="12" t="inlineStr">
        <is>
          <t>Tipo</t>
        </is>
      </c>
      <c r="D1" s="12" t="inlineStr">
        <is>
          <t>Numero</t>
        </is>
      </c>
      <c r="E1" s="12" t="inlineStr">
        <is>
          <t>Data</t>
        </is>
      </c>
      <c r="F1" s="12" t="inlineStr">
        <is>
          <t>Emitente_Referencia</t>
        </is>
      </c>
      <c r="G1" s="12" t="inlineStr">
        <is>
          <t>Valor_Extraido</t>
        </is>
      </c>
      <c r="H1" s="12" t="inlineStr">
        <is>
          <t>Tratamento</t>
        </is>
      </c>
      <c r="I1" s="12" t="inlineStr">
        <is>
          <t>Duplicado_de</t>
        </is>
      </c>
      <c r="J1" s="12" t="inlineStr">
        <is>
          <t>Observacoes</t>
        </is>
      </c>
      <c r="K1" s="12" t="inlineStr">
        <is>
          <t>Fonte</t>
        </is>
      </c>
    </row>
    <row r="2">
      <c r="A2" s="13" t="inlineStr">
        <is>
          <t>JAN26-P002</t>
        </is>
      </c>
      <c r="B2" s="13" t="n">
        <v>2</v>
      </c>
      <c r="C2" s="13" t="inlineStr">
        <is>
          <t>Outros/Documento</t>
        </is>
      </c>
      <c r="D2" s="13" t="inlineStr"/>
      <c r="E2" s="25" t="n"/>
      <c r="F2" s="13" t="inlineStr">
        <is>
          <t>Greta ica force pogo, Para mexet nas insialarben,</t>
        </is>
      </c>
      <c r="G2" s="16" t="n"/>
      <c r="H2" s="13" t="inlineStr">
        <is>
          <t>Não somar como nova compra</t>
        </is>
      </c>
      <c r="I2" s="13" t="inlineStr"/>
      <c r="J2" s="15" t="inlineStr"/>
      <c r="K2" s="15" t="inlineStr">
        <is>
          <t>NOTAS FISCAIS DE COMPRA JANEIRO 2026.pdf - p. 2</t>
        </is>
      </c>
    </row>
    <row r="3">
      <c r="A3" s="13" t="inlineStr">
        <is>
          <t>JAN26-P006</t>
        </is>
      </c>
      <c r="B3" s="13" t="n">
        <v>6</v>
      </c>
      <c r="C3" s="13" t="inlineStr">
        <is>
          <t>Separador/Anotacao</t>
        </is>
      </c>
      <c r="D3" s="13" t="inlineStr"/>
      <c r="E3" s="25" t="n"/>
      <c r="F3" s="13" t="inlineStr">
        <is>
          <t>PERIODO MES DE</t>
        </is>
      </c>
      <c r="G3" s="16" t="n"/>
      <c r="H3" s="13" t="inlineStr">
        <is>
          <t>Não somar como nova compra</t>
        </is>
      </c>
      <c r="I3" s="13" t="inlineStr"/>
      <c r="J3" s="15" t="inlineStr"/>
      <c r="K3" s="15" t="inlineStr">
        <is>
          <t>NOTAS FISCAIS DE COMPRA JANEIRO 2026.pdf - p. 6</t>
        </is>
      </c>
    </row>
    <row r="4">
      <c r="A4" s="13" t="inlineStr">
        <is>
          <t>JAN26-P009</t>
        </is>
      </c>
      <c r="B4" s="13" t="n">
        <v>9</v>
      </c>
      <c r="C4" s="13" t="inlineStr">
        <is>
          <t>Boleto/Financeiro</t>
        </is>
      </c>
      <c r="D4" s="13" t="inlineStr"/>
      <c r="E4" s="25" t="n"/>
      <c r="F4" s="13" t="inlineStr">
        <is>
          <t>FORNECEDORA CAMINHOES COMERCIO E SERVIGOS LTDA, CNPJ:19.377.865/0006-04</t>
        </is>
      </c>
      <c r="G4" s="16" t="n"/>
      <c r="H4" s="13" t="inlineStr">
        <is>
          <t>Não somar como nova compra</t>
        </is>
      </c>
      <c r="I4" s="13" t="inlineStr"/>
      <c r="J4" s="15" t="inlineStr"/>
      <c r="K4" s="15" t="inlineStr">
        <is>
          <t>NOTAS FISCAIS DE COMPRA JANEIRO 2026.pdf - p. 9</t>
        </is>
      </c>
    </row>
    <row r="5">
      <c r="A5" s="13" t="inlineStr">
        <is>
          <t>JAN26-P010</t>
        </is>
      </c>
      <c r="B5" s="13" t="n">
        <v>10</v>
      </c>
      <c r="C5" s="13" t="inlineStr">
        <is>
          <t>Boleto/Financeiro</t>
        </is>
      </c>
      <c r="D5" s="13" t="inlineStr"/>
      <c r="E5" s="25" t="n"/>
      <c r="F5" s="13" t="inlineStr">
        <is>
          <t>FORNECEDORA CAMINHOES COMERCIO &amp; SERVICOS LTDA, CNPJ:19:377.805/0006-04</t>
        </is>
      </c>
      <c r="G5" s="16" t="n"/>
      <c r="H5" s="13" t="inlineStr">
        <is>
          <t>Não somar como nova compra</t>
        </is>
      </c>
      <c r="I5" s="13" t="inlineStr"/>
      <c r="J5" s="15" t="inlineStr"/>
      <c r="K5" s="15" t="inlineStr">
        <is>
          <t>NOTAS FISCAIS DE COMPRA JANEIRO 2026.pdf - p. 10</t>
        </is>
      </c>
    </row>
    <row r="6">
      <c r="A6" s="13" t="inlineStr">
        <is>
          <t>JAN26-P011</t>
        </is>
      </c>
      <c r="B6" s="13" t="n">
        <v>11</v>
      </c>
      <c r="C6" s="13" t="inlineStr">
        <is>
          <t>Boleto/Financeiro</t>
        </is>
      </c>
      <c r="D6" s="13" t="inlineStr"/>
      <c r="E6" s="25" t="n"/>
      <c r="F6" s="13" t="inlineStr">
        <is>
          <t>FORNECEDORA CAMINHOES COMERCIO E SERVICOS LTDA, CNPJ:19.377.805/0006-04</t>
        </is>
      </c>
      <c r="G6" s="16" t="n"/>
      <c r="H6" s="13" t="inlineStr">
        <is>
          <t>Não somar como nova compra</t>
        </is>
      </c>
      <c r="I6" s="13" t="inlineStr"/>
      <c r="J6" s="15" t="inlineStr"/>
      <c r="K6" s="15" t="inlineStr">
        <is>
          <t>NOTAS FISCAIS DE COMPRA JANEIRO 2026.pdf - p. 11</t>
        </is>
      </c>
    </row>
    <row r="7">
      <c r="A7" s="13" t="inlineStr">
        <is>
          <t>JAN26-P015</t>
        </is>
      </c>
      <c r="B7" s="13" t="n">
        <v>15</v>
      </c>
      <c r="C7" s="13" t="inlineStr">
        <is>
          <t>Outros/Documento</t>
        </is>
      </c>
      <c r="D7" s="13" t="inlineStr"/>
      <c r="E7" s="25" t="n"/>
      <c r="F7" s="13" t="inlineStr">
        <is>
          <t>MOS DE F &amp; | INDUSTRIA E COMERCIO DE PRODUTOS DE LIMPEZA LTDA</t>
        </is>
      </c>
      <c r="G7" s="16" t="n"/>
      <c r="H7" s="13" t="inlineStr">
        <is>
          <t>Não somar como nova compra</t>
        </is>
      </c>
      <c r="I7" s="13" t="inlineStr"/>
      <c r="J7" s="15" t="inlineStr"/>
      <c r="K7" s="15" t="inlineStr">
        <is>
          <t>NOTAS FISCAIS DE COMPRA JANEIRO 2026.pdf - p. 15</t>
        </is>
      </c>
    </row>
    <row r="8">
      <c r="A8" s="13" t="inlineStr">
        <is>
          <t>JAN26-P027</t>
        </is>
      </c>
      <c r="B8" s="13" t="n">
        <v>27</v>
      </c>
      <c r="C8" s="13" t="inlineStr">
        <is>
          <t>Separador/Anotacao</t>
        </is>
      </c>
      <c r="D8" s="13" t="inlineStr"/>
      <c r="E8" s="25" t="n"/>
      <c r="F8" s="13" t="inlineStr"/>
      <c r="G8" s="16" t="n"/>
      <c r="H8" s="13" t="inlineStr">
        <is>
          <t>Não somar como nova compra</t>
        </is>
      </c>
      <c r="I8" s="13" t="inlineStr"/>
      <c r="J8" s="15" t="inlineStr"/>
      <c r="K8" s="15" t="inlineStr">
        <is>
          <t>NOTAS FISCAIS DE COMPRA JANEIRO 2026.pdf - p. 27</t>
        </is>
      </c>
    </row>
    <row r="9">
      <c r="A9" s="13" t="inlineStr">
        <is>
          <t>JAN26-P033</t>
        </is>
      </c>
      <c r="B9" s="13" t="n">
        <v>33</v>
      </c>
      <c r="C9" s="13" t="inlineStr">
        <is>
          <t>DAR/GNRE</t>
        </is>
      </c>
      <c r="D9" s="13" t="inlineStr"/>
      <c r="E9" s="25" t="n">
        <v>46037</v>
      </c>
      <c r="F9" s="13" t="inlineStr">
        <is>
          <t>[AV SAO FRANCISCO, 4900,</t>
        </is>
      </c>
      <c r="G9" s="16" t="n"/>
      <c r="H9" s="13" t="inlineStr">
        <is>
          <t>Não somar como nova compra</t>
        </is>
      </c>
      <c r="I9" s="13" t="inlineStr"/>
      <c r="J9" s="15" t="inlineStr"/>
      <c r="K9" s="15" t="inlineStr">
        <is>
          <t>NOTAS FISCAIS DE COMPRA JANEIRO 2026.pdf - p. 33</t>
        </is>
      </c>
    </row>
    <row r="10">
      <c r="A10" s="13" t="inlineStr">
        <is>
          <t>JAN26-P034</t>
        </is>
      </c>
      <c r="B10" s="13" t="n">
        <v>34</v>
      </c>
      <c r="C10" s="13" t="inlineStr">
        <is>
          <t>DAR/GNRE</t>
        </is>
      </c>
      <c r="D10" s="13" t="inlineStr"/>
      <c r="E10" s="25" t="n">
        <v>46036</v>
      </c>
      <c r="F10" s="13" t="inlineStr">
        <is>
          <t>GERENCIA DE FISCALIZAGAO DE MERCADORIA EM TRANSITO</t>
        </is>
      </c>
      <c r="G10" s="16" t="n"/>
      <c r="H10" s="13" t="inlineStr">
        <is>
          <t>Não somar como nova compra</t>
        </is>
      </c>
      <c r="I10" s="13" t="inlineStr"/>
      <c r="J10" s="15" t="inlineStr"/>
      <c r="K10" s="15" t="inlineStr">
        <is>
          <t>NOTAS FISCAIS DE COMPRA JANEIRO 2026.pdf - p. 34</t>
        </is>
      </c>
    </row>
    <row r="11">
      <c r="A11" s="13" t="inlineStr">
        <is>
          <t>JAN26-P037</t>
        </is>
      </c>
      <c r="B11" s="13" t="n">
        <v>37</v>
      </c>
      <c r="C11" s="13" t="inlineStr">
        <is>
          <t>DAR/GNRE</t>
        </is>
      </c>
      <c r="D11" s="13" t="inlineStr"/>
      <c r="E11" s="25" t="n">
        <v>46037</v>
      </c>
      <c r="F11" s="13" t="inlineStr">
        <is>
          <t>LOCAIS DE PAGAMENTO ITAU, SANTANDER, BANCO DO BRASIL, CAIXA ECONOMICA FEDERAL,</t>
        </is>
      </c>
      <c r="G11" s="16" t="n"/>
      <c r="H11" s="13" t="inlineStr">
        <is>
          <t>Não somar como nova compra</t>
        </is>
      </c>
      <c r="I11" s="13" t="inlineStr"/>
      <c r="J11" s="15" t="inlineStr"/>
      <c r="K11" s="15" t="inlineStr">
        <is>
          <t>NOTAS FISCAIS DE COMPRA JANEIRO 2026.pdf - p. 37</t>
        </is>
      </c>
    </row>
    <row r="12">
      <c r="A12" s="13" t="inlineStr">
        <is>
          <t>JAN26-P038</t>
        </is>
      </c>
      <c r="B12" s="13" t="n">
        <v>38</v>
      </c>
      <c r="C12" s="13" t="inlineStr">
        <is>
          <t>DAR/GNRE</t>
        </is>
      </c>
      <c r="D12" s="13" t="inlineStr"/>
      <c r="E12" s="25" t="n">
        <v>46036</v>
      </c>
      <c r="F12" s="13" t="inlineStr">
        <is>
          <t>GERENCIA DE FISCALIZACAO DE MERCADORIA EM TRANSITO</t>
        </is>
      </c>
      <c r="G12" s="16" t="n"/>
      <c r="H12" s="13" t="inlineStr">
        <is>
          <t>Não somar como nova compra</t>
        </is>
      </c>
      <c r="I12" s="13" t="inlineStr"/>
      <c r="J12" s="15" t="inlineStr"/>
      <c r="K12" s="15" t="inlineStr">
        <is>
          <t>NOTAS FISCAIS DE COMPRA JANEIRO 2026.pdf - p. 38</t>
        </is>
      </c>
    </row>
    <row r="13">
      <c r="A13" s="13" t="inlineStr">
        <is>
          <t>JAN26-P067</t>
        </is>
      </c>
      <c r="B13" s="13" t="n">
        <v>67</v>
      </c>
      <c r="C13" s="13" t="inlineStr">
        <is>
          <t>Outros/Documento</t>
        </is>
      </c>
      <c r="D13" s="13" t="inlineStr"/>
      <c r="E13" s="25" t="n">
        <v>46024</v>
      </c>
      <c r="F13" s="13" t="inlineStr">
        <is>
          <t>FRALFIX sao FRANCISCO, 4000, PARQUE JUREMA, TERESINA?</t>
        </is>
      </c>
      <c r="G13" s="16" t="n"/>
      <c r="H13" s="13" t="inlineStr">
        <is>
          <t>Não somar como nova compra</t>
        </is>
      </c>
      <c r="I13" s="13" t="inlineStr"/>
      <c r="J13" s="15" t="inlineStr"/>
      <c r="K13" s="15" t="inlineStr">
        <is>
          <t>NOTAS FISCAIS DE COMPRA JANEIRO 2026.pdf - p. 67</t>
        </is>
      </c>
    </row>
    <row r="14">
      <c r="A14" s="13" t="inlineStr">
        <is>
          <t>JAN26-P068</t>
        </is>
      </c>
      <c r="B14" s="13" t="n">
        <v>68</v>
      </c>
      <c r="C14" s="13" t="inlineStr">
        <is>
          <t>Boleto/Financeiro</t>
        </is>
      </c>
      <c r="D14" s="13" t="inlineStr"/>
      <c r="E14" s="25" t="n">
        <v>46042</v>
      </c>
      <c r="F14" s="13" t="inlineStr">
        <is>
          <t>FCK INDUSTRIA E COMERCIO DE MATE</t>
        </is>
      </c>
      <c r="G14" s="16" t="n"/>
      <c r="H14" s="13" t="inlineStr">
        <is>
          <t>Não somar como nova compra</t>
        </is>
      </c>
      <c r="I14" s="13" t="inlineStr"/>
      <c r="J14" s="15" t="inlineStr"/>
      <c r="K14" s="15" t="inlineStr">
        <is>
          <t>NOTAS FISCAIS DE COMPRA JANEIRO 2026.pdf - p. 68</t>
        </is>
      </c>
    </row>
    <row r="15">
      <c r="A15" s="13" t="inlineStr">
        <is>
          <t>JAN26-P071</t>
        </is>
      </c>
      <c r="B15" s="13" t="n">
        <v>71</v>
      </c>
      <c r="C15" s="13" t="inlineStr">
        <is>
          <t>Boleto/Financeiro</t>
        </is>
      </c>
      <c r="D15" s="13" t="inlineStr"/>
      <c r="E15" s="25" t="n"/>
      <c r="F15" s="13" t="inlineStr">
        <is>
          <t>{0 POR TIPO DE LIGACAO E SERVICOS EXCEDENTES</t>
        </is>
      </c>
      <c r="G15" s="16" t="n"/>
      <c r="H15" s="13" t="inlineStr">
        <is>
          <t>Não somar como nova compra</t>
        </is>
      </c>
      <c r="I15" s="13" t="inlineStr"/>
      <c r="J15" s="15" t="inlineStr"/>
      <c r="K15" s="15" t="inlineStr">
        <is>
          <t>NOTAS FISCAIS DE COMPRA JANEIRO 2026.pdf - p. 71</t>
        </is>
      </c>
    </row>
    <row r="16">
      <c r="A16" s="13" t="inlineStr">
        <is>
          <t>JAN26-P072</t>
        </is>
      </c>
      <c r="B16" s="13" t="n">
        <v>72</v>
      </c>
      <c r="C16" s="13" t="inlineStr">
        <is>
          <t>Outros/Documento</t>
        </is>
      </c>
      <c r="D16" s="13" t="inlineStr"/>
      <c r="E16" s="25" t="n"/>
      <c r="F16" s="13" t="inlineStr">
        <is>
          <t>\ével: igaces mensais de longa distancia</t>
        </is>
      </c>
      <c r="G16" s="16" t="n"/>
      <c r="H16" s="13" t="inlineStr">
        <is>
          <t>Não somar como nova compra</t>
        </is>
      </c>
      <c r="I16" s="13" t="inlineStr"/>
      <c r="J16" s="15" t="inlineStr"/>
      <c r="K16" s="15" t="inlineStr">
        <is>
          <t>NOTAS FISCAIS DE COMPRA JANEIRO 2026.pdf - p. 72</t>
        </is>
      </c>
    </row>
    <row r="17">
      <c r="A17" s="13" t="inlineStr">
        <is>
          <t>JAN26-P073</t>
        </is>
      </c>
      <c r="B17" s="13" t="n">
        <v>73</v>
      </c>
      <c r="C17" s="13" t="inlineStr">
        <is>
          <t>Outros/Documento</t>
        </is>
      </c>
      <c r="D17" s="13" t="inlineStr"/>
      <c r="E17" s="25" t="n"/>
      <c r="F17" s="13" t="inlineStr">
        <is>
          <t>‘AcabeangadBsardgo deerme pode Sart ate o0hns and osu col PEE ae ee aia wah</t>
        </is>
      </c>
      <c r="G17" s="16" t="n"/>
      <c r="H17" s="13" t="inlineStr">
        <is>
          <t>Não somar como nova compra</t>
        </is>
      </c>
      <c r="I17" s="13" t="inlineStr"/>
      <c r="J17" s="15" t="inlineStr"/>
      <c r="K17" s="15" t="inlineStr">
        <is>
          <t>NOTAS FISCAIS DE COMPRA JANEIRO 2026.pdf - p. 73</t>
        </is>
      </c>
    </row>
    <row r="18">
      <c r="A18" s="13" t="inlineStr">
        <is>
          <t>JAN26-P074</t>
        </is>
      </c>
      <c r="B18" s="13" t="n">
        <v>74</v>
      </c>
      <c r="C18" s="13" t="inlineStr">
        <is>
          <t>Outros/Documento</t>
        </is>
      </c>
      <c r="D18" s="13" t="inlineStr"/>
      <c r="E18" s="25" t="n"/>
      <c r="F18" s="13" t="inlineStr">
        <is>
          <t>DETALHAMENTO DE LIGACOESE SERVICOS DO CELULAR (86) 99 eT get SoM eee" shay</t>
        </is>
      </c>
      <c r="G18" s="16" t="n"/>
      <c r="H18" s="13" t="inlineStr">
        <is>
          <t>Não somar como nova compra</t>
        </is>
      </c>
      <c r="I18" s="13" t="inlineStr"/>
      <c r="J18" s="15" t="inlineStr"/>
      <c r="K18" s="15" t="inlineStr">
        <is>
          <t>NOTAS FISCAIS DE COMPRA JANEIRO 2026.pdf - p. 74</t>
        </is>
      </c>
    </row>
    <row r="19">
      <c r="A19" s="13" t="inlineStr">
        <is>
          <t>JAN26-P075</t>
        </is>
      </c>
      <c r="B19" s="13" t="n">
        <v>75</v>
      </c>
      <c r="C19" s="13" t="inlineStr">
        <is>
          <t>Outros/Documento</t>
        </is>
      </c>
      <c r="D19" s="13" t="inlineStr"/>
      <c r="E19" s="25" t="n"/>
      <c r="F19" s="13" t="inlineStr">
        <is>
          <t>me Maenymainages 7 A Boe taattom saauer Conse 200d 20 ee oak</t>
        </is>
      </c>
      <c r="G19" s="16" t="n"/>
      <c r="H19" s="13" t="inlineStr">
        <is>
          <t>Não somar como nova compra</t>
        </is>
      </c>
      <c r="I19" s="13" t="inlineStr"/>
      <c r="J19" s="15" t="inlineStr"/>
      <c r="K19" s="15" t="inlineStr">
        <is>
          <t>NOTAS FISCAIS DE COMPRA JANEIRO 2026.pdf - p. 75</t>
        </is>
      </c>
    </row>
    <row r="20">
      <c r="A20" s="13" t="inlineStr">
        <is>
          <t>JAN26-P076</t>
        </is>
      </c>
      <c r="B20" s="13" t="n">
        <v>76</v>
      </c>
      <c r="C20" s="13" t="inlineStr">
        <is>
          <t>Outros/Documento</t>
        </is>
      </c>
      <c r="D20" s="13" t="inlineStr"/>
      <c r="E20" s="25" t="n"/>
      <c r="F20" s="13" t="inlineStr">
        <is>
          <t>thes a internet move</t>
        </is>
      </c>
      <c r="G20" s="16" t="n"/>
      <c r="H20" s="13" t="inlineStr">
        <is>
          <t>Não somar como nova compra</t>
        </is>
      </c>
      <c r="I20" s="13" t="inlineStr"/>
      <c r="J20" s="15" t="inlineStr"/>
      <c r="K20" s="15" t="inlineStr">
        <is>
          <t>NOTAS FISCAIS DE COMPRA JANEIRO 2026.pdf - p. 76</t>
        </is>
      </c>
    </row>
    <row r="21">
      <c r="A21" s="13" t="inlineStr">
        <is>
          <t>JAN26-P085</t>
        </is>
      </c>
      <c r="B21" s="13" t="n">
        <v>85</v>
      </c>
      <c r="C21" s="13" t="inlineStr">
        <is>
          <t>Outros/Documento</t>
        </is>
      </c>
      <c r="D21" s="13" t="inlineStr"/>
      <c r="E21" s="25" t="n">
        <v>45985</v>
      </c>
      <c r="F21" s="13" t="inlineStr">
        <is>
          <t>\VENIDA SAO FRANCISCO 4000/D - EXTREMA</t>
        </is>
      </c>
      <c r="G21" s="16" t="n"/>
      <c r="H21" s="13" t="inlineStr">
        <is>
          <t>Não somar como nova compra</t>
        </is>
      </c>
      <c r="I21" s="13" t="inlineStr"/>
      <c r="J21" s="15" t="inlineStr"/>
      <c r="K21" s="15" t="inlineStr">
        <is>
          <t>NOTAS FISCAIS DE COMPRA JANEIRO 2026.pdf - p. 85</t>
        </is>
      </c>
    </row>
    <row r="22">
      <c r="A22" s="13" t="inlineStr">
        <is>
          <t>JAN26-P086</t>
        </is>
      </c>
      <c r="B22" s="13" t="n">
        <v>86</v>
      </c>
      <c r="C22" s="13" t="inlineStr">
        <is>
          <t>Outros/Documento</t>
        </is>
      </c>
      <c r="D22" s="13" t="inlineStr"/>
      <c r="E22" s="25" t="n">
        <v>45985</v>
      </c>
      <c r="F22" s="13" t="inlineStr">
        <is>
          <t>quantidades e condigées comerciais acordadas por intermédio deste. Em caso de pecas de linha, a</t>
        </is>
      </c>
      <c r="G22" s="16" t="n"/>
      <c r="H22" s="13" t="inlineStr">
        <is>
          <t>Não somar como nova compra</t>
        </is>
      </c>
      <c r="I22" s="13" t="inlineStr"/>
      <c r="J22" s="15" t="inlineStr"/>
      <c r="K22" s="15" t="inlineStr">
        <is>
          <t>NOTAS FISCAIS DE COMPRA JANEIRO 2026.pdf - p. 86</t>
        </is>
      </c>
    </row>
    <row r="23">
      <c r="A23" s="13" t="inlineStr">
        <is>
          <t>JAN26-P095</t>
        </is>
      </c>
      <c r="B23" s="13" t="n">
        <v>95</v>
      </c>
      <c r="C23" s="13" t="inlineStr">
        <is>
          <t>Outros/Documento</t>
        </is>
      </c>
      <c r="D23" s="13" t="inlineStr"/>
      <c r="E23" s="25" t="n"/>
      <c r="F23" s="13" t="inlineStr">
        <is>
          <t>© transporadorimotorista, cima Wdenticado, assume intera 9 irtatita rasponsabildade pela salda do Estado do Ceard das mercedorias deserias</t>
        </is>
      </c>
      <c r="G23" s="16" t="n"/>
      <c r="H23" s="13" t="inlineStr">
        <is>
          <t>Não somar como nova compra</t>
        </is>
      </c>
      <c r="I23" s="13" t="inlineStr"/>
      <c r="J23" s="15" t="inlineStr"/>
      <c r="K23" s="15" t="inlineStr">
        <is>
          <t>NOTAS FISCAIS DE COMPRA JANEIRO 2026.pdf - p. 95</t>
        </is>
      </c>
    </row>
    <row r="24">
      <c r="A24" s="13" t="inlineStr">
        <is>
          <t>JAN26-P099</t>
        </is>
      </c>
      <c r="B24" s="13" t="n">
        <v>99</v>
      </c>
      <c r="C24" s="13" t="inlineStr">
        <is>
          <t>MDF-e</t>
        </is>
      </c>
      <c r="D24" s="13" t="inlineStr">
        <is>
          <t>356</t>
        </is>
      </c>
      <c r="E24" s="25" t="n"/>
      <c r="F24" s="13" t="inlineStr">
        <is>
          <t>comm Mes Tro Wwe SEOURADORAS A Ce: 3164 seo sagoourza</t>
        </is>
      </c>
      <c r="G24" s="16" t="n"/>
      <c r="H24" s="13" t="inlineStr">
        <is>
          <t>Não somar como nova compra</t>
        </is>
      </c>
      <c r="I24" s="13" t="inlineStr"/>
      <c r="J24" s="15" t="inlineStr"/>
      <c r="K24" s="15" t="inlineStr">
        <is>
          <t>NOTAS FISCAIS DE COMPRA JANEIRO 2026.pdf - p. 99</t>
        </is>
      </c>
    </row>
    <row r="25">
      <c r="A25" s="13" t="inlineStr">
        <is>
          <t>JAN26-P101</t>
        </is>
      </c>
      <c r="B25" s="13" t="n">
        <v>101</v>
      </c>
      <c r="C25" s="13" t="inlineStr">
        <is>
          <t>MDF-e</t>
        </is>
      </c>
      <c r="D25" s="13" t="inlineStr">
        <is>
          <t>359</t>
        </is>
      </c>
      <c r="E25" s="25" t="n"/>
      <c r="F25" s="13" t="inlineStr">
        <is>
          <t>It B7700.0 Ke IRS 18.66),50 [paszaeoesedsoet sae Di nto</t>
        </is>
      </c>
      <c r="G25" s="16" t="n"/>
      <c r="H25" s="13" t="inlineStr">
        <is>
          <t>Não somar como nova compra</t>
        </is>
      </c>
      <c r="I25" s="13" t="inlineStr"/>
      <c r="J25" s="15" t="inlineStr"/>
      <c r="K25" s="15" t="inlineStr">
        <is>
          <t>NOTAS FISCAIS DE COMPRA JANEIRO 2026.pdf - p. 101</t>
        </is>
      </c>
    </row>
    <row r="26">
      <c r="A26" s="13" t="inlineStr">
        <is>
          <t>JAN26-P103</t>
        </is>
      </c>
      <c r="B26" s="13" t="n">
        <v>103</v>
      </c>
      <c r="C26" s="13" t="inlineStr">
        <is>
          <t>MDF-e</t>
        </is>
      </c>
      <c r="D26" s="13" t="inlineStr">
        <is>
          <t>364</t>
        </is>
      </c>
      <c r="E26" s="25" t="n"/>
      <c r="F26" s="13" t="inlineStr">
        <is>
          <t>A PG INTELIGENCIA ELALOGISTICA LTDA ”</t>
        </is>
      </c>
      <c r="G26" s="16" t="n"/>
      <c r="H26" s="13" t="inlineStr">
        <is>
          <t>Não somar como nova compra</t>
        </is>
      </c>
      <c r="I26" s="13" t="inlineStr"/>
      <c r="J26" s="15" t="inlineStr"/>
      <c r="K26" s="15" t="inlineStr">
        <is>
          <t>NOTAS FISCAIS DE COMPRA JANEIRO 2026.pdf - p. 103</t>
        </is>
      </c>
    </row>
    <row r="27">
      <c r="A27" s="13" t="inlineStr">
        <is>
          <t>JAN26-P105</t>
        </is>
      </c>
      <c r="B27" s="13" t="n">
        <v>105</v>
      </c>
      <c r="C27" s="13" t="inlineStr">
        <is>
          <t>MDF-e</t>
        </is>
      </c>
      <c r="D27" s="13" t="inlineStr">
        <is>
          <t>366</t>
        </is>
      </c>
      <c r="E27" s="25" t="n"/>
      <c r="F27" s="13" t="inlineStr">
        <is>
          <t>"Che de scenue para connate de eutectic 70 uh me-ponantax gor br Cu 09 SNE</t>
        </is>
      </c>
      <c r="G27" s="16" t="n"/>
      <c r="H27" s="13" t="inlineStr">
        <is>
          <t>Não somar como nova compra</t>
        </is>
      </c>
      <c r="I27" s="13" t="inlineStr"/>
      <c r="J27" s="15" t="inlineStr"/>
      <c r="K27" s="15" t="inlineStr">
        <is>
          <t>NOTAS FISCAIS DE COMPRA JANEIRO 2026.pdf - p. 105</t>
        </is>
      </c>
    </row>
    <row r="28">
      <c r="A28" s="13" t="inlineStr">
        <is>
          <t>JAN26-P107</t>
        </is>
      </c>
      <c r="B28" s="13" t="n">
        <v>107</v>
      </c>
      <c r="C28" s="13" t="inlineStr">
        <is>
          <t>MDF-e</t>
        </is>
      </c>
      <c r="D28" s="13" t="inlineStr">
        <is>
          <t>368</t>
        </is>
      </c>
      <c r="E28" s="25" t="n"/>
      <c r="F28" s="13" t="inlineStr">
        <is>
          <t>"Shave te Snes nate aarti mea ata ac 4 gGn i a Slek</t>
        </is>
      </c>
      <c r="G28" s="16" t="n"/>
      <c r="H28" s="13" t="inlineStr">
        <is>
          <t>Não somar como nova compra</t>
        </is>
      </c>
      <c r="I28" s="13" t="inlineStr"/>
      <c r="J28" s="15" t="inlineStr"/>
      <c r="K28" s="15" t="inlineStr">
        <is>
          <t>NOTAS FISCAIS DE COMPRA JANEIRO 2026.pdf - p. 107</t>
        </is>
      </c>
    </row>
    <row r="29">
      <c r="A29" s="13" t="inlineStr">
        <is>
          <t>JAN26-P109</t>
        </is>
      </c>
      <c r="B29" s="13" t="n">
        <v>109</v>
      </c>
      <c r="C29" s="13" t="inlineStr">
        <is>
          <t>MDF-e</t>
        </is>
      </c>
      <c r="D29" s="13" t="inlineStr">
        <is>
          <t>371</t>
        </is>
      </c>
      <c r="E29" s="25" t="n"/>
      <c r="F29" s="13" t="inlineStr">
        <is>
          <t>‘Phat anewe me comm ew nev en pot are nrr oE</t>
        </is>
      </c>
      <c r="G29" s="16" t="n"/>
      <c r="H29" s="13" t="inlineStr">
        <is>
          <t>Não somar como nova compra</t>
        </is>
      </c>
      <c r="I29" s="13" t="inlineStr"/>
      <c r="J29" s="15" t="inlineStr"/>
      <c r="K29" s="15" t="inlineStr">
        <is>
          <t>NOTAS FISCAIS DE COMPRA JANEIRO 2026.pdf - p. 109</t>
        </is>
      </c>
    </row>
    <row r="30">
      <c r="A30" s="13" t="inlineStr">
        <is>
          <t>JAN26-P110</t>
        </is>
      </c>
      <c r="B30" s="13" t="n">
        <v>110</v>
      </c>
      <c r="C30" s="13" t="inlineStr">
        <is>
          <t>Outros/Documento</t>
        </is>
      </c>
      <c r="D30" s="13" t="inlineStr"/>
      <c r="E30" s="25" t="n">
        <v>46012</v>
      </c>
      <c r="F30" s="13" t="inlineStr">
        <is>
          <t>© traneportsdorimotorsta,acima identcado, assume inter resis responsabidade pela selva do Estado do Card das mercadorias descrias</t>
        </is>
      </c>
      <c r="G30" s="16" t="n"/>
      <c r="H30" s="13" t="inlineStr">
        <is>
          <t>Não somar como nova compra</t>
        </is>
      </c>
      <c r="I30" s="13" t="inlineStr"/>
      <c r="J30" s="15" t="inlineStr"/>
      <c r="K30" s="15" t="inlineStr">
        <is>
          <t>NOTAS FISCAIS DE COMPRA JANEIRO 2026.pdf - p. 110</t>
        </is>
      </c>
    </row>
    <row r="31">
      <c r="A31" s="13" t="inlineStr">
        <is>
          <t>JAN26-P115</t>
        </is>
      </c>
      <c r="B31" s="13" t="n">
        <v>115</v>
      </c>
      <c r="C31" s="13" t="inlineStr">
        <is>
          <t>Separador/Anotacao</t>
        </is>
      </c>
      <c r="D31" s="13" t="inlineStr"/>
      <c r="E31" s="25" t="n"/>
      <c r="F31" s="13" t="inlineStr"/>
      <c r="G31" s="16" t="n"/>
      <c r="H31" s="13" t="inlineStr">
        <is>
          <t>Não somar como nova compra</t>
        </is>
      </c>
      <c r="I31" s="13" t="inlineStr"/>
      <c r="J31" s="15" t="inlineStr"/>
      <c r="K31" s="15" t="inlineStr">
        <is>
          <t>NOTAS FISCAIS DE COMPRA JANEIRO 2026.pdf - p. 115</t>
        </is>
      </c>
    </row>
    <row r="32">
      <c r="A32" s="13" t="inlineStr">
        <is>
          <t>JAN26-P122</t>
        </is>
      </c>
      <c r="B32" s="13" t="n">
        <v>122</v>
      </c>
      <c r="C32" s="13" t="inlineStr">
        <is>
          <t>MDF-e</t>
        </is>
      </c>
      <c r="D32" s="13" t="inlineStr">
        <is>
          <t>374</t>
        </is>
      </c>
      <c r="E32" s="25" t="n"/>
      <c r="F32" s="13" t="inlineStr">
        <is>
          <t>+ 4 FG (STELIFENCIA EM LOGISTICA LTDA, ”</t>
        </is>
      </c>
      <c r="G32" s="16" t="n"/>
      <c r="H32" s="13" t="inlineStr">
        <is>
          <t>Não somar como nova compra</t>
        </is>
      </c>
      <c r="I32" s="13" t="inlineStr"/>
      <c r="J32" s="15" t="inlineStr"/>
      <c r="K32" s="15" t="inlineStr">
        <is>
          <t>NOTAS FISCAIS DE COMPRA JANEIRO 2026.pdf - p. 122</t>
        </is>
      </c>
    </row>
    <row r="33">
      <c r="A33" s="13" t="inlineStr">
        <is>
          <t>JAN26-P124</t>
        </is>
      </c>
      <c r="B33" s="13" t="n">
        <v>124</v>
      </c>
      <c r="C33" s="13" t="inlineStr">
        <is>
          <t>MDF-e</t>
        </is>
      </c>
      <c r="D33" s="13" t="inlineStr">
        <is>
          <t>375</t>
        </is>
      </c>
      <c r="E33" s="25" t="n"/>
      <c r="F33" s="13" t="inlineStr">
        <is>
          <t>FOINTELAGENCIA EM LOOISTICA LTDA 7"</t>
        </is>
      </c>
      <c r="G33" s="16" t="n"/>
      <c r="H33" s="13" t="inlineStr">
        <is>
          <t>Não somar como nova compra</t>
        </is>
      </c>
      <c r="I33" s="13" t="inlineStr"/>
      <c r="J33" s="15" t="inlineStr"/>
      <c r="K33" s="15" t="inlineStr">
        <is>
          <t>NOTAS FISCAIS DE COMPRA JANEIRO 2026.pdf - p. 124</t>
        </is>
      </c>
    </row>
    <row r="34">
      <c r="A34" s="13" t="inlineStr">
        <is>
          <t>JAN26-P125</t>
        </is>
      </c>
      <c r="B34" s="13" t="n">
        <v>125</v>
      </c>
      <c r="C34" s="13" t="inlineStr">
        <is>
          <t>Outros/Documento</t>
        </is>
      </c>
      <c r="D34" s="13" t="inlineStr"/>
      <c r="E34" s="25" t="n">
        <v>46019</v>
      </c>
      <c r="F34" s="13" t="inlineStr">
        <is>
          <t>Dados do Transportador</t>
        </is>
      </c>
      <c r="G34" s="16" t="n"/>
      <c r="H34" s="13" t="inlineStr">
        <is>
          <t>Não somar como nova compra</t>
        </is>
      </c>
      <c r="I34" s="13" t="inlineStr"/>
      <c r="J34" s="15" t="inlineStr"/>
      <c r="K34" s="15" t="inlineStr">
        <is>
          <t>NOTAS FISCAIS DE COMPRA JANEIRO 2026.pdf - p. 125</t>
        </is>
      </c>
    </row>
    <row r="35">
      <c r="A35" s="13" t="inlineStr">
        <is>
          <t>JAN26-P127</t>
        </is>
      </c>
      <c r="B35" s="13" t="n">
        <v>127</v>
      </c>
      <c r="C35" s="13" t="inlineStr">
        <is>
          <t>MDF-e</t>
        </is>
      </c>
      <c r="D35" s="13" t="inlineStr">
        <is>
          <t>376</t>
        </is>
      </c>
      <c r="E35" s="25" t="n"/>
      <c r="F35" s="13" t="inlineStr">
        <is>
          <t>Kran [rrapion dos Tara Fagus Uren ao Hardee [Muni [forage ds Des, Fre nodes no Mansons |</t>
        </is>
      </c>
      <c r="G35" s="16" t="n"/>
      <c r="H35" s="13" t="inlineStr">
        <is>
          <t>Não somar como nova compra</t>
        </is>
      </c>
      <c r="I35" s="13" t="inlineStr"/>
      <c r="J35" s="15" t="inlineStr"/>
      <c r="K35" s="15" t="inlineStr">
        <is>
          <t>NOTAS FISCAIS DE COMPRA JANEIRO 2026.pdf - p. 127</t>
        </is>
      </c>
    </row>
    <row r="36">
      <c r="A36" s="13" t="inlineStr">
        <is>
          <t>JAN26-P137</t>
        </is>
      </c>
      <c r="B36" s="13" t="n">
        <v>137</v>
      </c>
      <c r="C36" s="13" t="inlineStr">
        <is>
          <t>Outros/Documento</t>
        </is>
      </c>
      <c r="D36" s="13" t="inlineStr"/>
      <c r="E36" s="25" t="n">
        <v>46030</v>
      </c>
      <c r="F36" s="13" t="inlineStr">
        <is>
          <t>reT06é - RAYAR ESTEFANT BEZERRA TTALTANO unite Meade Sect hie ‘SRL ENGENHARIA INDUSTRIA E COM LTDA</t>
        </is>
      </c>
      <c r="G36" s="16" t="n"/>
      <c r="H36" s="13" t="inlineStr">
        <is>
          <t>Não somar como nova compra</t>
        </is>
      </c>
      <c r="I36" s="13" t="inlineStr"/>
      <c r="J36" s="15" t="inlineStr"/>
      <c r="K36" s="15" t="inlineStr">
        <is>
          <t>NOTAS FISCAIS DE COMPRA JANEIRO 2026.pdf - p. 137</t>
        </is>
      </c>
    </row>
    <row r="37">
      <c r="A37" s="13" t="inlineStr">
        <is>
          <t>JAN26-P138</t>
        </is>
      </c>
      <c r="B37" s="13" t="n">
        <v>138</v>
      </c>
      <c r="C37" s="13" t="inlineStr">
        <is>
          <t>Ordem de Servico</t>
        </is>
      </c>
      <c r="D37" s="13" t="inlineStr"/>
      <c r="E37" s="25" t="n">
        <v>46030</v>
      </c>
      <c r="F37" s="13" t="inlineStr">
        <is>
          <t>Eventuais restighes quanto ao contevdo, apontamentos ou outros dadas contidos nas Ordens da Services aqui fistadas,</t>
        </is>
      </c>
      <c r="G37" s="16" t="n"/>
      <c r="H37" s="13" t="inlineStr">
        <is>
          <t>Não somar como nova compra</t>
        </is>
      </c>
      <c r="I37" s="13" t="inlineStr"/>
      <c r="J37" s="15" t="inlineStr"/>
      <c r="K37" s="15" t="inlineStr">
        <is>
          <t>NOTAS FISCAIS DE COMPRA JANEIRO 2026.pdf - p. 138</t>
        </is>
      </c>
    </row>
    <row r="38">
      <c r="A38" s="13" t="inlineStr">
        <is>
          <t>JAN26-P139</t>
        </is>
      </c>
      <c r="B38" s="13" t="n">
        <v>139</v>
      </c>
      <c r="C38" s="13" t="inlineStr">
        <is>
          <t>Ordem de Servico</t>
        </is>
      </c>
      <c r="D38" s="13" t="inlineStr"/>
      <c r="E38" s="25" t="n">
        <v>46030</v>
      </c>
      <c r="F38" s="13" t="inlineStr">
        <is>
          <t>Eventuals restrigdes quanto ao contaddo, apontamentos ou outros dados contidos nas Ordens de Servicos aqui listadas</t>
        </is>
      </c>
      <c r="G38" s="16" t="n"/>
      <c r="H38" s="13" t="inlineStr">
        <is>
          <t>Não somar como nova compra</t>
        </is>
      </c>
      <c r="I38" s="13" t="inlineStr"/>
      <c r="J38" s="15" t="inlineStr"/>
      <c r="K38" s="15" t="inlineStr">
        <is>
          <t>NOTAS FISCAIS DE COMPRA JANEIRO 2026.pdf - p. 139</t>
        </is>
      </c>
    </row>
    <row r="39">
      <c r="A39" s="13" t="inlineStr">
        <is>
          <t>JAN26-P140</t>
        </is>
      </c>
      <c r="B39" s="13" t="n">
        <v>140</v>
      </c>
      <c r="C39" s="13" t="inlineStr">
        <is>
          <t>Boleto/Financeiro</t>
        </is>
      </c>
      <c r="D39" s="13" t="inlineStr"/>
      <c r="E39" s="25" t="n">
        <v>46030</v>
      </c>
      <c r="F39" s="13" t="inlineStr">
        <is>
          <t>veTOO¢ = RAYRA CSTEPANI BEZERRA ETALIANO vorsli - atin Nan Se Kea tha TNDUSTRIA E COM LTDA</t>
        </is>
      </c>
      <c r="G39" s="16" t="n"/>
      <c r="H39" s="13" t="inlineStr">
        <is>
          <t>Não somar como nova compra</t>
        </is>
      </c>
      <c r="I39" s="13" t="inlineStr"/>
      <c r="J39" s="15" t="inlineStr"/>
      <c r="K39" s="15" t="inlineStr">
        <is>
          <t>NOTAS FISCAIS DE COMPRA JANEIRO 2026.pdf - p. 140</t>
        </is>
      </c>
    </row>
    <row r="40">
      <c r="A40" s="13" t="inlineStr">
        <is>
          <t>JAN26-P141</t>
        </is>
      </c>
      <c r="B40" s="13" t="n">
        <v>141</v>
      </c>
      <c r="C40" s="13" t="inlineStr">
        <is>
          <t>Ordem de Servico</t>
        </is>
      </c>
      <c r="D40" s="13" t="inlineStr"/>
      <c r="E40" s="25" t="n">
        <v>46030</v>
      </c>
      <c r="F40" s="13" t="inlineStr">
        <is>
          <t>Ay, dove dos Santos e Siva, 2659 - Pigarra - 64017045 - Teresina (Pl)</t>
        </is>
      </c>
      <c r="G40" s="16" t="n"/>
      <c r="H40" s="13" t="inlineStr">
        <is>
          <t>Não somar como nova compra</t>
        </is>
      </c>
      <c r="I40" s="13" t="inlineStr"/>
      <c r="J40" s="15" t="inlineStr"/>
      <c r="K40" s="15" t="inlineStr">
        <is>
          <t>NOTAS FISCAIS DE COMPRA JANEIRO 2026.pdf - p. 141</t>
        </is>
      </c>
    </row>
    <row r="41">
      <c r="A41" s="13" t="inlineStr">
        <is>
          <t>JAN26-P142</t>
        </is>
      </c>
      <c r="B41" s="13" t="n">
        <v>142</v>
      </c>
      <c r="C41" s="13" t="inlineStr">
        <is>
          <t>Ordem de Servico</t>
        </is>
      </c>
      <c r="D41" s="13" t="inlineStr"/>
      <c r="E41" s="25" t="n">
        <v>46030</v>
      </c>
      <c r="F41" s="13" t="inlineStr">
        <is>
          <t>Congultor,: TPI070 ~ MARCO VINECIO MARTINS DE OLIVEIRA MELO / Central de Recursos</t>
        </is>
      </c>
      <c r="G41" s="16" t="n"/>
      <c r="H41" s="13" t="inlineStr">
        <is>
          <t>Não somar como nova compra</t>
        </is>
      </c>
      <c r="I41" s="13" t="inlineStr"/>
      <c r="J41" s="15" t="inlineStr"/>
      <c r="K41" s="15" t="inlineStr">
        <is>
          <t>NOTAS FISCAIS DE COMPRA JANEIRO 2026.pdf - p. 142</t>
        </is>
      </c>
    </row>
    <row r="42">
      <c r="A42" s="13" t="inlineStr">
        <is>
          <t>JAN26-P146</t>
        </is>
      </c>
      <c r="B42" s="13" t="n">
        <v>146</v>
      </c>
      <c r="C42" s="13" t="inlineStr">
        <is>
          <t>Fatura/Reembolso</t>
        </is>
      </c>
      <c r="D42" s="13" t="inlineStr">
        <is>
          <t>67178532</t>
        </is>
      </c>
      <c r="E42" s="25" t="n">
        <v>46020</v>
      </c>
      <c r="F42" s="13" t="inlineStr">
        <is>
          <t>TICKET LOG / EDENRED SOLUCOES INSTITUICAO DE PAGAMENTO HA S.A.</t>
        </is>
      </c>
      <c r="G42" s="16" t="n">
        <v>358.58</v>
      </c>
      <c r="H42" s="13" t="inlineStr">
        <is>
          <t>Revisar tratamento contábil/fiscal</t>
        </is>
      </c>
      <c r="I42" s="13" t="inlineStr"/>
      <c r="J42" s="15" t="inlineStr">
        <is>
          <t>Fatura/reembolso: verificar documento fiscal de origem e tratamento contábil.</t>
        </is>
      </c>
      <c r="K42" s="15" t="inlineStr">
        <is>
          <t>NOTAS FISCAIS DE COMPRA JANEIRO 2026.pdf - p. 146</t>
        </is>
      </c>
    </row>
    <row r="43">
      <c r="A43" s="13" t="inlineStr">
        <is>
          <t>JAN26-P151</t>
        </is>
      </c>
      <c r="B43" s="13" t="n">
        <v>151</v>
      </c>
      <c r="C43" s="13" t="inlineStr">
        <is>
          <t>Outros/Documento</t>
        </is>
      </c>
      <c r="D43" s="13" t="inlineStr"/>
      <c r="E43" s="25" t="n"/>
      <c r="F43" s="13" t="inlineStr">
        <is>
          <t>[lacie rsrr CIAL DE'TRBUTACAG- Ret sa a ontestnas, gh CARGA</t>
        </is>
      </c>
      <c r="G43" s="16" t="n"/>
      <c r="H43" s="13" t="inlineStr">
        <is>
          <t>Não somar como nova compra</t>
        </is>
      </c>
      <c r="I43" s="13" t="inlineStr"/>
      <c r="J43" s="15" t="inlineStr"/>
      <c r="K43" s="15" t="inlineStr">
        <is>
          <t>NOTAS FISCAIS DE COMPRA JANEIRO 2026.pdf - p. 151</t>
        </is>
      </c>
    </row>
    <row r="44">
      <c r="A44" s="13" t="inlineStr">
        <is>
          <t>JAN26-P152</t>
        </is>
      </c>
      <c r="B44" s="13" t="n">
        <v>152</v>
      </c>
      <c r="C44" s="13" t="inlineStr">
        <is>
          <t>Outros/Documento</t>
        </is>
      </c>
      <c r="D44" s="13" t="inlineStr"/>
      <c r="E44" s="25" t="n"/>
      <c r="F44" s="13" t="inlineStr">
        <is>
          <t>| eecomeaciooecaieamouron” | itteca samoue’ | .</t>
        </is>
      </c>
      <c r="G44" s="16" t="n"/>
      <c r="H44" s="13" t="inlineStr">
        <is>
          <t>Não somar como nova compra</t>
        </is>
      </c>
      <c r="I44" s="13" t="inlineStr"/>
      <c r="J44" s="15" t="inlineStr"/>
      <c r="K44" s="15" t="inlineStr">
        <is>
          <t>NOTAS FISCAIS DE COMPRA JANEIRO 2026.pdf - p. 152</t>
        </is>
      </c>
    </row>
    <row r="45">
      <c r="A45" s="13" t="inlineStr">
        <is>
          <t>JAN26-P160</t>
        </is>
      </c>
      <c r="B45" s="13" t="n">
        <v>160</v>
      </c>
      <c r="C45" s="13" t="inlineStr">
        <is>
          <t>Boleto/Financeiro</t>
        </is>
      </c>
      <c r="D45" s="13" t="inlineStr"/>
      <c r="E45" s="25" t="n">
        <v>46028</v>
      </c>
      <c r="F45" s="13" t="inlineStr">
        <is>
          <t>petctinte mentors Aas ergnn tote Hheoo Documenio Valor RS So</t>
        </is>
      </c>
      <c r="G45" s="16" t="n"/>
      <c r="H45" s="13" t="inlineStr">
        <is>
          <t>Não somar como nova compra</t>
        </is>
      </c>
      <c r="I45" s="13" t="inlineStr"/>
      <c r="J45" s="15" t="inlineStr"/>
      <c r="K45" s="15" t="inlineStr">
        <is>
          <t>NOTAS FISCAIS DE COMPRA JANEIRO 2026.pdf - p. 160</t>
        </is>
      </c>
    </row>
    <row r="46">
      <c r="A46" s="13" t="inlineStr">
        <is>
          <t>JAN26-P168</t>
        </is>
      </c>
      <c r="B46" s="13" t="n">
        <v>168</v>
      </c>
      <c r="C46" s="13" t="inlineStr">
        <is>
          <t>Outros/Documento</t>
        </is>
      </c>
      <c r="D46" s="13" t="inlineStr"/>
      <c r="E46" s="25" t="n"/>
      <c r="F46" s="13" t="inlineStr">
        <is>
          <t>Pre cians ag EE gf IEE ggg [NBR [ MeO |</t>
        </is>
      </c>
      <c r="G46" s="16" t="n"/>
      <c r="H46" s="13" t="inlineStr">
        <is>
          <t>Não somar como nova compra</t>
        </is>
      </c>
      <c r="I46" s="13" t="inlineStr"/>
      <c r="J46" s="15" t="inlineStr"/>
      <c r="K46" s="15" t="inlineStr">
        <is>
          <t>NOTAS FISCAIS DE COMPRA JANEIRO 2026.pdf - p. 168</t>
        </is>
      </c>
    </row>
    <row r="47">
      <c r="A47" s="13" t="inlineStr">
        <is>
          <t>JAN26-P170</t>
        </is>
      </c>
      <c r="B47" s="13" t="n">
        <v>170</v>
      </c>
      <c r="C47" s="13" t="inlineStr">
        <is>
          <t>Outros/Documento</t>
        </is>
      </c>
      <c r="D47" s="13" t="inlineStr"/>
      <c r="E47" s="25" t="n"/>
      <c r="F47" s="13" t="inlineStr">
        <is>
          <t>PSOE PRES BUSTA DE GOMEREID LTDA care anon</t>
        </is>
      </c>
      <c r="G47" s="16" t="n"/>
      <c r="H47" s="13" t="inlineStr">
        <is>
          <t>Não somar como nova compra</t>
        </is>
      </c>
      <c r="I47" s="13" t="inlineStr"/>
      <c r="J47" s="15" t="inlineStr"/>
      <c r="K47" s="15" t="inlineStr">
        <is>
          <t>NOTAS FISCAIS DE COMPRA JANEIRO 2026.pdf - p. 170</t>
        </is>
      </c>
    </row>
    <row r="48">
      <c r="A48" s="13" t="inlineStr">
        <is>
          <t>JAN26-P171</t>
        </is>
      </c>
      <c r="B48" s="13" t="n">
        <v>171</v>
      </c>
      <c r="C48" s="13" t="inlineStr">
        <is>
          <t>Outros/Documento</t>
        </is>
      </c>
      <c r="D48" s="13" t="inlineStr"/>
      <c r="E48" s="25" t="n"/>
      <c r="F48" s="13" t="inlineStr">
        <is>
          <t>Sica ENGENIIARIA IND E COMERCIO LTDA [Fissenssooon.sy [Su 1aae</t>
        </is>
      </c>
      <c r="G48" s="16" t="n"/>
      <c r="H48" s="13" t="inlineStr">
        <is>
          <t>Não somar como nova compra</t>
        </is>
      </c>
      <c r="I48" s="13" t="inlineStr"/>
      <c r="J48" s="15" t="inlineStr"/>
      <c r="K48" s="15" t="inlineStr">
        <is>
          <t>NOTAS FISCAIS DE COMPRA JANEIRO 2026.pdf - p. 171</t>
        </is>
      </c>
    </row>
    <row r="49">
      <c r="A49" s="13" t="inlineStr">
        <is>
          <t>JAN26-P172</t>
        </is>
      </c>
      <c r="B49" s="13" t="n">
        <v>172</v>
      </c>
      <c r="C49" s="13" t="inlineStr">
        <is>
          <t>Outros/Documento</t>
        </is>
      </c>
      <c r="D49" s="13" t="inlineStr"/>
      <c r="E49" s="25" t="n"/>
      <c r="F49" s="13" t="inlineStr">
        <is>
          <t>VENDA DE MERCADORIA ABOUIRIDA SrzeOnLteI28 FDINET TRIES</t>
        </is>
      </c>
      <c r="G49" s="16" t="n"/>
      <c r="H49" s="13" t="inlineStr">
        <is>
          <t>Não somar como nova compra</t>
        </is>
      </c>
      <c r="I49" s="13" t="inlineStr"/>
      <c r="J49" s="15" t="inlineStr"/>
      <c r="K49" s="15" t="inlineStr">
        <is>
          <t>NOTAS FISCAIS DE COMPRA JANEIRO 2026.pdf - p. 172</t>
        </is>
      </c>
    </row>
    <row r="50">
      <c r="A50" s="13" t="inlineStr">
        <is>
          <t>JAN26-P173</t>
        </is>
      </c>
      <c r="B50" s="13" t="n">
        <v>173</v>
      </c>
      <c r="C50" s="13" t="inlineStr">
        <is>
          <t>Outros/Documento</t>
        </is>
      </c>
      <c r="D50" s="13" t="inlineStr"/>
      <c r="E50" s="25" t="n">
        <v>46065</v>
      </c>
      <c r="F50" s="13" t="inlineStr">
        <is>
          <t>[FNOERECL AVENIDA SAO FRANCISCO, 4000/D - EXTREMA- TERESINA - PI - 64076-450</t>
        </is>
      </c>
      <c r="G50" s="16" t="n"/>
      <c r="H50" s="13" t="inlineStr">
        <is>
          <t>Não somar como nova compra</t>
        </is>
      </c>
      <c r="I50" s="13" t="inlineStr"/>
      <c r="J50" s="15" t="inlineStr"/>
      <c r="K50" s="15" t="inlineStr">
        <is>
          <t>NOTAS FISCAIS DE COMPRA JANEIRO 2026.pdf - p. 173</t>
        </is>
      </c>
    </row>
    <row r="51">
      <c r="A51" s="13" t="inlineStr">
        <is>
          <t>JAN26-P176</t>
        </is>
      </c>
      <c r="B51" s="13" t="n">
        <v>176</v>
      </c>
      <c r="C51" s="13" t="inlineStr">
        <is>
          <t>Outros/Documento</t>
        </is>
      </c>
      <c r="D51" s="13" t="inlineStr"/>
      <c r="E51" s="25" t="n"/>
      <c r="F51" s="13" t="inlineStr">
        <is>
          <t>FORAEGEDORA CAMINHOER COMERCHO E SERVIC _— —_ at</t>
        </is>
      </c>
      <c r="G51" s="16" t="n"/>
      <c r="H51" s="13" t="inlineStr">
        <is>
          <t>Não somar como nova compra</t>
        </is>
      </c>
      <c r="I51" s="13" t="inlineStr"/>
      <c r="J51" s="15" t="inlineStr"/>
      <c r="K51" s="15" t="inlineStr">
        <is>
          <t>NOTAS FISCAIS DE COMPRA JANEIRO 2026.pdf - p. 176</t>
        </is>
      </c>
    </row>
    <row r="52">
      <c r="A52" s="13" t="inlineStr">
        <is>
          <t>JAN26-P179</t>
        </is>
      </c>
      <c r="B52" s="13" t="n">
        <v>179</v>
      </c>
      <c r="C52" s="13" t="inlineStr">
        <is>
          <t>Outros/Documento</t>
        </is>
      </c>
      <c r="D52" s="13" t="inlineStr"/>
      <c r="E52" s="25" t="n"/>
      <c r="F52" s="13" t="inlineStr">
        <is>
          <t>SRAL ENGENEARIAINDUSTRIA E COMERGIO LTDA. Enancet crupokatingymelicom</t>
        </is>
      </c>
      <c r="G52" s="16" t="n"/>
      <c r="H52" s="13" t="inlineStr">
        <is>
          <t>Não somar como nova compra</t>
        </is>
      </c>
      <c r="I52" s="13" t="inlineStr"/>
      <c r="J52" s="15" t="inlineStr"/>
      <c r="K52" s="15" t="inlineStr">
        <is>
          <t>NOTAS FISCAIS DE COMPRA JANEIRO 2026.pdf - p. 179</t>
        </is>
      </c>
    </row>
    <row r="53">
      <c r="A53" s="13" t="inlineStr">
        <is>
          <t>JAN26-P187</t>
        </is>
      </c>
      <c r="B53" s="13" t="n">
        <v>187</v>
      </c>
      <c r="C53" s="13" t="inlineStr">
        <is>
          <t>Outros/Documento</t>
        </is>
      </c>
      <c r="D53" s="13" t="inlineStr"/>
      <c r="E53" s="25" t="n"/>
      <c r="F53" s="13" t="inlineStr">
        <is>
          <t>‘VENDA DE MERGADORIAS SLVEITA AO REGIME DE ST. - SUBSTITUIDO. Seon zacia020 08:98:63</t>
        </is>
      </c>
      <c r="G53" s="16" t="n"/>
      <c r="H53" s="13" t="inlineStr">
        <is>
          <t>Não somar como nova compra</t>
        </is>
      </c>
      <c r="I53" s="13" t="inlineStr"/>
      <c r="J53" s="15" t="inlineStr"/>
      <c r="K53" s="15" t="inlineStr">
        <is>
          <t>NOTAS FISCAIS DE COMPRA JANEIRO 2026.pdf - p. 187</t>
        </is>
      </c>
    </row>
    <row r="54">
      <c r="A54" s="13" t="inlineStr">
        <is>
          <t>JAN26-P192</t>
        </is>
      </c>
      <c r="B54" s="13" t="n">
        <v>192</v>
      </c>
      <c r="C54" s="13" t="inlineStr">
        <is>
          <t>Outros/Documento</t>
        </is>
      </c>
      <c r="D54" s="13" t="inlineStr"/>
      <c r="E54" s="25" t="n">
        <v>46052</v>
      </c>
      <c r="F54" s="13" t="inlineStr">
        <is>
          <t>VENDA DE MERCADORIA ADQUIRIDA OU RECEBIDA DE TERCE. ZTIIROGTITOSAS «30792006 07:48:53</t>
        </is>
      </c>
      <c r="G54" s="16" t="n"/>
      <c r="H54" s="13" t="inlineStr">
        <is>
          <t>Não somar como nova compra</t>
        </is>
      </c>
      <c r="I54" s="13" t="inlineStr"/>
      <c r="J54" s="15" t="inlineStr"/>
      <c r="K54" s="15" t="inlineStr">
        <is>
          <t>NOTAS FISCAIS DE COMPRA JANEIRO 2026.pdf - p. 192</t>
        </is>
      </c>
    </row>
    <row r="55">
      <c r="A55" s="13" t="inlineStr">
        <is>
          <t>JAN26-P197</t>
        </is>
      </c>
      <c r="B55" s="13" t="n">
        <v>197</v>
      </c>
      <c r="C55" s="13" t="inlineStr">
        <is>
          <t>Outros/Documento</t>
        </is>
      </c>
      <c r="D55" s="13" t="inlineStr"/>
      <c r="E55" s="25" t="n">
        <v>46029</v>
      </c>
      <c r="F55" s="13" t="inlineStr">
        <is>
          <t>RUA SAO FRANCISCO, 4000 TANCREDO NEVES 4976-038 Jo7/01/2026_</t>
        </is>
      </c>
      <c r="G55" s="16" t="n"/>
      <c r="H55" s="13" t="inlineStr">
        <is>
          <t>Não somar como nova compra</t>
        </is>
      </c>
      <c r="I55" s="13" t="inlineStr"/>
      <c r="J55" s="15" t="inlineStr"/>
      <c r="K55" s="15" t="inlineStr">
        <is>
          <t>NOTAS FISCAIS DE COMPRA JANEIRO 2026.pdf - p. 197</t>
        </is>
      </c>
    </row>
    <row r="56">
      <c r="A56" s="13" t="inlineStr">
        <is>
          <t>JAN26-P198</t>
        </is>
      </c>
      <c r="B56" s="13" t="n">
        <v>198</v>
      </c>
      <c r="C56" s="13" t="inlineStr">
        <is>
          <t>Outros/Documento</t>
        </is>
      </c>
      <c r="D56" s="13" t="inlineStr"/>
      <c r="E56" s="25" t="n">
        <v>46029</v>
      </c>
      <c r="F56" s="13" t="inlineStr">
        <is>
          <t>RYAchaisr SAO PAINOWDO TERESTHA = f° 000.203.010 | COOeIs Zo ttea genuneipced oo a tate Ge So</t>
        </is>
      </c>
      <c r="G56" s="16" t="n"/>
      <c r="H56" s="13" t="inlineStr">
        <is>
          <t>Não somar como nova compra</t>
        </is>
      </c>
      <c r="I56" s="13" t="inlineStr"/>
      <c r="J56" s="15" t="inlineStr"/>
      <c r="K56" s="15" t="inlineStr">
        <is>
          <t>NOTAS FISCAIS DE COMPRA JANEIRO 2026.pdf - p. 198</t>
        </is>
      </c>
    </row>
    <row r="57">
      <c r="A57" s="13" t="inlineStr">
        <is>
          <t>JAN26-P204</t>
        </is>
      </c>
      <c r="B57" s="13" t="n">
        <v>204</v>
      </c>
      <c r="C57" s="13" t="inlineStr">
        <is>
          <t>Separador/Anotacao</t>
        </is>
      </c>
      <c r="D57" s="13" t="inlineStr"/>
      <c r="E57" s="25" t="n"/>
      <c r="F57" s="13" t="inlineStr"/>
      <c r="G57" s="16" t="n"/>
      <c r="H57" s="13" t="inlineStr">
        <is>
          <t>Não somar como nova compra</t>
        </is>
      </c>
      <c r="I57" s="13" t="inlineStr"/>
      <c r="J57" s="15" t="inlineStr"/>
      <c r="K57" s="15" t="inlineStr">
        <is>
          <t>NOTAS FISCAIS DE COMPRA JANEIRO 2026.pdf - p. 204</t>
        </is>
      </c>
    </row>
    <row r="58">
      <c r="A58" s="13" t="inlineStr">
        <is>
          <t>JAN26-P206</t>
        </is>
      </c>
      <c r="B58" s="13" t="n">
        <v>206</v>
      </c>
      <c r="C58" s="13" t="inlineStr">
        <is>
          <t>Separador/Anotacao</t>
        </is>
      </c>
      <c r="D58" s="13" t="inlineStr"/>
      <c r="E58" s="25" t="n"/>
      <c r="F58" s="13" t="inlineStr"/>
      <c r="G58" s="16" t="n"/>
      <c r="H58" s="13" t="inlineStr">
        <is>
          <t>Não somar como nova compra</t>
        </is>
      </c>
      <c r="I58" s="13" t="inlineStr"/>
      <c r="J58" s="15" t="inlineStr"/>
      <c r="K58" s="15" t="inlineStr">
        <is>
          <t>NOTAS FISCAIS DE COMPRA JANEIRO 2026.pdf - p. 206</t>
        </is>
      </c>
    </row>
    <row r="59">
      <c r="A59" s="13" t="inlineStr">
        <is>
          <t>JAN26-P207</t>
        </is>
      </c>
      <c r="B59" s="13" t="n">
        <v>207</v>
      </c>
      <c r="C59" s="13" t="inlineStr">
        <is>
          <t>Outros/Documento</t>
        </is>
      </c>
      <c r="D59" s="13" t="inlineStr"/>
      <c r="E59" s="25" t="n"/>
      <c r="F59" s="13" t="inlineStr">
        <is>
          <t>‘OATAE DORADA BORESSAG GT anBOORO HE “GoOeR PRO - dom Save ae</t>
        </is>
      </c>
      <c r="G59" s="16" t="n"/>
      <c r="H59" s="13" t="inlineStr">
        <is>
          <t>Não somar como nova compra</t>
        </is>
      </c>
      <c r="I59" s="13" t="inlineStr"/>
      <c r="J59" s="15" t="inlineStr"/>
      <c r="K59" s="15" t="inlineStr">
        <is>
          <t>NOTAS FISCAIS DE COMPRA JANEIRO 2026.pdf - p. 207</t>
        </is>
      </c>
    </row>
    <row r="60">
      <c r="A60" s="13" t="inlineStr">
        <is>
          <t>JAN26-P209</t>
        </is>
      </c>
      <c r="B60" s="13" t="n">
        <v>209</v>
      </c>
      <c r="C60" s="13" t="inlineStr">
        <is>
          <t>Separador/Anotacao</t>
        </is>
      </c>
      <c r="D60" s="13" t="inlineStr"/>
      <c r="E60" s="25" t="n"/>
      <c r="F60" s="13" t="inlineStr"/>
      <c r="G60" s="16" t="n"/>
      <c r="H60" s="13" t="inlineStr">
        <is>
          <t>Não somar como nova compra</t>
        </is>
      </c>
      <c r="I60" s="13" t="inlineStr"/>
      <c r="J60" s="15" t="inlineStr"/>
      <c r="K60" s="15" t="inlineStr">
        <is>
          <t>NOTAS FISCAIS DE COMPRA JANEIRO 2026.pdf - p. 209</t>
        </is>
      </c>
    </row>
    <row r="61">
      <c r="A61" s="13" t="inlineStr">
        <is>
          <t>JAN26-P210</t>
        </is>
      </c>
      <c r="B61" s="13" t="n">
        <v>210</v>
      </c>
      <c r="C61" s="13" t="inlineStr">
        <is>
          <t>Outros/Documento</t>
        </is>
      </c>
      <c r="D61" s="13" t="inlineStr"/>
      <c r="E61" s="25" t="n">
        <v>46030</v>
      </c>
      <c r="F61" s="13" t="inlineStr">
        <is>
          <t>[ENDER SADRODETRTO</t>
        </is>
      </c>
      <c r="G61" s="16" t="n"/>
      <c r="H61" s="13" t="inlineStr">
        <is>
          <t>Não somar como nova compra</t>
        </is>
      </c>
      <c r="I61" s="13" t="inlineStr"/>
      <c r="J61" s="15" t="inlineStr"/>
      <c r="K61" s="15" t="inlineStr">
        <is>
          <t>NOTAS FISCAIS DE COMPRA JANEIRO 2026.pdf - p. 210</t>
        </is>
      </c>
    </row>
    <row r="62">
      <c r="A62" s="13" t="inlineStr">
        <is>
          <t>JAN26-P211</t>
        </is>
      </c>
      <c r="B62" s="13" t="n">
        <v>211</v>
      </c>
      <c r="C62" s="13" t="inlineStr">
        <is>
          <t>Separador/Anotacao</t>
        </is>
      </c>
      <c r="D62" s="13" t="inlineStr"/>
      <c r="E62" s="25" t="n"/>
      <c r="F62" s="13" t="inlineStr"/>
      <c r="G62" s="16" t="n"/>
      <c r="H62" s="13" t="inlineStr">
        <is>
          <t>Não somar como nova compra</t>
        </is>
      </c>
      <c r="I62" s="13" t="inlineStr"/>
      <c r="J62" s="15" t="inlineStr"/>
      <c r="K62" s="15" t="inlineStr">
        <is>
          <t>NOTAS FISCAIS DE COMPRA JANEIRO 2026.pdf - p. 211</t>
        </is>
      </c>
    </row>
    <row r="63">
      <c r="A63" s="13" t="inlineStr">
        <is>
          <t>JAN26-P213</t>
        </is>
      </c>
      <c r="B63" s="13" t="n">
        <v>213</v>
      </c>
      <c r="C63" s="13" t="inlineStr">
        <is>
          <t>Outros/Documento</t>
        </is>
      </c>
      <c r="D63" s="13" t="inlineStr"/>
      <c r="E63" s="25" t="n"/>
      <c r="F63" s="13" t="inlineStr">
        <is>
          <t>Saison sale 5] 2) tl Se) wa ia] te</t>
        </is>
      </c>
      <c r="G63" s="16" t="n"/>
      <c r="H63" s="13" t="inlineStr">
        <is>
          <t>Não somar como nova compra</t>
        </is>
      </c>
      <c r="I63" s="13" t="inlineStr"/>
      <c r="J63" s="15" t="inlineStr"/>
      <c r="K63" s="15" t="inlineStr">
        <is>
          <t>NOTAS FISCAIS DE COMPRA JANEIRO 2026.pdf - p. 213</t>
        </is>
      </c>
    </row>
    <row r="64">
      <c r="A64" s="13" t="inlineStr">
        <is>
          <t>JAN26-P214</t>
        </is>
      </c>
      <c r="B64" s="13" t="n">
        <v>214</v>
      </c>
      <c r="C64" s="13" t="inlineStr">
        <is>
          <t>Outros/Documento</t>
        </is>
      </c>
      <c r="D64" s="13" t="inlineStr"/>
      <c r="E64" s="25" t="n"/>
      <c r="F64" s="13" t="inlineStr">
        <is>
          <t>‘VL Operagiio nfo Reslizada, manifestagdo do destinatério recanhecendo sua participagse na operagia descrita na NF-e, mas deciarando que 8 opera¢so</t>
        </is>
      </c>
      <c r="G64" s="16" t="n"/>
      <c r="H64" s="13" t="inlineStr">
        <is>
          <t>Não somar como nova compra</t>
        </is>
      </c>
      <c r="I64" s="13" t="inlineStr"/>
      <c r="J64" s="15" t="inlineStr"/>
      <c r="K64" s="15" t="inlineStr">
        <is>
          <t>NOTAS FISCAIS DE COMPRA JANEIRO 2026.pdf - p. 214</t>
        </is>
      </c>
    </row>
    <row r="65">
      <c r="A65" s="13" t="inlineStr">
        <is>
          <t>JAN26-P216</t>
        </is>
      </c>
      <c r="B65" s="13" t="n">
        <v>216</v>
      </c>
      <c r="C65" s="13" t="inlineStr">
        <is>
          <t>Outros/Documento</t>
        </is>
      </c>
      <c r="D65" s="13" t="inlineStr"/>
      <c r="E65" s="25" t="n"/>
      <c r="F65" s="13" t="inlineStr">
        <is>
          <t>|SREGA prox ENGENVARIA NDUSTRIAE GOWEROID LTDA. AVENTONSAGFRANGIEGD, OUD “EXTREVA™ | BSEMINEPAL</t>
        </is>
      </c>
      <c r="G65" s="16" t="n"/>
      <c r="H65" s="13" t="inlineStr">
        <is>
          <t>Não somar como nova compra</t>
        </is>
      </c>
      <c r="I65" s="13" t="inlineStr"/>
      <c r="J65" s="15" t="inlineStr"/>
      <c r="K65" s="15" t="inlineStr">
        <is>
          <t>NOTAS FISCAIS DE COMPRA JANEIRO 2026.pdf - p. 216</t>
        </is>
      </c>
    </row>
    <row r="66">
      <c r="A66" s="13" t="inlineStr">
        <is>
          <t>JAN26-P218</t>
        </is>
      </c>
      <c r="B66" s="13" t="n">
        <v>218</v>
      </c>
      <c r="C66" s="13" t="inlineStr">
        <is>
          <t>Outros/Documento</t>
        </is>
      </c>
      <c r="D66" s="13" t="inlineStr"/>
      <c r="E66" s="25" t="n"/>
      <c r="F66" s="13" t="inlineStr">
        <is>
          <t>frame cornu TOOT me TREATS</t>
        </is>
      </c>
      <c r="G66" s="16" t="n"/>
      <c r="H66" s="13" t="inlineStr">
        <is>
          <t>Não somar como nova compra</t>
        </is>
      </c>
      <c r="I66" s="13" t="inlineStr"/>
      <c r="J66" s="15" t="inlineStr"/>
      <c r="K66" s="15" t="inlineStr">
        <is>
          <t>NOTAS FISCAIS DE COMPRA JANEIRO 2026.pdf - p. 218</t>
        </is>
      </c>
    </row>
    <row r="67">
      <c r="A67" s="13" t="inlineStr">
        <is>
          <t>JAN26-P219</t>
        </is>
      </c>
      <c r="B67" s="13" t="n">
        <v>219</v>
      </c>
      <c r="C67" s="13" t="inlineStr">
        <is>
          <t>Separador/Anotacao</t>
        </is>
      </c>
      <c r="D67" s="13" t="inlineStr"/>
      <c r="E67" s="25" t="n"/>
      <c r="F67" s="13" t="inlineStr"/>
      <c r="G67" s="16" t="n"/>
      <c r="H67" s="13" t="inlineStr">
        <is>
          <t>Não somar como nova compra</t>
        </is>
      </c>
      <c r="I67" s="13" t="inlineStr"/>
      <c r="J67" s="15" t="inlineStr"/>
      <c r="K67" s="15" t="inlineStr">
        <is>
          <t>NOTAS FISCAIS DE COMPRA JANEIRO 2026.pdf - p. 219</t>
        </is>
      </c>
    </row>
    <row r="68">
      <c r="A68" s="13" t="inlineStr">
        <is>
          <t>JAN26-P221</t>
        </is>
      </c>
      <c r="B68" s="13" t="n">
        <v>221</v>
      </c>
      <c r="C68" s="13" t="inlineStr">
        <is>
          <t>Outros/Documento</t>
        </is>
      </c>
      <c r="D68" s="13" t="inlineStr"/>
      <c r="E68" s="25" t="n">
        <v>46034</v>
      </c>
      <c r="F68" s="13" t="inlineStr">
        <is>
          <t>SERIE 001 | wonwate fazenda gov beponal ou oo sie da Sefaz Autorizadora</t>
        </is>
      </c>
      <c r="G68" s="16" t="n"/>
      <c r="H68" s="13" t="inlineStr">
        <is>
          <t>Não somar como nova compra</t>
        </is>
      </c>
      <c r="I68" s="13" t="inlineStr"/>
      <c r="J68" s="15" t="inlineStr"/>
      <c r="K68" s="15" t="inlineStr">
        <is>
          <t>NOTAS FISCAIS DE COMPRA JANEIRO 2026.pdf - p. 221</t>
        </is>
      </c>
    </row>
    <row r="69">
      <c r="A69" s="13" t="inlineStr">
        <is>
          <t>JAN26-P222</t>
        </is>
      </c>
      <c r="B69" s="13" t="n">
        <v>222</v>
      </c>
      <c r="C69" s="13" t="inlineStr">
        <is>
          <t>Outros/Documento</t>
        </is>
      </c>
      <c r="D69" s="13" t="inlineStr"/>
      <c r="E69" s="25" t="n">
        <v>46035</v>
      </c>
      <c r="F69" s="13" t="inlineStr">
        <is>
          <t>S| xxamioconconenno | St [or|omm] am | aor | Ga | Sat pewsmne] amcinn|ncenn | ace [oma</t>
        </is>
      </c>
      <c r="G69" s="16" t="n"/>
      <c r="H69" s="13" t="inlineStr">
        <is>
          <t>Não somar como nova compra</t>
        </is>
      </c>
      <c r="I69" s="13" t="inlineStr"/>
      <c r="J69" s="15" t="inlineStr"/>
      <c r="K69" s="15" t="inlineStr">
        <is>
          <t>NOTAS FISCAIS DE COMPRA JANEIRO 2026.pdf - p. 222</t>
        </is>
      </c>
    </row>
    <row r="70">
      <c r="A70" s="13" t="inlineStr">
        <is>
          <t>JAN26-P225</t>
        </is>
      </c>
      <c r="B70" s="13" t="n">
        <v>225</v>
      </c>
      <c r="C70" s="13" t="inlineStr">
        <is>
          <t>Outros/Documento</t>
        </is>
      </c>
      <c r="D70" s="13" t="inlineStr"/>
      <c r="E70" s="25" t="n">
        <v>46035</v>
      </c>
      <c r="F70" s="13" t="inlineStr">
        <is>
          <t>VENDA DE MERCADORIA (DENTRO DO ESTADO)</t>
        </is>
      </c>
      <c r="G70" s="16" t="n"/>
      <c r="H70" s="13" t="inlineStr">
        <is>
          <t>Não somar como nova compra</t>
        </is>
      </c>
      <c r="I70" s="13" t="inlineStr"/>
      <c r="J70" s="15" t="inlineStr"/>
      <c r="K70" s="15" t="inlineStr">
        <is>
          <t>NOTAS FISCAIS DE COMPRA JANEIRO 2026.pdf - p. 225</t>
        </is>
      </c>
    </row>
    <row r="71">
      <c r="A71" s="13" t="inlineStr">
        <is>
          <t>JAN26-P227</t>
        </is>
      </c>
      <c r="B71" s="13" t="n">
        <v>227</v>
      </c>
      <c r="C71" s="13" t="inlineStr">
        <is>
          <t>Outros/Documento</t>
        </is>
      </c>
      <c r="D71" s="13" t="inlineStr"/>
      <c r="E71" s="25" t="n"/>
      <c r="F71" s="13" t="inlineStr">
        <is>
          <t>[uns Barca de Menor. de Sevict ‘eziean 30058 19UN INDO: i</t>
        </is>
      </c>
      <c r="G71" s="16" t="n"/>
      <c r="H71" s="13" t="inlineStr">
        <is>
          <t>Não somar como nova compra</t>
        </is>
      </c>
      <c r="I71" s="13" t="inlineStr"/>
      <c r="J71" s="15" t="inlineStr"/>
      <c r="K71" s="15" t="inlineStr">
        <is>
          <t>NOTAS FISCAIS DE COMPRA JANEIRO 2026.pdf - p. 227</t>
        </is>
      </c>
    </row>
    <row r="72">
      <c r="A72" s="13" t="inlineStr">
        <is>
          <t>JAN26-P229</t>
        </is>
      </c>
      <c r="B72" s="13" t="n">
        <v>229</v>
      </c>
      <c r="C72" s="13" t="inlineStr">
        <is>
          <t>Outros/Documento</t>
        </is>
      </c>
      <c r="D72" s="13" t="inlineStr"/>
      <c r="E72" s="25" t="n"/>
      <c r="F72" s="13" t="inlineStr">
        <is>
          <t>tren eee FP esween Pr bieaaioessemaascnens [ eameeewemvune |</t>
        </is>
      </c>
      <c r="G72" s="16" t="n"/>
      <c r="H72" s="13" t="inlineStr">
        <is>
          <t>Não somar como nova compra</t>
        </is>
      </c>
      <c r="I72" s="13" t="inlineStr"/>
      <c r="J72" s="15" t="inlineStr"/>
      <c r="K72" s="15" t="inlineStr">
        <is>
          <t>NOTAS FISCAIS DE COMPRA JANEIRO 2026.pdf - p. 229</t>
        </is>
      </c>
    </row>
    <row r="73">
      <c r="A73" s="13" t="inlineStr">
        <is>
          <t>JAN26-P232</t>
        </is>
      </c>
      <c r="B73" s="13" t="n">
        <v>232</v>
      </c>
      <c r="C73" s="13" t="inlineStr">
        <is>
          <t>Separador/Anotacao</t>
        </is>
      </c>
      <c r="D73" s="13" t="inlineStr"/>
      <c r="E73" s="25" t="n"/>
      <c r="F73" s="13" t="inlineStr"/>
      <c r="G73" s="16" t="n"/>
      <c r="H73" s="13" t="inlineStr">
        <is>
          <t>Não somar como nova compra</t>
        </is>
      </c>
      <c r="I73" s="13" t="inlineStr"/>
      <c r="J73" s="15" t="inlineStr"/>
      <c r="K73" s="15" t="inlineStr">
        <is>
          <t>NOTAS FISCAIS DE COMPRA JANEIRO 2026.pdf - p. 232</t>
        </is>
      </c>
    </row>
    <row r="74">
      <c r="A74" s="13" t="inlineStr">
        <is>
          <t>JAN26-P233</t>
        </is>
      </c>
      <c r="B74" s="13" t="n">
        <v>233</v>
      </c>
      <c r="C74" s="13" t="inlineStr">
        <is>
          <t>Outros/Documento</t>
        </is>
      </c>
      <c r="D74" s="13" t="inlineStr"/>
      <c r="E74" s="25" t="n"/>
      <c r="F74" s="13" t="inlineStr">
        <is>
          <t>‘TERESINA DISTRIBUIDORA DE PROD DE LIMPEZ | oss sur</t>
        </is>
      </c>
      <c r="G74" s="16" t="n"/>
      <c r="H74" s="13" t="inlineStr">
        <is>
          <t>Não somar como nova compra</t>
        </is>
      </c>
      <c r="I74" s="13" t="inlineStr"/>
      <c r="J74" s="15" t="inlineStr"/>
      <c r="K74" s="15" t="inlineStr">
        <is>
          <t>NOTAS FISCAIS DE COMPRA JANEIRO 2026.pdf - p. 233</t>
        </is>
      </c>
    </row>
    <row r="75">
      <c r="A75" s="13" t="inlineStr">
        <is>
          <t>JAN26-P234</t>
        </is>
      </c>
      <c r="B75" s="13" t="n">
        <v>234</v>
      </c>
      <c r="C75" s="13" t="inlineStr">
        <is>
          <t>Outros/Documento</t>
        </is>
      </c>
      <c r="D75" s="13" t="inlineStr"/>
      <c r="E75" s="25" t="n"/>
      <c r="F75" s="13" t="inlineStr">
        <is>
          <t>Faacationpls do mestaato</t>
        </is>
      </c>
      <c r="G75" s="16" t="n"/>
      <c r="H75" s="13" t="inlineStr">
        <is>
          <t>Não somar como nova compra</t>
        </is>
      </c>
      <c r="I75" s="13" t="inlineStr"/>
      <c r="J75" s="15" t="inlineStr"/>
      <c r="K75" s="15" t="inlineStr">
        <is>
          <t>NOTAS FISCAIS DE COMPRA JANEIRO 2026.pdf - p. 234</t>
        </is>
      </c>
    </row>
    <row r="76">
      <c r="A76" s="13" t="inlineStr">
        <is>
          <t>JAN26-P235</t>
        </is>
      </c>
      <c r="B76" s="13" t="n">
        <v>235</v>
      </c>
      <c r="C76" s="13" t="inlineStr">
        <is>
          <t>Outros/Documento</t>
        </is>
      </c>
      <c r="D76" s="13" t="inlineStr"/>
      <c r="E76" s="25" t="n">
        <v>46036</v>
      </c>
      <c r="F76" s="13" t="inlineStr">
        <is>
          <t>VENDA DE MERCADORIA ADQUIRIDA OU RECEBIDA DE TERCE</t>
        </is>
      </c>
      <c r="G76" s="16" t="n"/>
      <c r="H76" s="13" t="inlineStr">
        <is>
          <t>Não somar como nova compra</t>
        </is>
      </c>
      <c r="I76" s="13" t="inlineStr"/>
      <c r="J76" s="15" t="inlineStr"/>
      <c r="K76" s="15" t="inlineStr">
        <is>
          <t>NOTAS FISCAIS DE COMPRA JANEIRO 2026.pdf - p. 235</t>
        </is>
      </c>
    </row>
    <row r="77">
      <c r="A77" s="13" t="inlineStr">
        <is>
          <t>JAN26-P238</t>
        </is>
      </c>
      <c r="B77" s="13" t="n">
        <v>238</v>
      </c>
      <c r="C77" s="13" t="inlineStr">
        <is>
          <t>Outros/Documento</t>
        </is>
      </c>
      <c r="D77" s="13" t="inlineStr"/>
      <c r="E77" s="25" t="n"/>
      <c r="F77" s="13" t="inlineStr">
        <is>
          <t>pmol FE 1 | conan de mutate ne prt nacona da a wn cnc gor 0000 oa Saas Atos</t>
        </is>
      </c>
      <c r="G77" s="16" t="n"/>
      <c r="H77" s="13" t="inlineStr">
        <is>
          <t>Não somar como nova compra</t>
        </is>
      </c>
      <c r="I77" s="13" t="inlineStr"/>
      <c r="J77" s="15" t="inlineStr"/>
      <c r="K77" s="15" t="inlineStr">
        <is>
          <t>NOTAS FISCAIS DE COMPRA JANEIRO 2026.pdf - p. 238</t>
        </is>
      </c>
    </row>
    <row r="78">
      <c r="A78" s="13" t="inlineStr">
        <is>
          <t>JAN26-P239</t>
        </is>
      </c>
      <c r="B78" s="13" t="n">
        <v>239</v>
      </c>
      <c r="C78" s="13" t="inlineStr">
        <is>
          <t>Outros/Documento</t>
        </is>
      </c>
      <c r="D78" s="13" t="inlineStr"/>
      <c r="E78" s="25" t="n"/>
      <c r="F78" s="13" t="inlineStr">
        <is>
          <t>V1~ Operagio no Realizada, menifastagio do destinalério raconhecdndo sux partcipagSo na operagio desezka na NF-e, mus dectarando qua a operagto 4</t>
        </is>
      </c>
      <c r="G78" s="16" t="n"/>
      <c r="H78" s="13" t="inlineStr">
        <is>
          <t>Não somar como nova compra</t>
        </is>
      </c>
      <c r="I78" s="13" t="inlineStr"/>
      <c r="J78" s="15" t="inlineStr"/>
      <c r="K78" s="15" t="inlineStr">
        <is>
          <t>NOTAS FISCAIS DE COMPRA JANEIRO 2026.pdf - p. 239</t>
        </is>
      </c>
    </row>
    <row r="79">
      <c r="A79" s="13" t="inlineStr">
        <is>
          <t>JAN26-P240</t>
        </is>
      </c>
      <c r="B79" s="13" t="n">
        <v>240</v>
      </c>
      <c r="C79" s="13" t="inlineStr">
        <is>
          <t>Outros/Documento</t>
        </is>
      </c>
      <c r="D79" s="13" t="inlineStr"/>
      <c r="E79" s="25" t="n"/>
      <c r="F79" s="13" t="inlineStr">
        <is>
          <t>Gecmmcvananovrncoourocogmn —atttooomeey mee</t>
        </is>
      </c>
      <c r="G79" s="16" t="n"/>
      <c r="H79" s="13" t="inlineStr">
        <is>
          <t>Não somar como nova compra</t>
        </is>
      </c>
      <c r="I79" s="13" t="inlineStr"/>
      <c r="J79" s="15" t="inlineStr"/>
      <c r="K79" s="15" t="inlineStr">
        <is>
          <t>NOTAS FISCAIS DE COMPRA JANEIRO 2026.pdf - p. 240</t>
        </is>
      </c>
    </row>
    <row r="80">
      <c r="A80" s="13" t="inlineStr">
        <is>
          <t>JAN26-P241</t>
        </is>
      </c>
      <c r="B80" s="13" t="n">
        <v>241</v>
      </c>
      <c r="C80" s="13" t="inlineStr">
        <is>
          <t>Outros/Documento</t>
        </is>
      </c>
      <c r="D80" s="13" t="inlineStr"/>
      <c r="E80" s="25" t="n"/>
      <c r="F80" s="13" t="inlineStr">
        <is>
          <t>«| Ros termos do Ar. 77, Pardgrafo Unico, Areno 6 da RICMSSC, as trereedaras constantes nesta Nota sca davaram de sar entregues pelo moto abaiko</t>
        </is>
      </c>
      <c r="G80" s="16" t="n"/>
      <c r="H80" s="13" t="inlineStr">
        <is>
          <t>Não somar como nova compra</t>
        </is>
      </c>
      <c r="I80" s="13" t="inlineStr"/>
      <c r="J80" s="15" t="inlineStr"/>
      <c r="K80" s="15" t="inlineStr">
        <is>
          <t>NOTAS FISCAIS DE COMPRA JANEIRO 2026.pdf - p. 241</t>
        </is>
      </c>
    </row>
    <row r="81">
      <c r="A81" s="13" t="inlineStr">
        <is>
          <t>JAN26-P243</t>
        </is>
      </c>
      <c r="B81" s="13" t="n">
        <v>243</v>
      </c>
      <c r="C81" s="13" t="inlineStr">
        <is>
          <t>Outros/Documento</t>
        </is>
      </c>
      <c r="D81" s="13" t="inlineStr"/>
      <c r="E81" s="25" t="n"/>
      <c r="F81" s="13" t="inlineStr">
        <is>
          <t>hercodots ceonsbaca na ombresn EBAZAR COMER LTDA tatabewsoas ta via Fartave, SI. Bao Baro Daa, Lavo</t>
        </is>
      </c>
      <c r="G81" s="16" t="n"/>
      <c r="H81" s="13" t="inlineStr">
        <is>
          <t>Não somar como nova compra</t>
        </is>
      </c>
      <c r="I81" s="13" t="inlineStr"/>
      <c r="J81" s="15" t="inlineStr"/>
      <c r="K81" s="15" t="inlineStr">
        <is>
          <t>NOTAS FISCAIS DE COMPRA JANEIRO 2026.pdf - p. 243</t>
        </is>
      </c>
    </row>
    <row r="82">
      <c r="A82" s="13" t="inlineStr">
        <is>
          <t>JAN26-P244</t>
        </is>
      </c>
      <c r="B82" s="13" t="n">
        <v>244</v>
      </c>
      <c r="C82" s="13" t="inlineStr">
        <is>
          <t>Outros/Documento</t>
        </is>
      </c>
      <c r="D82" s="13" t="inlineStr"/>
      <c r="E82" s="25" t="n"/>
      <c r="F82" s="13" t="inlineStr">
        <is>
          <t>eRe pp woe me or oes rs one mn wo cm om</t>
        </is>
      </c>
      <c r="G82" s="16" t="n"/>
      <c r="H82" s="13" t="inlineStr">
        <is>
          <t>Não somar como nova compra</t>
        </is>
      </c>
      <c r="I82" s="13" t="inlineStr"/>
      <c r="J82" s="15" t="inlineStr"/>
      <c r="K82" s="15" t="inlineStr">
        <is>
          <t>NOTAS FISCAIS DE COMPRA JANEIRO 2026.pdf - p. 244</t>
        </is>
      </c>
    </row>
    <row r="83">
      <c r="A83" s="13" t="inlineStr">
        <is>
          <t>JAN26-P245</t>
        </is>
      </c>
      <c r="B83" s="13" t="n">
        <v>245</v>
      </c>
      <c r="C83" s="13" t="inlineStr">
        <is>
          <t>Separador/Anotacao</t>
        </is>
      </c>
      <c r="D83" s="13" t="inlineStr"/>
      <c r="E83" s="25" t="n"/>
      <c r="F83" s="13" t="inlineStr"/>
      <c r="G83" s="16" t="n"/>
      <c r="H83" s="13" t="inlineStr">
        <is>
          <t>Não somar como nova compra</t>
        </is>
      </c>
      <c r="I83" s="13" t="inlineStr"/>
      <c r="J83" s="15" t="inlineStr"/>
      <c r="K83" s="15" t="inlineStr">
        <is>
          <t>NOTAS FISCAIS DE COMPRA JANEIRO 2026.pdf - p. 245</t>
        </is>
      </c>
    </row>
    <row r="84">
      <c r="A84" s="13" t="inlineStr">
        <is>
          <t>JAN26-P248</t>
        </is>
      </c>
      <c r="B84" s="13" t="n">
        <v>248</v>
      </c>
      <c r="C84" s="13" t="inlineStr">
        <is>
          <t>Outros/Documento</t>
        </is>
      </c>
      <c r="D84" s="13" t="inlineStr"/>
      <c r="E84" s="25" t="n">
        <v>46002</v>
      </c>
      <c r="F84" s="13" t="inlineStr">
        <is>
          <t>REFERENTS A SERVIQOS DE PUBLICIOABE PRESTADOS PARA A SEAL ENGENMARTA INDIESTRIA E-COMERCIO LTDA.</t>
        </is>
      </c>
      <c r="G84" s="16" t="n"/>
      <c r="H84" s="13" t="inlineStr">
        <is>
          <t>Não somar como nova compra</t>
        </is>
      </c>
      <c r="I84" s="13" t="inlineStr"/>
      <c r="J84" s="15" t="inlineStr"/>
      <c r="K84" s="15" t="inlineStr">
        <is>
          <t>NOTAS FISCAIS DE COMPRA JANEIRO 2026.pdf - p. 248</t>
        </is>
      </c>
    </row>
    <row r="85">
      <c r="A85" s="13" t="inlineStr">
        <is>
          <t>JAN26-P254</t>
        </is>
      </c>
      <c r="B85" s="13" t="n">
        <v>254</v>
      </c>
      <c r="C85" s="13" t="inlineStr">
        <is>
          <t>Separador/Anotacao</t>
        </is>
      </c>
      <c r="D85" s="13" t="inlineStr"/>
      <c r="E85" s="25" t="n"/>
      <c r="F85" s="13" t="inlineStr"/>
      <c r="G85" s="16" t="n"/>
      <c r="H85" s="13" t="inlineStr">
        <is>
          <t>Não somar como nova compra</t>
        </is>
      </c>
      <c r="I85" s="13" t="inlineStr"/>
      <c r="J85" s="15" t="inlineStr"/>
      <c r="K85" s="15" t="inlineStr">
        <is>
          <t>NOTAS FISCAIS DE COMPRA JANEIRO 2026.pdf - p. 254</t>
        </is>
      </c>
    </row>
    <row r="86">
      <c r="A86" s="13" t="inlineStr">
        <is>
          <t>JAN26-P256</t>
        </is>
      </c>
      <c r="B86" s="13" t="n">
        <v>256</v>
      </c>
      <c r="C86" s="13" t="inlineStr">
        <is>
          <t>Separador/Anotacao</t>
        </is>
      </c>
      <c r="D86" s="13" t="inlineStr"/>
      <c r="E86" s="25" t="n"/>
      <c r="F86" s="13" t="inlineStr"/>
      <c r="G86" s="16" t="n"/>
      <c r="H86" s="13" t="inlineStr">
        <is>
          <t>Não somar como nova compra</t>
        </is>
      </c>
      <c r="I86" s="13" t="inlineStr"/>
      <c r="J86" s="15" t="inlineStr"/>
      <c r="K86" s="15" t="inlineStr">
        <is>
          <t>NOTAS FISCAIS DE COMPRA JANEIRO 2026.pdf - p. 256</t>
        </is>
      </c>
    </row>
    <row r="87">
      <c r="A87" s="13" t="inlineStr">
        <is>
          <t>JAN26-P257</t>
        </is>
      </c>
      <c r="B87" s="13" t="n">
        <v>257</v>
      </c>
      <c r="C87" s="13" t="inlineStr">
        <is>
          <t>Outros/Documento</t>
        </is>
      </c>
      <c r="D87" s="13" t="inlineStr"/>
      <c r="E87" s="25" t="n">
        <v>46037</v>
      </c>
      <c r="F87" s="13" t="inlineStr">
        <is>
          <t>VENDA DE MERCADORIA ADQUIRIDA OU RECEBIDA DE TERCE</t>
        </is>
      </c>
      <c r="G87" s="16" t="n"/>
      <c r="H87" s="13" t="inlineStr">
        <is>
          <t>Não somar como nova compra</t>
        </is>
      </c>
      <c r="I87" s="13" t="inlineStr"/>
      <c r="J87" s="15" t="inlineStr"/>
      <c r="K87" s="15" t="inlineStr">
        <is>
          <t>NOTAS FISCAIS DE COMPRA JANEIRO 2026.pdf - p. 257</t>
        </is>
      </c>
    </row>
    <row r="88">
      <c r="A88" s="13" t="inlineStr">
        <is>
          <t>JAN26-P258</t>
        </is>
      </c>
      <c r="B88" s="13" t="n">
        <v>258</v>
      </c>
      <c r="C88" s="13" t="inlineStr">
        <is>
          <t>Outros/Documento</t>
        </is>
      </c>
      <c r="D88" s="13" t="inlineStr"/>
      <c r="E88" s="25" t="n"/>
      <c r="F88" s="13" t="inlineStr">
        <is>
          <t>&lt;arnag SERPEG TRATORES LTDA) oles | AMIDA ANIRNMN ETE</t>
        </is>
      </c>
      <c r="G88" s="16" t="n"/>
      <c r="H88" s="13" t="inlineStr">
        <is>
          <t>Não somar como nova compra</t>
        </is>
      </c>
      <c r="I88" s="13" t="inlineStr"/>
      <c r="J88" s="15" t="inlineStr"/>
      <c r="K88" s="15" t="inlineStr">
        <is>
          <t>NOTAS FISCAIS DE COMPRA JANEIRO 2026.pdf - p. 258</t>
        </is>
      </c>
    </row>
    <row r="89">
      <c r="A89" s="13" t="inlineStr">
        <is>
          <t>JAN26-P260</t>
        </is>
      </c>
      <c r="B89" s="13" t="n">
        <v>260</v>
      </c>
      <c r="C89" s="13" t="inlineStr">
        <is>
          <t>Outros/Documento</t>
        </is>
      </c>
      <c r="D89" s="13" t="inlineStr"/>
      <c r="E89" s="25" t="n"/>
      <c r="F89" s="13" t="inlineStr">
        <is>
          <t>VENDA DE MERC. ADQURIDA OU RECEBIDA DE TERCEIROS.</t>
        </is>
      </c>
      <c r="G89" s="16" t="n"/>
      <c r="H89" s="13" t="inlineStr">
        <is>
          <t>Não somar como nova compra</t>
        </is>
      </c>
      <c r="I89" s="13" t="inlineStr"/>
      <c r="J89" s="15" t="inlineStr"/>
      <c r="K89" s="15" t="inlineStr">
        <is>
          <t>NOTAS FISCAIS DE COMPRA JANEIRO 2026.pdf - p. 260</t>
        </is>
      </c>
    </row>
    <row r="90">
      <c r="A90" s="13" t="inlineStr">
        <is>
          <t>JAN26-P262</t>
        </is>
      </c>
      <c r="B90" s="13" t="n">
        <v>262</v>
      </c>
      <c r="C90" s="13" t="inlineStr">
        <is>
          <t>Outros/Documento</t>
        </is>
      </c>
      <c r="D90" s="13" t="inlineStr"/>
      <c r="E90" s="25" t="n">
        <v>46050</v>
      </c>
      <c r="F90" s="13" t="inlineStr">
        <is>
          <t>Beer ees Svat cenro #0 LTOAA E COMERCI AVENIDA SAD FRANCISCO, 4000 - EXTREMA - Teresi</t>
        </is>
      </c>
      <c r="G90" s="16" t="n"/>
      <c r="H90" s="13" t="inlineStr">
        <is>
          <t>Não somar como nova compra</t>
        </is>
      </c>
      <c r="I90" s="13" t="inlineStr"/>
      <c r="J90" s="15" t="inlineStr"/>
      <c r="K90" s="15" t="inlineStr">
        <is>
          <t>NOTAS FISCAIS DE COMPRA JANEIRO 2026.pdf - p. 262</t>
        </is>
      </c>
    </row>
    <row r="91">
      <c r="A91" s="13" t="inlineStr">
        <is>
          <t>JAN26-P263</t>
        </is>
      </c>
      <c r="B91" s="13" t="n">
        <v>263</v>
      </c>
      <c r="C91" s="13" t="inlineStr">
        <is>
          <t>Outros/Documento</t>
        </is>
      </c>
      <c r="D91" s="13" t="inlineStr"/>
      <c r="E91" s="25" t="n"/>
      <c r="F91" s="13" t="inlineStr">
        <is>
          <t>i + aot lll mala lai hneemeenaliemiaaal</t>
        </is>
      </c>
      <c r="G91" s="16" t="n"/>
      <c r="H91" s="13" t="inlineStr">
        <is>
          <t>Não somar como nova compra</t>
        </is>
      </c>
      <c r="I91" s="13" t="inlineStr"/>
      <c r="J91" s="15" t="inlineStr"/>
      <c r="K91" s="15" t="inlineStr">
        <is>
          <t>NOTAS FISCAIS DE COMPRA JANEIRO 2026.pdf - p. 263</t>
        </is>
      </c>
    </row>
    <row r="92">
      <c r="A92" s="13" t="inlineStr">
        <is>
          <t>JAN26-P267</t>
        </is>
      </c>
      <c r="B92" s="13" t="n">
        <v>267</v>
      </c>
      <c r="C92" s="13" t="inlineStr">
        <is>
          <t>Outros/Documento</t>
        </is>
      </c>
      <c r="D92" s="13" t="inlineStr"/>
      <c r="E92" s="25" t="n"/>
      <c r="F92" s="13" t="inlineStr">
        <is>
          <t>‘VENDA OF MER. ADQUIIDA OU RECEBIDA DE TERCEROS ZEOOUNTADT a1 r2028 on 6t:80</t>
        </is>
      </c>
      <c r="G92" s="16" t="n"/>
      <c r="H92" s="13" t="inlineStr">
        <is>
          <t>Não somar como nova compra</t>
        </is>
      </c>
      <c r="I92" s="13" t="inlineStr"/>
      <c r="J92" s="15" t="inlineStr"/>
      <c r="K92" s="15" t="inlineStr">
        <is>
          <t>NOTAS FISCAIS DE COMPRA JANEIRO 2026.pdf - p. 267</t>
        </is>
      </c>
    </row>
    <row r="93">
      <c r="A93" s="13" t="inlineStr">
        <is>
          <t>JAN26-P268</t>
        </is>
      </c>
      <c r="B93" s="13" t="n">
        <v>268</v>
      </c>
      <c r="C93" s="13" t="inlineStr">
        <is>
          <t>Outros/Documento</t>
        </is>
      </c>
      <c r="D93" s="13" t="inlineStr"/>
      <c r="E93" s="25" t="n"/>
      <c r="F93" s="13" t="inlineStr">
        <is>
          <t>vm an om 2 me</t>
        </is>
      </c>
      <c r="G93" s="16" t="n"/>
      <c r="H93" s="13" t="inlineStr">
        <is>
          <t>Não somar como nova compra</t>
        </is>
      </c>
      <c r="I93" s="13" t="inlineStr"/>
      <c r="J93" s="15" t="inlineStr"/>
      <c r="K93" s="15" t="inlineStr">
        <is>
          <t>NOTAS FISCAIS DE COMPRA JANEIRO 2026.pdf - p. 268</t>
        </is>
      </c>
    </row>
    <row r="94">
      <c r="A94" s="13" t="inlineStr">
        <is>
          <t>JAN26-P269</t>
        </is>
      </c>
      <c r="B94" s="13" t="n">
        <v>269</v>
      </c>
      <c r="C94" s="13" t="inlineStr">
        <is>
          <t>Outros/Documento</t>
        </is>
      </c>
      <c r="D94" s="13" t="inlineStr"/>
      <c r="E94" s="25" t="n"/>
      <c r="F94" s="13" t="inlineStr">
        <is>
          <t>AY SAO FRANCISCO. 4000 ao, jexareaso | t20 2070</t>
        </is>
      </c>
      <c r="G94" s="16" t="n"/>
      <c r="H94" s="13" t="inlineStr">
        <is>
          <t>Não somar como nova compra</t>
        </is>
      </c>
      <c r="I94" s="13" t="inlineStr"/>
      <c r="J94" s="15" t="inlineStr"/>
      <c r="K94" s="15" t="inlineStr">
        <is>
          <t>NOTAS FISCAIS DE COMPRA JANEIRO 2026.pdf - p. 269</t>
        </is>
      </c>
    </row>
    <row r="95">
      <c r="A95" s="13" t="inlineStr">
        <is>
          <t>JAN26-P273</t>
        </is>
      </c>
      <c r="B95" s="13" t="n">
        <v>273</v>
      </c>
      <c r="C95" s="13" t="inlineStr">
        <is>
          <t>Outros/Documento</t>
        </is>
      </c>
      <c r="D95" s="13" t="inlineStr"/>
      <c r="E95" s="25" t="n"/>
      <c r="F95" s="13" t="inlineStr">
        <is>
          <t>CEP 64.078-625 TRL O6-9984-3549 ‘www ale Sazenda gov-br/portal on oe ste dn Sefer Autecieadors</t>
        </is>
      </c>
      <c r="G95" s="16" t="n"/>
      <c r="H95" s="13" t="inlineStr">
        <is>
          <t>Não somar como nova compra</t>
        </is>
      </c>
      <c r="I95" s="13" t="inlineStr"/>
      <c r="J95" s="15" t="inlineStr"/>
      <c r="K95" s="15" t="inlineStr">
        <is>
          <t>NOTAS FISCAIS DE COMPRA JANEIRO 2026.pdf - p. 273</t>
        </is>
      </c>
    </row>
    <row r="96">
      <c r="A96" s="13" t="inlineStr">
        <is>
          <t>JAN26-P274</t>
        </is>
      </c>
      <c r="B96" s="13" t="n">
        <v>274</v>
      </c>
      <c r="C96" s="13" t="inlineStr">
        <is>
          <t>Outros/Documento</t>
        </is>
      </c>
      <c r="D96" s="13" t="inlineStr"/>
      <c r="E96" s="25" t="n"/>
      <c r="F96" s="13" t="inlineStr">
        <is>
          <t>ie weon Saco paar (ata CaN — eae tnarmer Sina ote ——,</t>
        </is>
      </c>
      <c r="G96" s="16" t="n"/>
      <c r="H96" s="13" t="inlineStr">
        <is>
          <t>Não somar como nova compra</t>
        </is>
      </c>
      <c r="I96" s="13" t="inlineStr"/>
      <c r="J96" s="15" t="inlineStr"/>
      <c r="K96" s="15" t="inlineStr">
        <is>
          <t>NOTAS FISCAIS DE COMPRA JANEIRO 2026.pdf - p. 274</t>
        </is>
      </c>
    </row>
    <row r="97">
      <c r="A97" s="13" t="inlineStr">
        <is>
          <t>JAN26-P280</t>
        </is>
      </c>
      <c r="B97" s="13" t="n">
        <v>280</v>
      </c>
      <c r="C97" s="13" t="inlineStr">
        <is>
          <t>Boleto/Financeiro</t>
        </is>
      </c>
      <c r="D97" s="13" t="inlineStr"/>
      <c r="E97" s="25" t="n">
        <v>46042</v>
      </c>
      <c r="F97" s="13" t="inlineStr">
        <is>
          <t>‘TERESINA MANGUEIRAS E PARAFUSOS LTDA ‘1I1G 0157 9764 T708 124 $508 1008 GA36 7216 7937 3196</t>
        </is>
      </c>
      <c r="G97" s="16" t="n"/>
      <c r="H97" s="13" t="inlineStr">
        <is>
          <t>Não somar como nova compra</t>
        </is>
      </c>
      <c r="I97" s="13" t="inlineStr"/>
      <c r="J97" s="15" t="inlineStr"/>
      <c r="K97" s="15" t="inlineStr">
        <is>
          <t>NOTAS FISCAIS DE COMPRA JANEIRO 2026.pdf - p. 280</t>
        </is>
      </c>
    </row>
    <row r="98">
      <c r="A98" s="13" t="inlineStr">
        <is>
          <t>JAN26-P284</t>
        </is>
      </c>
      <c r="B98" s="13" t="n">
        <v>284</v>
      </c>
      <c r="C98" s="13" t="inlineStr">
        <is>
          <t>Outros/Documento</t>
        </is>
      </c>
      <c r="D98" s="13" t="inlineStr"/>
      <c r="E98" s="25" t="n">
        <v>46041</v>
      </c>
      <c r="F98" s="13" t="inlineStr">
        <is>
          <t>‘Avenida Leonidas Melo, 150 Fiscal Eletrénica | Grave DEACESO</t>
        </is>
      </c>
      <c r="G98" s="16" t="n"/>
      <c r="H98" s="13" t="inlineStr">
        <is>
          <t>Não somar como nova compra</t>
        </is>
      </c>
      <c r="I98" s="13" t="inlineStr"/>
      <c r="J98" s="15" t="inlineStr"/>
      <c r="K98" s="15" t="inlineStr">
        <is>
          <t>NOTAS FISCAIS DE COMPRA JANEIRO 2026.pdf - p. 284</t>
        </is>
      </c>
    </row>
    <row r="99">
      <c r="A99" s="13" t="inlineStr">
        <is>
          <t>JAN26-P285</t>
        </is>
      </c>
      <c r="B99" s="13" t="n">
        <v>285</v>
      </c>
      <c r="C99" s="13" t="inlineStr">
        <is>
          <t>Outros/Documento</t>
        </is>
      </c>
      <c r="D99" s="13" t="inlineStr"/>
      <c r="E99" s="25" t="n">
        <v>46038</v>
      </c>
      <c r="F99" s="13" t="inlineStr">
        <is>
          <t>SERIZ 001 | wwoinfe.fazenda gov brfponal ov na site de Sefuz Autorizadorn</t>
        </is>
      </c>
      <c r="G99" s="16" t="n"/>
      <c r="H99" s="13" t="inlineStr">
        <is>
          <t>Não somar como nova compra</t>
        </is>
      </c>
      <c r="I99" s="13" t="inlineStr"/>
      <c r="J99" s="15" t="inlineStr"/>
      <c r="K99" s="15" t="inlineStr">
        <is>
          <t>NOTAS FISCAIS DE COMPRA JANEIRO 2026.pdf - p. 285</t>
        </is>
      </c>
    </row>
    <row r="100">
      <c r="A100" s="13" t="inlineStr">
        <is>
          <t>JAN26-P286</t>
        </is>
      </c>
      <c r="B100" s="13" t="n">
        <v>286</v>
      </c>
      <c r="C100" s="13" t="inlineStr">
        <is>
          <t>Outros/Documento</t>
        </is>
      </c>
      <c r="D100" s="13" t="inlineStr"/>
      <c r="E100" s="25" t="n"/>
      <c r="F100" s="13" t="inlineStr">
        <is>
          <t>sma 38 6 F COMERCIO OF MAQUINAS E FERRAGENS LTDA - ME os prodvins conctantes da now fucatindicada aoiado |</t>
        </is>
      </c>
      <c r="G100" s="16" t="n"/>
      <c r="H100" s="13" t="inlineStr">
        <is>
          <t>Não somar como nova compra</t>
        </is>
      </c>
      <c r="I100" s="13" t="inlineStr"/>
      <c r="J100" s="15" t="inlineStr"/>
      <c r="K100" s="15" t="inlineStr">
        <is>
          <t>NOTAS FISCAIS DE COMPRA JANEIRO 2026.pdf - p. 286</t>
        </is>
      </c>
    </row>
    <row r="101">
      <c r="A101" s="13" t="inlineStr">
        <is>
          <t>JAN26-P288</t>
        </is>
      </c>
      <c r="B101" s="13" t="n">
        <v>288</v>
      </c>
      <c r="C101" s="13" t="inlineStr">
        <is>
          <t>Outros/Documento</t>
        </is>
      </c>
      <c r="D101" s="13" t="inlineStr"/>
      <c r="E101" s="25" t="n"/>
      <c r="F101" s="13" t="inlineStr">
        <is>
          <t>linleiaaeiaiaal Fr" anal ag SO wa na [en aw)</t>
        </is>
      </c>
      <c r="G101" s="16" t="n"/>
      <c r="H101" s="13" t="inlineStr">
        <is>
          <t>Não somar como nova compra</t>
        </is>
      </c>
      <c r="I101" s="13" t="inlineStr"/>
      <c r="J101" s="15" t="inlineStr"/>
      <c r="K101" s="15" t="inlineStr">
        <is>
          <t>NOTAS FISCAIS DE COMPRA JANEIRO 2026.pdf - p. 288</t>
        </is>
      </c>
    </row>
    <row r="102">
      <c r="A102" s="13" t="inlineStr">
        <is>
          <t>JAN26-P289</t>
        </is>
      </c>
      <c r="B102" s="13" t="n">
        <v>289</v>
      </c>
      <c r="C102" s="13" t="inlineStr">
        <is>
          <t>Outros/Documento</t>
        </is>
      </c>
      <c r="D102" s="13" t="inlineStr"/>
      <c r="E102" s="25" t="n"/>
      <c r="F102" s="13" t="inlineStr">
        <is>
          <t>f Town joanne Toon [ow | me [on ca</t>
        </is>
      </c>
      <c r="G102" s="16" t="n"/>
      <c r="H102" s="13" t="inlineStr">
        <is>
          <t>Não somar como nova compra</t>
        </is>
      </c>
      <c r="I102" s="13" t="inlineStr"/>
      <c r="J102" s="15" t="inlineStr"/>
      <c r="K102" s="15" t="inlineStr">
        <is>
          <t>NOTAS FISCAIS DE COMPRA JANEIRO 2026.pdf - p. 289</t>
        </is>
      </c>
    </row>
    <row r="103">
      <c r="A103" s="13" t="inlineStr">
        <is>
          <t>JAN26-P296</t>
        </is>
      </c>
      <c r="B103" s="13" t="n">
        <v>296</v>
      </c>
      <c r="C103" s="13" t="inlineStr">
        <is>
          <t>Outros/Documento</t>
        </is>
      </c>
      <c r="D103" s="13" t="inlineStr"/>
      <c r="E103" s="25" t="n"/>
      <c r="F103" s="13" t="inlineStr">
        <is>
          <t>IRUA SIMPLICIO MENDES N.599 CENTRO [rexeswa or ioaaeszes |</t>
        </is>
      </c>
      <c r="G103" s="16" t="n"/>
      <c r="H103" s="13" t="inlineStr">
        <is>
          <t>Não somar como nova compra</t>
        </is>
      </c>
      <c r="I103" s="13" t="inlineStr"/>
      <c r="J103" s="15" t="inlineStr"/>
      <c r="K103" s="15" t="inlineStr">
        <is>
          <t>NOTAS FISCAIS DE COMPRA JANEIRO 2026.pdf - p. 296</t>
        </is>
      </c>
    </row>
    <row r="104">
      <c r="A104" s="13" t="inlineStr">
        <is>
          <t>JAN26-P298</t>
        </is>
      </c>
      <c r="B104" s="13" t="n">
        <v>298</v>
      </c>
      <c r="C104" s="13" t="inlineStr">
        <is>
          <t>Outros/Documento</t>
        </is>
      </c>
      <c r="D104" s="13" t="inlineStr"/>
      <c r="E104" s="25" t="n">
        <v>46028</v>
      </c>
      <c r="F104" s="13" t="inlineStr">
        <is>
          <t>VENDA DE MERCADORIA ADQUIRIDA OU RECEBIDA DE TERCE. XEAOOOND A466 - 06/01 72026 LI:LOSY</t>
        </is>
      </c>
      <c r="G104" s="16" t="n"/>
      <c r="H104" s="13" t="inlineStr">
        <is>
          <t>Não somar como nova compra</t>
        </is>
      </c>
      <c r="I104" s="13" t="inlineStr"/>
      <c r="J104" s="15" t="inlineStr"/>
      <c r="K104" s="15" t="inlineStr">
        <is>
          <t>NOTAS FISCAIS DE COMPRA JANEIRO 2026.pdf - p. 298</t>
        </is>
      </c>
    </row>
    <row r="105">
      <c r="A105" s="13" t="inlineStr">
        <is>
          <t>JAN26-P300</t>
        </is>
      </c>
      <c r="B105" s="13" t="n">
        <v>300</v>
      </c>
      <c r="C105" s="13" t="inlineStr">
        <is>
          <t>Outros/Documento</t>
        </is>
      </c>
      <c r="D105" s="13" t="inlineStr"/>
      <c r="E105" s="25" t="n"/>
      <c r="F105" s="13" t="inlineStr">
        <is>
          <t>i ‘mecdo voMmocenoN aRarOR vewse| or | ore [iow creme 'eumine vn wie aw | BS ve non</t>
        </is>
      </c>
      <c r="G105" s="16" t="n"/>
      <c r="H105" s="13" t="inlineStr">
        <is>
          <t>Não somar como nova compra</t>
        </is>
      </c>
      <c r="I105" s="13" t="inlineStr"/>
      <c r="J105" s="15" t="inlineStr"/>
      <c r="K105" s="15" t="inlineStr">
        <is>
          <t>NOTAS FISCAIS DE COMPRA JANEIRO 2026.pdf - p. 300</t>
        </is>
      </c>
    </row>
    <row r="106">
      <c r="A106" s="13" t="inlineStr">
        <is>
          <t>JAN26-P301</t>
        </is>
      </c>
      <c r="B106" s="13" t="n">
        <v>301</v>
      </c>
      <c r="C106" s="13" t="inlineStr">
        <is>
          <t>Outros/Documento</t>
        </is>
      </c>
      <c r="D106" s="13" t="inlineStr"/>
      <c r="E106" s="25" t="n"/>
      <c r="F106" s="13" t="inlineStr">
        <is>
          <t>FANT.” BRAL MOSPORGARRLZACAD ETECNOLOGA (FAVOR CONPERIE AMERG. NO ATODA ENTREGA Welisoffde Paula</t>
        </is>
      </c>
      <c r="G106" s="16" t="n"/>
      <c r="H106" s="13" t="inlineStr">
        <is>
          <t>Não somar como nova compra</t>
        </is>
      </c>
      <c r="I106" s="13" t="inlineStr"/>
      <c r="J106" s="15" t="inlineStr"/>
      <c r="K106" s="15" t="inlineStr">
        <is>
          <t>NOTAS FISCAIS DE COMPRA JANEIRO 2026.pdf - p. 301</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I138"/>
  <sheetViews>
    <sheetView showGridLines="0" workbookViewId="0">
      <pane ySplit="1" topLeftCell="A2" activePane="bottomLeft" state="frozen"/>
      <selection pane="bottomLeft" activeCell="A1" sqref="A1"/>
    </sheetView>
  </sheetViews>
  <sheetFormatPr baseColWidth="8" defaultRowHeight="15"/>
  <cols>
    <col width="20" customWidth="1" min="1" max="1"/>
    <col width="45" customWidth="1" min="2" max="2"/>
    <col width="30" customWidth="1" min="3" max="3"/>
    <col width="15" customWidth="1" min="4" max="4"/>
    <col width="19" customWidth="1" min="5" max="5"/>
    <col width="15" customWidth="1" min="6" max="6"/>
    <col width="19" customWidth="1" min="7" max="7"/>
    <col width="34" customWidth="1" min="8" max="8"/>
    <col width="42" customWidth="1" min="9" max="9"/>
  </cols>
  <sheetData>
    <row r="1" ht="36" customHeight="1">
      <c r="A1" s="12" t="inlineStr">
        <is>
          <t>CNPJ</t>
        </is>
      </c>
      <c r="B1" s="12" t="inlineStr">
        <is>
          <t>Fornecedor</t>
        </is>
      </c>
      <c r="C1" s="12" t="inlineStr">
        <is>
          <t>Categorias</t>
        </is>
      </c>
      <c r="D1" s="12" t="inlineStr">
        <is>
          <t>Qtd_Confirmada</t>
        </is>
      </c>
      <c r="E1" s="12" t="inlineStr">
        <is>
          <t>Total_Confirmado</t>
        </is>
      </c>
      <c r="F1" s="12" t="inlineStr">
        <is>
          <t>Qtd_Revisar</t>
        </is>
      </c>
      <c r="G1" s="12" t="inlineStr">
        <is>
          <t>Total_Em_Revisao</t>
        </is>
      </c>
      <c r="H1" s="12" t="inlineStr">
        <is>
          <t>Paginas</t>
        </is>
      </c>
      <c r="I1" s="12" t="inlineStr">
        <is>
          <t>Fonte</t>
        </is>
      </c>
    </row>
    <row r="2">
      <c r="A2" s="13" t="inlineStr">
        <is>
          <t>42.709.787/0003-77</t>
        </is>
      </c>
      <c r="B2" s="13" t="inlineStr">
        <is>
          <t>F G INTELIGENCIA EM LOGISTICA LTDA</t>
        </is>
      </c>
      <c r="C2" s="15" t="inlineStr">
        <is>
          <t>Fretes</t>
        </is>
      </c>
      <c r="D2" s="13" t="n">
        <v>27</v>
      </c>
      <c r="E2" s="16" t="n">
        <v>306383.4</v>
      </c>
      <c r="F2" s="13" t="n">
        <v>0</v>
      </c>
      <c r="G2" s="16" t="n">
        <v>0</v>
      </c>
      <c r="H2" s="15" t="inlineStr">
        <is>
          <t>17, 18, 19, 47, 48, 49, 50, 51, 52, 87, 88, 89, 90, 91, 98, 100, 102, 104, 106, 108, 117, 118, 121, 123, 126, 128, 129</t>
        </is>
      </c>
      <c r="I2" s="15" t="inlineStr">
        <is>
          <t>NOTAS FISCAIS DE COMPRA JANEIRO 2026.pdf</t>
        </is>
      </c>
    </row>
    <row r="3">
      <c r="A3" s="13" t="inlineStr">
        <is>
          <t>10.260.249/0003-51</t>
        </is>
      </c>
      <c r="B3" s="13" t="inlineStr">
        <is>
          <t>COMPANHIA INDUSTRIAL DE CIMENTO APODI</t>
        </is>
      </c>
      <c r="C3" s="15" t="inlineStr">
        <is>
          <t>Produtos</t>
        </is>
      </c>
      <c r="D3" s="13" t="n">
        <v>16</v>
      </c>
      <c r="E3" s="16" t="n">
        <v>295942.75</v>
      </c>
      <c r="F3" s="13" t="n">
        <v>0</v>
      </c>
      <c r="G3" s="16" t="n">
        <v>0</v>
      </c>
      <c r="H3" s="15" t="inlineStr">
        <is>
          <t>22, 23, 24, 41, 42, 43, 44, 45, 46, 77, 92, 93, 94, 96, 97, 120</t>
        </is>
      </c>
      <c r="I3" s="15" t="inlineStr">
        <is>
          <t>NOTAS FISCAIS DE COMPRA JANEIRO 2026.pdf</t>
        </is>
      </c>
    </row>
    <row r="4">
      <c r="A4" s="13" t="inlineStr">
        <is>
          <t>42.534.679/0001-49</t>
        </is>
      </c>
      <c r="B4" s="13" t="inlineStr">
        <is>
          <t>PLASTER DISTRIBUIDORA LTDA</t>
        </is>
      </c>
      <c r="C4" s="15" t="inlineStr">
        <is>
          <t>Produtos</t>
        </is>
      </c>
      <c r="D4" s="13" t="n">
        <v>1</v>
      </c>
      <c r="E4" s="16" t="n">
        <v>43536</v>
      </c>
      <c r="F4" s="13" t="n">
        <v>0</v>
      </c>
      <c r="G4" s="16" t="n">
        <v>0</v>
      </c>
      <c r="H4" s="15" t="inlineStr">
        <is>
          <t>55</t>
        </is>
      </c>
      <c r="I4" s="15" t="inlineStr">
        <is>
          <t>NOTAS FISCAIS DE COMPRA JANEIRO 2026.pdf</t>
        </is>
      </c>
    </row>
    <row r="5">
      <c r="A5" s="13" t="inlineStr">
        <is>
          <t>15.563.146/0001-12</t>
        </is>
      </c>
      <c r="B5" s="13" t="inlineStr">
        <is>
          <t>G R DE MORAES CONSTRUCOES</t>
        </is>
      </c>
      <c r="C5" s="15" t="inlineStr">
        <is>
          <t>Serviços</t>
        </is>
      </c>
      <c r="D5" s="13" t="n">
        <v>1</v>
      </c>
      <c r="E5" s="16" t="n">
        <v>40000</v>
      </c>
      <c r="F5" s="13" t="n">
        <v>0</v>
      </c>
      <c r="G5" s="16" t="n">
        <v>0</v>
      </c>
      <c r="H5" s="15" t="inlineStr">
        <is>
          <t>264</t>
        </is>
      </c>
      <c r="I5" s="15" t="inlineStr">
        <is>
          <t>NOTAS FISCAIS DE COMPRA JANEIRO 2026.pdf</t>
        </is>
      </c>
    </row>
    <row r="6">
      <c r="A6" s="13" t="inlineStr">
        <is>
          <t>27.803.620/0001-15</t>
        </is>
      </c>
      <c r="B6" s="13" t="inlineStr">
        <is>
          <t>E &amp; P SOARES DOS SANTOS LTDA - ME</t>
        </is>
      </c>
      <c r="C6" s="15" t="inlineStr">
        <is>
          <t>Servicos</t>
        </is>
      </c>
      <c r="D6" s="13" t="n">
        <v>1</v>
      </c>
      <c r="E6" s="16" t="n">
        <v>35238.7</v>
      </c>
      <c r="F6" s="13" t="n">
        <v>0</v>
      </c>
      <c r="G6" s="16" t="n">
        <v>0</v>
      </c>
      <c r="H6" s="15" t="inlineStr">
        <is>
          <t>64</t>
        </is>
      </c>
      <c r="I6" s="15" t="inlineStr">
        <is>
          <t>NOTAS FISCAIS DE COMPRA JANEIRO 2026.pdf</t>
        </is>
      </c>
    </row>
    <row r="7">
      <c r="A7" s="13" t="inlineStr">
        <is>
          <t>00.072.331/0001-37</t>
        </is>
      </c>
      <c r="B7" s="13" t="inlineStr">
        <is>
          <t>POLI-GYN EMBALAGENS LTDA</t>
        </is>
      </c>
      <c r="C7" s="15" t="inlineStr">
        <is>
          <t>Produtos</t>
        </is>
      </c>
      <c r="D7" s="13" t="n">
        <v>1</v>
      </c>
      <c r="E7" s="16" t="n">
        <v>32443.09</v>
      </c>
      <c r="F7" s="13" t="n">
        <v>0</v>
      </c>
      <c r="G7" s="16" t="n">
        <v>0</v>
      </c>
      <c r="H7" s="15" t="inlineStr">
        <is>
          <t>119</t>
        </is>
      </c>
      <c r="I7" s="15" t="inlineStr">
        <is>
          <t>NOTAS FISCAIS DE COMPRA JANEIRO 2026.pdf</t>
        </is>
      </c>
    </row>
    <row r="8">
      <c r="A8" s="13" t="inlineStr">
        <is>
          <t>04.904.996/0001-10</t>
        </is>
      </c>
      <c r="B8" s="13" t="inlineStr">
        <is>
          <t>RENOVAR INDUSTRIA E COMERCIO DE EMBALAGENS EIRELI</t>
        </is>
      </c>
      <c r="C8" s="15" t="inlineStr">
        <is>
          <t>Produtos</t>
        </is>
      </c>
      <c r="D8" s="13" t="n">
        <v>1</v>
      </c>
      <c r="E8" s="16" t="n">
        <v>29892.54</v>
      </c>
      <c r="F8" s="13" t="n">
        <v>0</v>
      </c>
      <c r="G8" s="16" t="n">
        <v>0</v>
      </c>
      <c r="H8" s="15" t="inlineStr">
        <is>
          <t>148</t>
        </is>
      </c>
      <c r="I8" s="15" t="inlineStr">
        <is>
          <t>NOTAS FISCAIS DE COMPRA JANEIRO 2026.pdf</t>
        </is>
      </c>
    </row>
    <row r="9">
      <c r="A9" s="13" t="inlineStr">
        <is>
          <t>60.366.345/0001-95</t>
        </is>
      </c>
      <c r="B9" s="13" t="inlineStr">
        <is>
          <t>INOVE SOLUCOES EM PRODUTOS E EQUIPAMENTOS PARA LABORATORIOS</t>
        </is>
      </c>
      <c r="C9" s="15" t="inlineStr">
        <is>
          <t>Produtos</t>
        </is>
      </c>
      <c r="D9" s="13" t="n">
        <v>1</v>
      </c>
      <c r="E9" s="16" t="n">
        <v>27000</v>
      </c>
      <c r="F9" s="13" t="n">
        <v>0</v>
      </c>
      <c r="G9" s="16" t="n">
        <v>0</v>
      </c>
      <c r="H9" s="15" t="inlineStr">
        <is>
          <t>78</t>
        </is>
      </c>
      <c r="I9" s="15" t="inlineStr">
        <is>
          <t>NOTAS FISCAIS DE COMPRA JANEIRO 2026.pdf</t>
        </is>
      </c>
    </row>
    <row r="10">
      <c r="A10" s="13" t="inlineStr">
        <is>
          <t>06.840.748/0001-89</t>
        </is>
      </c>
      <c r="B10" s="13" t="inlineStr">
        <is>
          <t>EQUATORIAL PIAUI DISTRIBUIDORA DE ENERGIA S.A.</t>
        </is>
      </c>
      <c r="C10" s="15" t="inlineStr">
        <is>
          <t>Energia</t>
        </is>
      </c>
      <c r="D10" s="13" t="n">
        <v>3</v>
      </c>
      <c r="E10" s="16" t="n">
        <v>23848.87</v>
      </c>
      <c r="F10" s="13" t="n">
        <v>0</v>
      </c>
      <c r="G10" s="16" t="n">
        <v>0</v>
      </c>
      <c r="H10" s="15" t="inlineStr">
        <is>
          <t>1, 3, 4</t>
        </is>
      </c>
      <c r="I10" s="15" t="inlineStr">
        <is>
          <t>NOTAS FISCAIS DE COMPRA JANEIRO 2026.pdf</t>
        </is>
      </c>
    </row>
    <row r="11">
      <c r="A11" s="13" t="inlineStr">
        <is>
          <t>51.998.593/0001-68</t>
        </is>
      </c>
      <c r="B11" s="13" t="inlineStr">
        <is>
          <t>FENIX PRESTADORA DE SERVICOS LTDA</t>
        </is>
      </c>
      <c r="C11" s="15" t="inlineStr">
        <is>
          <t>Servicos</t>
        </is>
      </c>
      <c r="D11" s="13" t="n">
        <v>2</v>
      </c>
      <c r="E11" s="16" t="n">
        <v>16350</v>
      </c>
      <c r="F11" s="13" t="n">
        <v>0</v>
      </c>
      <c r="G11" s="16" t="n">
        <v>0</v>
      </c>
      <c r="H11" s="15" t="inlineStr">
        <is>
          <t>131, 132</t>
        </is>
      </c>
      <c r="I11" s="15" t="inlineStr">
        <is>
          <t>NOTAS FISCAIS DE COMPRA JANEIRO 2026.pdf</t>
        </is>
      </c>
    </row>
    <row r="12">
      <c r="A12" s="13" t="inlineStr">
        <is>
          <t>15.439.685/0001-99</t>
        </is>
      </c>
      <c r="B12" s="13" t="inlineStr">
        <is>
          <t>KLESIO KENNEDY REPRESENTACAO DE MATERIAL DE CONSTRUCAO LTDA</t>
        </is>
      </c>
      <c r="C12" s="15" t="inlineStr">
        <is>
          <t>Servicos</t>
        </is>
      </c>
      <c r="D12" s="13" t="n">
        <v>1</v>
      </c>
      <c r="E12" s="16" t="n">
        <v>14933</v>
      </c>
      <c r="F12" s="13" t="n">
        <v>0</v>
      </c>
      <c r="G12" s="16" t="n">
        <v>0</v>
      </c>
      <c r="H12" s="15" t="inlineStr">
        <is>
          <t>62</t>
        </is>
      </c>
      <c r="I12" s="15" t="inlineStr">
        <is>
          <t>NOTAS FISCAIS DE COMPRA JANEIRO 2026.pdf</t>
        </is>
      </c>
    </row>
    <row r="13">
      <c r="A13" s="13" t="inlineStr">
        <is>
          <t>30.729.559/0001-18</t>
        </is>
      </c>
      <c r="B13" s="13" t="inlineStr">
        <is>
          <t>FRANCISCO DAS CHAGAS BISPO DE ARAUJO JUNIOR</t>
        </is>
      </c>
      <c r="C13" s="15" t="inlineStr">
        <is>
          <t>Serviços</t>
        </is>
      </c>
      <c r="D13" s="13" t="n">
        <v>2</v>
      </c>
      <c r="E13" s="16" t="n">
        <v>14800</v>
      </c>
      <c r="F13" s="13" t="n">
        <v>0</v>
      </c>
      <c r="G13" s="16" t="n">
        <v>0</v>
      </c>
      <c r="H13" s="15" t="inlineStr">
        <is>
          <t>249, 250</t>
        </is>
      </c>
      <c r="I13" s="15" t="inlineStr">
        <is>
          <t>NOTAS FISCAIS DE COMPRA JANEIRO 2026.pdf</t>
        </is>
      </c>
    </row>
    <row r="14">
      <c r="A14" s="13" t="inlineStr">
        <is>
          <t>44.036.268/0001-59</t>
        </is>
      </c>
      <c r="B14" s="13" t="inlineStr">
        <is>
          <t>F J DE SOUSA REPRESENTACOES</t>
        </is>
      </c>
      <c r="C14" s="15" t="inlineStr">
        <is>
          <t>Servicos</t>
        </is>
      </c>
      <c r="D14" s="13" t="n">
        <v>1</v>
      </c>
      <c r="E14" s="16" t="n">
        <v>14232.77</v>
      </c>
      <c r="F14" s="13" t="n">
        <v>0</v>
      </c>
      <c r="G14" s="16" t="n">
        <v>0</v>
      </c>
      <c r="H14" s="15" t="inlineStr">
        <is>
          <t>65</t>
        </is>
      </c>
      <c r="I14" s="15" t="inlineStr">
        <is>
          <t>NOTAS FISCAIS DE COMPRA JANEIRO 2026.pdf</t>
        </is>
      </c>
    </row>
    <row r="15">
      <c r="A15" s="13" t="inlineStr">
        <is>
          <t>04.704.452/0001-05</t>
        </is>
      </c>
      <c r="B15" s="13" t="inlineStr">
        <is>
          <t>LCM CONSULTING AND INFORMATION SERVICES LTDA</t>
        </is>
      </c>
      <c r="C15" s="15" t="inlineStr">
        <is>
          <t>Servicos</t>
        </is>
      </c>
      <c r="D15" s="13" t="n">
        <v>2</v>
      </c>
      <c r="E15" s="16" t="n">
        <v>11478.08</v>
      </c>
      <c r="F15" s="13" t="n">
        <v>0</v>
      </c>
      <c r="G15" s="16" t="n">
        <v>0</v>
      </c>
      <c r="H15" s="15" t="inlineStr">
        <is>
          <t>83, 136</t>
        </is>
      </c>
      <c r="I15" s="15" t="inlineStr">
        <is>
          <t>NOTAS FISCAIS DE COMPRA JANEIRO 2026.pdf</t>
        </is>
      </c>
    </row>
    <row r="16">
      <c r="A16" s="13" t="inlineStr">
        <is>
          <t>09.590.480/0001-62</t>
        </is>
      </c>
      <c r="B16" s="13" t="inlineStr">
        <is>
          <t>TELEVISAO PIONEIRA LTDA</t>
        </is>
      </c>
      <c r="C16" s="15" t="inlineStr">
        <is>
          <t>Servicos</t>
        </is>
      </c>
      <c r="D16" s="13" t="n">
        <v>1</v>
      </c>
      <c r="E16" s="16" t="n">
        <v>10000</v>
      </c>
      <c r="F16" s="13" t="n">
        <v>0</v>
      </c>
      <c r="G16" s="16" t="n">
        <v>0</v>
      </c>
      <c r="H16" s="15" t="inlineStr">
        <is>
          <t>14</t>
        </is>
      </c>
      <c r="I16" s="15" t="inlineStr">
        <is>
          <t>NOTAS FISCAIS DE COMPRA JANEIRO 2026.pdf</t>
        </is>
      </c>
    </row>
    <row r="17">
      <c r="A17" s="13" t="inlineStr"/>
      <c r="B17" s="13" t="inlineStr">
        <is>
          <t>CONSULTING AND INFORMATION SERVICES LTOA</t>
        </is>
      </c>
      <c r="C17" s="15" t="inlineStr">
        <is>
          <t>Servicos</t>
        </is>
      </c>
      <c r="D17" s="13" t="n">
        <v>1</v>
      </c>
      <c r="E17" s="16" t="n">
        <v>9689.93</v>
      </c>
      <c r="F17" s="13" t="n">
        <v>0</v>
      </c>
      <c r="G17" s="16" t="n">
        <v>0</v>
      </c>
      <c r="H17" s="15" t="inlineStr">
        <is>
          <t>35</t>
        </is>
      </c>
      <c r="I17" s="15" t="inlineStr">
        <is>
          <t>NOTAS FISCAIS DE COMPRA JANEIRO 2026.pdf</t>
        </is>
      </c>
    </row>
    <row r="18">
      <c r="A18" s="13" t="inlineStr">
        <is>
          <t>43.140.694/0001-75</t>
        </is>
      </c>
      <c r="B18" s="13" t="inlineStr">
        <is>
          <t>EVERARDO SILVA DO NASCIMENTO</t>
        </is>
      </c>
      <c r="C18" s="15" t="inlineStr">
        <is>
          <t>Produtos</t>
        </is>
      </c>
      <c r="D18" s="13" t="n">
        <v>1</v>
      </c>
      <c r="E18" s="16" t="n">
        <v>8238</v>
      </c>
      <c r="F18" s="13" t="n">
        <v>0</v>
      </c>
      <c r="G18" s="16" t="n">
        <v>0</v>
      </c>
      <c r="H18" s="15" t="inlineStr">
        <is>
          <t>116</t>
        </is>
      </c>
      <c r="I18" s="15" t="inlineStr">
        <is>
          <t>NOTAS FISCAIS DE COMPRA JANEIRO 2026.pdf</t>
        </is>
      </c>
    </row>
    <row r="19">
      <c r="A19" s="13" t="inlineStr">
        <is>
          <t>24.870.571/0001-45</t>
        </is>
      </c>
      <c r="B19" s="13" t="inlineStr">
        <is>
          <t>24.870.571 JORGE GUILHERME COSTA FERREIRA</t>
        </is>
      </c>
      <c r="C19" s="15" t="inlineStr">
        <is>
          <t>Serviços</t>
        </is>
      </c>
      <c r="D19" s="13" t="n">
        <v>1</v>
      </c>
      <c r="E19" s="16" t="n">
        <v>7000</v>
      </c>
      <c r="F19" s="13" t="n">
        <v>0</v>
      </c>
      <c r="G19" s="16" t="n">
        <v>0</v>
      </c>
      <c r="H19" s="15" t="inlineStr">
        <is>
          <t>159</t>
        </is>
      </c>
      <c r="I19" s="15" t="inlineStr">
        <is>
          <t>NOTAS FISCAIS DE COMPRA JANEIRO 2026.pdf</t>
        </is>
      </c>
    </row>
    <row r="20">
      <c r="A20" s="13" t="inlineStr">
        <is>
          <t>19.480.050/0001-41</t>
        </is>
      </c>
      <c r="B20" s="13" t="inlineStr">
        <is>
          <t>ATHOS MED SERVICOS EM SAUDE - LTDA</t>
        </is>
      </c>
      <c r="C20" s="15" t="inlineStr">
        <is>
          <t>Serviços</t>
        </is>
      </c>
      <c r="D20" s="13" t="n">
        <v>1</v>
      </c>
      <c r="E20" s="16" t="n">
        <v>5922</v>
      </c>
      <c r="F20" s="13" t="n">
        <v>0</v>
      </c>
      <c r="G20" s="16" t="n">
        <v>0</v>
      </c>
      <c r="H20" s="15" t="inlineStr">
        <is>
          <t>251</t>
        </is>
      </c>
      <c r="I20" s="15" t="inlineStr">
        <is>
          <t>NOTAS FISCAIS DE COMPRA JANEIRO 2026.pdf</t>
        </is>
      </c>
    </row>
    <row r="21">
      <c r="A21" s="13" t="inlineStr">
        <is>
          <t>00.885.918/0001-65</t>
        </is>
      </c>
      <c r="B21" s="13" t="inlineStr">
        <is>
          <t>HOSPITAIS E CLINICAS DO PIAUI S/S LTDA</t>
        </is>
      </c>
      <c r="C21" s="15" t="inlineStr">
        <is>
          <t>Servicos</t>
        </is>
      </c>
      <c r="D21" s="13" t="n">
        <v>1</v>
      </c>
      <c r="E21" s="16" t="n">
        <v>5901.18</v>
      </c>
      <c r="F21" s="13" t="n">
        <v>0</v>
      </c>
      <c r="G21" s="16" t="n">
        <v>0</v>
      </c>
      <c r="H21" s="15" t="inlineStr">
        <is>
          <t>58</t>
        </is>
      </c>
      <c r="I21" s="15" t="inlineStr">
        <is>
          <t>NOTAS FISCAIS DE COMPRA JANEIRO 2026.pdf</t>
        </is>
      </c>
    </row>
    <row r="22">
      <c r="A22" s="13" t="inlineStr">
        <is>
          <t>07.776.339/0002-04</t>
        </is>
      </c>
      <c r="B22" s="13" t="inlineStr">
        <is>
          <t>CAIEIRA CANTA GALO EXTRACAO E COMERCIO DE CALCARIO LTDA</t>
        </is>
      </c>
      <c r="C22" s="15" t="inlineStr">
        <is>
          <t>Produtos</t>
        </is>
      </c>
      <c r="D22" s="13" t="n">
        <v>2</v>
      </c>
      <c r="E22" s="16" t="n">
        <v>4880</v>
      </c>
      <c r="F22" s="13" t="n">
        <v>0</v>
      </c>
      <c r="G22" s="16" t="n">
        <v>0</v>
      </c>
      <c r="H22" s="15" t="inlineStr">
        <is>
          <t>53, 54</t>
        </is>
      </c>
      <c r="I22" s="15" t="inlineStr">
        <is>
          <t>NOTAS FISCAIS DE COMPRA JANEIRO 2026.pdf</t>
        </is>
      </c>
    </row>
    <row r="23">
      <c r="A23" s="13" t="inlineStr">
        <is>
          <t>64.060.822/0001-40</t>
        </is>
      </c>
      <c r="B23" s="13" t="inlineStr">
        <is>
          <t>MICHELA MEDEIROS FRANCO</t>
        </is>
      </c>
      <c r="C23" s="15" t="inlineStr">
        <is>
          <t>Servicos</t>
        </is>
      </c>
      <c r="D23" s="13" t="n">
        <v>1</v>
      </c>
      <c r="E23" s="16" t="n">
        <v>4800</v>
      </c>
      <c r="F23" s="13" t="n">
        <v>0</v>
      </c>
      <c r="G23" s="16" t="n">
        <v>0</v>
      </c>
      <c r="H23" s="15" t="inlineStr">
        <is>
          <t>143</t>
        </is>
      </c>
      <c r="I23" s="15" t="inlineStr">
        <is>
          <t>NOTAS FISCAIS DE COMPRA JANEIRO 2026.pdf</t>
        </is>
      </c>
    </row>
    <row r="24">
      <c r="A24" s="13" t="inlineStr">
        <is>
          <t>54.011.991/0001-37</t>
        </is>
      </c>
      <c r="B24" s="13" t="inlineStr">
        <is>
          <t>GRACILENE MARIA BEZERRA DOS SANTOS</t>
        </is>
      </c>
      <c r="C24" s="15" t="inlineStr">
        <is>
          <t>Servicos</t>
        </is>
      </c>
      <c r="D24" s="13" t="n">
        <v>1</v>
      </c>
      <c r="E24" s="16" t="n">
        <v>4782.92</v>
      </c>
      <c r="F24" s="13" t="n">
        <v>0</v>
      </c>
      <c r="G24" s="16" t="n">
        <v>0</v>
      </c>
      <c r="H24" s="15" t="inlineStr">
        <is>
          <t>66</t>
        </is>
      </c>
      <c r="I24" s="15" t="inlineStr">
        <is>
          <t>NOTAS FISCAIS DE COMPRA JANEIRO 2026.pdf</t>
        </is>
      </c>
    </row>
    <row r="25">
      <c r="A25" s="13" t="inlineStr">
        <is>
          <t>45.264.826/0001-04</t>
        </is>
      </c>
      <c r="B25" s="13" t="inlineStr">
        <is>
          <t>EMERSON CANDIDO DE AQUINO 56476779320</t>
        </is>
      </c>
      <c r="C25" s="15" t="inlineStr">
        <is>
          <t>Servicos</t>
        </is>
      </c>
      <c r="D25" s="13" t="n">
        <v>2</v>
      </c>
      <c r="E25" s="16" t="n">
        <v>4500</v>
      </c>
      <c r="F25" s="13" t="n">
        <v>0</v>
      </c>
      <c r="G25" s="16" t="n">
        <v>0</v>
      </c>
      <c r="H25" s="15" t="inlineStr">
        <is>
          <t>57, 133</t>
        </is>
      </c>
      <c r="I25" s="15" t="inlineStr">
        <is>
          <t>NOTAS FISCAIS DE COMPRA JANEIRO 2026.pdf</t>
        </is>
      </c>
    </row>
    <row r="26">
      <c r="A26" s="13" t="inlineStr"/>
      <c r="B26" s="13" t="inlineStr">
        <is>
          <t>JESUINO@APOIOCONTABILP.COM</t>
        </is>
      </c>
      <c r="C26" s="15" t="inlineStr">
        <is>
          <t>Servicos</t>
        </is>
      </c>
      <c r="D26" s="13" t="n">
        <v>1</v>
      </c>
      <c r="E26" s="16" t="n">
        <v>4198</v>
      </c>
      <c r="F26" s="13" t="n">
        <v>0</v>
      </c>
      <c r="G26" s="16" t="n">
        <v>0</v>
      </c>
      <c r="H26" s="15" t="inlineStr">
        <is>
          <t>30</t>
        </is>
      </c>
      <c r="I26" s="15" t="inlineStr">
        <is>
          <t>NOTAS FISCAIS DE COMPRA JANEIRO 2026.pdf</t>
        </is>
      </c>
    </row>
    <row r="27">
      <c r="A27" s="13" t="inlineStr">
        <is>
          <t>09.244.087/0001-17</t>
        </is>
      </c>
      <c r="B27" s="13" t="inlineStr">
        <is>
          <t>EDWARD MOURA SOCIEDADE INDIVIDUAL DE ADVOCACIA</t>
        </is>
      </c>
      <c r="C27" s="15" t="inlineStr">
        <is>
          <t>Servicos</t>
        </is>
      </c>
      <c r="D27" s="13" t="n">
        <v>1</v>
      </c>
      <c r="E27" s="16" t="n">
        <v>4075</v>
      </c>
      <c r="F27" s="13" t="n">
        <v>0</v>
      </c>
      <c r="G27" s="16" t="n">
        <v>0</v>
      </c>
      <c r="H27" s="15" t="inlineStr">
        <is>
          <t>82</t>
        </is>
      </c>
      <c r="I27" s="15" t="inlineStr">
        <is>
          <t>NOTAS FISCAIS DE COMPRA JANEIRO 2026.pdf</t>
        </is>
      </c>
    </row>
    <row r="28">
      <c r="A28" s="13" t="inlineStr">
        <is>
          <t>37.658.920/0001-01</t>
        </is>
      </c>
      <c r="B28" s="13" t="inlineStr">
        <is>
          <t>DISTRIBUIDORA DE BEBIDAS ATACADAO DA GELA</t>
        </is>
      </c>
      <c r="C28" s="15" t="inlineStr">
        <is>
          <t>Produtos</t>
        </is>
      </c>
      <c r="D28" s="13" t="n">
        <v>1</v>
      </c>
      <c r="E28" s="16" t="n">
        <v>3600</v>
      </c>
      <c r="F28" s="13" t="n">
        <v>0</v>
      </c>
      <c r="G28" s="16" t="n">
        <v>0</v>
      </c>
      <c r="H28" s="15" t="inlineStr">
        <is>
          <t>114</t>
        </is>
      </c>
      <c r="I28" s="15" t="inlineStr">
        <is>
          <t>NOTAS FISCAIS DE COMPRA JANEIRO 2026.pdf</t>
        </is>
      </c>
    </row>
    <row r="29">
      <c r="A29" s="13" t="inlineStr">
        <is>
          <t>41.528.852/0001-33</t>
        </is>
      </c>
      <c r="B29" s="13" t="inlineStr">
        <is>
          <t>J E SILVA LIMA - ME</t>
        </is>
      </c>
      <c r="C29" s="15" t="inlineStr">
        <is>
          <t>Serviços</t>
        </is>
      </c>
      <c r="D29" s="13" t="n">
        <v>1</v>
      </c>
      <c r="E29" s="16" t="n">
        <v>3258</v>
      </c>
      <c r="F29" s="13" t="n">
        <v>0</v>
      </c>
      <c r="G29" s="16" t="n">
        <v>0</v>
      </c>
      <c r="H29" s="15" t="inlineStr">
        <is>
          <t>291</t>
        </is>
      </c>
      <c r="I29" s="15" t="inlineStr">
        <is>
          <t>NOTAS FISCAIS DE COMPRA JANEIRO 2026.pdf</t>
        </is>
      </c>
    </row>
    <row r="30">
      <c r="A30" s="13" t="inlineStr">
        <is>
          <t>55.944.213/0001-63</t>
        </is>
      </c>
      <c r="B30" s="13" t="inlineStr">
        <is>
          <t>MARCEL DE MOURA GOMES LTDA</t>
        </is>
      </c>
      <c r="C30" s="15" t="inlineStr">
        <is>
          <t>Servicos</t>
        </is>
      </c>
      <c r="D30" s="13" t="n">
        <v>1</v>
      </c>
      <c r="E30" s="16" t="n">
        <v>3000</v>
      </c>
      <c r="F30" s="13" t="n">
        <v>0</v>
      </c>
      <c r="G30" s="16" t="n">
        <v>0</v>
      </c>
      <c r="H30" s="15" t="inlineStr">
        <is>
          <t>145</t>
        </is>
      </c>
      <c r="I30" s="15" t="inlineStr">
        <is>
          <t>NOTAS FISCAIS DE COMPRA JANEIRO 2026.pdf</t>
        </is>
      </c>
    </row>
    <row r="31">
      <c r="A31" s="13" t="inlineStr">
        <is>
          <t>51.002.394/0001-58</t>
        </is>
      </c>
      <c r="B31" s="13" t="inlineStr">
        <is>
          <t>J K B FIALHO LTDA</t>
        </is>
      </c>
      <c r="C31" s="15" t="inlineStr">
        <is>
          <t>Serviços</t>
        </is>
      </c>
      <c r="D31" s="13" t="n">
        <v>1</v>
      </c>
      <c r="E31" s="16" t="n">
        <v>3000</v>
      </c>
      <c r="F31" s="13" t="n">
        <v>0</v>
      </c>
      <c r="G31" s="16" t="n">
        <v>0</v>
      </c>
      <c r="H31" s="15" t="inlineStr">
        <is>
          <t>299</t>
        </is>
      </c>
      <c r="I31" s="15" t="inlineStr">
        <is>
          <t>NOTAS FISCAIS DE COMPRA JANEIRO 2026.pdf</t>
        </is>
      </c>
    </row>
    <row r="32">
      <c r="A32" s="13" t="inlineStr">
        <is>
          <t>18.414.737/0001-16</t>
        </is>
      </c>
      <c r="B32" s="13" t="inlineStr">
        <is>
          <t>BOA VISTA AUTO ELETRICA LTDA</t>
        </is>
      </c>
      <c r="C32" s="15" t="inlineStr">
        <is>
          <t>Serviços</t>
        </is>
      </c>
      <c r="D32" s="13" t="n">
        <v>2</v>
      </c>
      <c r="E32" s="16" t="n">
        <v>2111</v>
      </c>
      <c r="F32" s="13" t="n">
        <v>0</v>
      </c>
      <c r="G32" s="16" t="n">
        <v>0</v>
      </c>
      <c r="H32" s="15" t="inlineStr">
        <is>
          <t>174, 295</t>
        </is>
      </c>
      <c r="I32" s="15" t="inlineStr">
        <is>
          <t>NOTAS FISCAIS DE COMPRA JANEIRO 2026.pdf</t>
        </is>
      </c>
    </row>
    <row r="33">
      <c r="A33" s="13" t="inlineStr"/>
      <c r="B33" s="13" t="inlineStr">
        <is>
          <t>CACIQUE PNEUS INDUSTRIA E COMERCIO LTDA</t>
        </is>
      </c>
      <c r="C33" s="15" t="inlineStr">
        <is>
          <t>Serviços</t>
        </is>
      </c>
      <c r="D33" s="13" t="n">
        <v>1</v>
      </c>
      <c r="E33" s="16" t="n">
        <v>2104.68</v>
      </c>
      <c r="F33" s="13" t="n">
        <v>0</v>
      </c>
      <c r="G33" s="16" t="n">
        <v>0</v>
      </c>
      <c r="H33" s="15" t="inlineStr">
        <is>
          <t>246</t>
        </is>
      </c>
      <c r="I33" s="15" t="inlineStr">
        <is>
          <t>NOTAS FISCAIS DE COMPRA JANEIRO 2026.pdf</t>
        </is>
      </c>
    </row>
    <row r="34">
      <c r="A34" s="13" t="inlineStr">
        <is>
          <t>53.605.493/0001-50</t>
        </is>
      </c>
      <c r="B34" s="13" t="inlineStr">
        <is>
          <t>JAILSON DA CONCEICAO PAIVA</t>
        </is>
      </c>
      <c r="C34" s="15" t="inlineStr">
        <is>
          <t>Servicos</t>
        </is>
      </c>
      <c r="D34" s="13" t="n">
        <v>1</v>
      </c>
      <c r="E34" s="16" t="n">
        <v>2000</v>
      </c>
      <c r="F34" s="13" t="n">
        <v>0</v>
      </c>
      <c r="G34" s="16" t="n">
        <v>0</v>
      </c>
      <c r="H34" s="15" t="inlineStr">
        <is>
          <t>56</t>
        </is>
      </c>
      <c r="I34" s="15" t="inlineStr">
        <is>
          <t>NOTAS FISCAIS DE COMPRA JANEIRO 2026.pdf</t>
        </is>
      </c>
    </row>
    <row r="35">
      <c r="A35" s="13" t="inlineStr">
        <is>
          <t>29.190.494/0003-68</t>
        </is>
      </c>
      <c r="B35" s="13" t="inlineStr">
        <is>
          <t>APODI DISTRIBUICAO E LOGISTICA LTDA</t>
        </is>
      </c>
      <c r="C35" s="15" t="inlineStr">
        <is>
          <t>Produtos</t>
        </is>
      </c>
      <c r="D35" s="13" t="n">
        <v>1</v>
      </c>
      <c r="E35" s="16" t="n">
        <v>1820</v>
      </c>
      <c r="F35" s="13" t="n">
        <v>0</v>
      </c>
      <c r="G35" s="16" t="n">
        <v>0</v>
      </c>
      <c r="H35" s="15" t="inlineStr">
        <is>
          <t>112</t>
        </is>
      </c>
      <c r="I35" s="15" t="inlineStr">
        <is>
          <t>NOTAS FISCAIS DE COMPRA JANEIRO 2026.pdf</t>
        </is>
      </c>
    </row>
    <row r="36">
      <c r="A36" s="13" t="inlineStr">
        <is>
          <t>84.431.352/0001-91</t>
        </is>
      </c>
      <c r="B36" s="13" t="inlineStr">
        <is>
          <t>INDUMAK MAQUINAS LTDA</t>
        </is>
      </c>
      <c r="C36" s="15" t="inlineStr">
        <is>
          <t>Produtos</t>
        </is>
      </c>
      <c r="D36" s="13" t="n">
        <v>1</v>
      </c>
      <c r="E36" s="16" t="n">
        <v>1587.23</v>
      </c>
      <c r="F36" s="13" t="n">
        <v>0</v>
      </c>
      <c r="G36" s="16" t="n">
        <v>0</v>
      </c>
      <c r="H36" s="15" t="inlineStr">
        <is>
          <t>84</t>
        </is>
      </c>
      <c r="I36" s="15" t="inlineStr">
        <is>
          <t>NOTAS FISCAIS DE COMPRA JANEIRO 2026.pdf</t>
        </is>
      </c>
    </row>
    <row r="37">
      <c r="A37" s="13" t="inlineStr">
        <is>
          <t>12.710.740/0001-09</t>
        </is>
      </c>
      <c r="B37" s="13" t="inlineStr">
        <is>
          <t>NATUS AMBIENTAL LTDA</t>
        </is>
      </c>
      <c r="C37" s="15" t="inlineStr">
        <is>
          <t>Serviços</t>
        </is>
      </c>
      <c r="D37" s="13" t="n">
        <v>2</v>
      </c>
      <c r="E37" s="16" t="n">
        <v>1516.1</v>
      </c>
      <c r="F37" s="13" t="n">
        <v>0</v>
      </c>
      <c r="G37" s="16" t="n">
        <v>0</v>
      </c>
      <c r="H37" s="15" t="inlineStr">
        <is>
          <t>157, 158</t>
        </is>
      </c>
      <c r="I37" s="15" t="inlineStr">
        <is>
          <t>NOTAS FISCAIS DE COMPRA JANEIRO 2026.pdf</t>
        </is>
      </c>
    </row>
    <row r="38">
      <c r="A38" s="13" t="inlineStr">
        <is>
          <t>03.800.995/0001-63</t>
        </is>
      </c>
      <c r="B38" s="13" t="inlineStr">
        <is>
          <t>MILMAQ METALURGICA E MANUTENCAO INDUSTRIAL LTDA - ME</t>
        </is>
      </c>
      <c r="C38" s="15" t="inlineStr">
        <is>
          <t>Serviços</t>
        </is>
      </c>
      <c r="D38" s="13" t="n">
        <v>1</v>
      </c>
      <c r="E38" s="16" t="n">
        <v>1500</v>
      </c>
      <c r="F38" s="13" t="n">
        <v>0</v>
      </c>
      <c r="G38" s="16" t="n">
        <v>0</v>
      </c>
      <c r="H38" s="15" t="inlineStr">
        <is>
          <t>215</t>
        </is>
      </c>
      <c r="I38" s="15" t="inlineStr">
        <is>
          <t>NOTAS FISCAIS DE COMPRA JANEIRO 2026.pdf</t>
        </is>
      </c>
    </row>
    <row r="39">
      <c r="A39" s="13" t="inlineStr">
        <is>
          <t>02.891.966/0001-91</t>
        </is>
      </c>
      <c r="B39" s="13" t="inlineStr">
        <is>
          <t>A LUIZ NETO LTDA</t>
        </is>
      </c>
      <c r="C39" s="15" t="inlineStr">
        <is>
          <t>Serviços</t>
        </is>
      </c>
      <c r="D39" s="13" t="n">
        <v>1</v>
      </c>
      <c r="E39" s="16" t="n">
        <v>1500</v>
      </c>
      <c r="F39" s="13" t="n">
        <v>0</v>
      </c>
      <c r="G39" s="16" t="n">
        <v>0</v>
      </c>
      <c r="H39" s="15" t="inlineStr">
        <is>
          <t>292</t>
        </is>
      </c>
      <c r="I39" s="15" t="inlineStr">
        <is>
          <t>NOTAS FISCAIS DE COMPRA JANEIRO 2026.pdf</t>
        </is>
      </c>
    </row>
    <row r="40">
      <c r="A40" s="13" t="inlineStr">
        <is>
          <t>24.625.077/0001-15</t>
        </is>
      </c>
      <c r="B40" s="13" t="inlineStr">
        <is>
          <t>AUTO SHOP RASTREAMENTO LTDA</t>
        </is>
      </c>
      <c r="C40" s="15" t="inlineStr">
        <is>
          <t>Servicos</t>
        </is>
      </c>
      <c r="D40" s="13" t="n">
        <v>1</v>
      </c>
      <c r="E40" s="16" t="n">
        <v>1198</v>
      </c>
      <c r="F40" s="13" t="n">
        <v>0</v>
      </c>
      <c r="G40" s="16" t="n">
        <v>0</v>
      </c>
      <c r="H40" s="15" t="inlineStr">
        <is>
          <t>39</t>
        </is>
      </c>
      <c r="I40" s="15" t="inlineStr">
        <is>
          <t>NOTAS FISCAIS DE COMPRA JANEIRO 2026.pdf</t>
        </is>
      </c>
    </row>
    <row r="41">
      <c r="A41" s="13" t="inlineStr">
        <is>
          <t>32.021.015/0001-22</t>
        </is>
      </c>
      <c r="B41" s="13" t="inlineStr">
        <is>
          <t>ELITE PECAS E MAQUINAS LTDA</t>
        </is>
      </c>
      <c r="C41" s="15" t="inlineStr">
        <is>
          <t>Produtos</t>
        </is>
      </c>
      <c r="D41" s="13" t="n">
        <v>1</v>
      </c>
      <c r="E41" s="16" t="n">
        <v>1016.4</v>
      </c>
      <c r="F41" s="13" t="n">
        <v>0</v>
      </c>
      <c r="G41" s="16" t="n">
        <v>0</v>
      </c>
      <c r="H41" s="15" t="inlineStr">
        <is>
          <t>150</t>
        </is>
      </c>
      <c r="I41" s="15" t="inlineStr">
        <is>
          <t>NOTAS FISCAIS DE COMPRA JANEIRO 2026.pdf</t>
        </is>
      </c>
    </row>
    <row r="42">
      <c r="A42" s="13" t="inlineStr">
        <is>
          <t>57.460.869/0001-36</t>
        </is>
      </c>
      <c r="B42" s="13" t="inlineStr">
        <is>
          <t>MARCOS JOSE FONTANA HANUS</t>
        </is>
      </c>
      <c r="C42" s="15" t="inlineStr">
        <is>
          <t>Servicos, Serviços</t>
        </is>
      </c>
      <c r="D42" s="13" t="n">
        <v>3</v>
      </c>
      <c r="E42" s="16" t="n">
        <v>932</v>
      </c>
      <c r="F42" s="13" t="n">
        <v>0</v>
      </c>
      <c r="G42" s="16" t="n">
        <v>0</v>
      </c>
      <c r="H42" s="15" t="inlineStr">
        <is>
          <t>60, 247, 253</t>
        </is>
      </c>
      <c r="I42" s="15" t="inlineStr">
        <is>
          <t>NOTAS FISCAIS DE COMPRA JANEIRO 2026.pdf</t>
        </is>
      </c>
    </row>
    <row r="43">
      <c r="A43" s="13" t="inlineStr">
        <is>
          <t>05.499.676/0001-95</t>
        </is>
      </c>
      <c r="B43" s="13" t="inlineStr">
        <is>
          <t>AREA CONTRIBUTENTE: MENSAGENS PRIORITARIAS / AVISOS AO CONSUMIDOR .</t>
        </is>
      </c>
      <c r="C43" s="15" t="inlineStr">
        <is>
          <t>Servicos</t>
        </is>
      </c>
      <c r="D43" s="13" t="n">
        <v>1</v>
      </c>
      <c r="E43" s="16" t="n">
        <v>900</v>
      </c>
      <c r="F43" s="13" t="n">
        <v>0</v>
      </c>
      <c r="G43" s="16" t="n">
        <v>0</v>
      </c>
      <c r="H43" s="15" t="inlineStr">
        <is>
          <t>161</t>
        </is>
      </c>
      <c r="I43" s="15" t="inlineStr">
        <is>
          <t>NOTAS FISCAIS DE COMPRA JANEIRO 2026.pdf</t>
        </is>
      </c>
    </row>
    <row r="44">
      <c r="A44" s="13" t="inlineStr">
        <is>
          <t>06.840.748/0002-69</t>
        </is>
      </c>
      <c r="B44" s="13" t="inlineStr">
        <is>
          <t>EQUATORIAL PIAUI DISTRIBUIDORA DE ENERGIA S.A.</t>
        </is>
      </c>
      <c r="C44" s="15" t="inlineStr">
        <is>
          <t>Energia</t>
        </is>
      </c>
      <c r="D44" s="13" t="n">
        <v>1</v>
      </c>
      <c r="E44" s="16" t="n">
        <v>843.08</v>
      </c>
      <c r="F44" s="13" t="n">
        <v>0</v>
      </c>
      <c r="G44" s="16" t="n">
        <v>0</v>
      </c>
      <c r="H44" s="15" t="inlineStr">
        <is>
          <t>5</t>
        </is>
      </c>
      <c r="I44" s="15" t="inlineStr">
        <is>
          <t>NOTAS FISCAIS DE COMPRA JANEIRO 2026.pdf</t>
        </is>
      </c>
    </row>
    <row r="45">
      <c r="A45" s="13" t="inlineStr">
        <is>
          <t>25.140.178/0001-69</t>
        </is>
      </c>
      <c r="B45" s="13" t="inlineStr">
        <is>
          <t>BORGES &amp; CAMURCA RESTAURANTES LTDA</t>
        </is>
      </c>
      <c r="C45" s="15" t="inlineStr">
        <is>
          <t>Produtos</t>
        </is>
      </c>
      <c r="D45" s="13" t="n">
        <v>1</v>
      </c>
      <c r="E45" s="16" t="n">
        <v>819</v>
      </c>
      <c r="F45" s="13" t="n">
        <v>0</v>
      </c>
      <c r="G45" s="16" t="n">
        <v>0</v>
      </c>
      <c r="H45" s="15" t="inlineStr">
        <is>
          <t>147</t>
        </is>
      </c>
      <c r="I45" s="15" t="inlineStr">
        <is>
          <t>NOTAS FISCAIS DE COMPRA JANEIRO 2026.pdf</t>
        </is>
      </c>
    </row>
    <row r="46">
      <c r="A46" s="13" t="inlineStr">
        <is>
          <t>31.838.128/0025-20</t>
        </is>
      </c>
      <c r="B46" s="13" t="inlineStr">
        <is>
          <t>DISTRIBUICAO DE ALIMENTOS VANGUARDA S/A</t>
        </is>
      </c>
      <c r="C46" s="15" t="inlineStr">
        <is>
          <t>Produtos</t>
        </is>
      </c>
      <c r="D46" s="13" t="n">
        <v>1</v>
      </c>
      <c r="E46" s="16" t="n">
        <v>800</v>
      </c>
      <c r="F46" s="13" t="n">
        <v>0</v>
      </c>
      <c r="G46" s="16" t="n">
        <v>0</v>
      </c>
      <c r="H46" s="15" t="inlineStr">
        <is>
          <t>81</t>
        </is>
      </c>
      <c r="I46" s="15" t="inlineStr">
        <is>
          <t>NOTAS FISCAIS DE COMPRA JANEIRO 2026.pdf</t>
        </is>
      </c>
    </row>
    <row r="47">
      <c r="A47" s="13" t="inlineStr"/>
      <c r="B47" s="13" t="inlineStr">
        <is>
          <t>- REPRESENTANTES COMERCIAIS E AGENTES DO COMERGIO DE MADEIRA, MATERIAL DE CONSTRUCAO E FERRAGENS,</t>
        </is>
      </c>
      <c r="C47" s="15" t="inlineStr">
        <is>
          <t>Servicos</t>
        </is>
      </c>
      <c r="D47" s="13" t="n">
        <v>1</v>
      </c>
      <c r="E47" s="16" t="n">
        <v>797.5599999999999</v>
      </c>
      <c r="F47" s="13" t="n">
        <v>0</v>
      </c>
      <c r="G47" s="16" t="n">
        <v>0</v>
      </c>
      <c r="H47" s="15" t="inlineStr">
        <is>
          <t>31</t>
        </is>
      </c>
      <c r="I47" s="15" t="inlineStr">
        <is>
          <t>NOTAS FISCAIS DE COMPRA JANEIRO 2026.pdf</t>
        </is>
      </c>
    </row>
    <row r="48">
      <c r="A48" s="13" t="inlineStr">
        <is>
          <t>29.100.059/0001-33</t>
        </is>
      </c>
      <c r="B48" s="13" t="inlineStr">
        <is>
          <t>F. ALVES CAMINHA - ME</t>
        </is>
      </c>
      <c r="C48" s="15" t="inlineStr">
        <is>
          <t>Servicos</t>
        </is>
      </c>
      <c r="D48" s="13" t="n">
        <v>1</v>
      </c>
      <c r="E48" s="16" t="n">
        <v>797.5599999999999</v>
      </c>
      <c r="F48" s="13" t="n">
        <v>0</v>
      </c>
      <c r="G48" s="16" t="n">
        <v>0</v>
      </c>
      <c r="H48" s="15" t="inlineStr">
        <is>
          <t>63</t>
        </is>
      </c>
      <c r="I48" s="15" t="inlineStr">
        <is>
          <t>NOTAS FISCAIS DE COMPRA JANEIRO 2026.pdf</t>
        </is>
      </c>
    </row>
    <row r="49">
      <c r="A49" s="13" t="inlineStr">
        <is>
          <t>20.504.019/0001-82</t>
        </is>
      </c>
      <c r="B49" s="13" t="inlineStr">
        <is>
          <t>GESTAO - INOVACAO EMPRESARIAL LTDA</t>
        </is>
      </c>
      <c r="C49" s="15" t="inlineStr">
        <is>
          <t>Servicos</t>
        </is>
      </c>
      <c r="D49" s="13" t="n">
        <v>1</v>
      </c>
      <c r="E49" s="16" t="n">
        <v>759</v>
      </c>
      <c r="F49" s="13" t="n">
        <v>0</v>
      </c>
      <c r="G49" s="16" t="n">
        <v>0</v>
      </c>
      <c r="H49" s="15" t="inlineStr">
        <is>
          <t>12</t>
        </is>
      </c>
      <c r="I49" s="15" t="inlineStr">
        <is>
          <t>NOTAS FISCAIS DE COMPRA JANEIRO 2026.pdf</t>
        </is>
      </c>
    </row>
    <row r="50">
      <c r="A50" s="13" t="inlineStr">
        <is>
          <t>37.102.634/0001-65</t>
        </is>
      </c>
      <c r="B50" s="13" t="inlineStr">
        <is>
          <t>MINERAR ENGENHARIA E MEIO AMBIENTE LTDA</t>
        </is>
      </c>
      <c r="C50" s="15" t="inlineStr">
        <is>
          <t>Servicos</t>
        </is>
      </c>
      <c r="D50" s="13" t="n">
        <v>1</v>
      </c>
      <c r="E50" s="16" t="n">
        <v>759</v>
      </c>
      <c r="F50" s="13" t="n">
        <v>0</v>
      </c>
      <c r="G50" s="16" t="n">
        <v>0</v>
      </c>
      <c r="H50" s="15" t="inlineStr">
        <is>
          <t>61</t>
        </is>
      </c>
      <c r="I50" s="15" t="inlineStr">
        <is>
          <t>NOTAS FISCAIS DE COMPRA JANEIRO 2026.pdf</t>
        </is>
      </c>
    </row>
    <row r="51">
      <c r="A51" s="13" t="inlineStr">
        <is>
          <t>08.871.746/0001-90</t>
        </is>
      </c>
      <c r="B51" s="13" t="inlineStr">
        <is>
          <t>R F DAS B LEMOS - ME</t>
        </is>
      </c>
      <c r="C51" s="15" t="inlineStr">
        <is>
          <t>Serviços</t>
        </is>
      </c>
      <c r="D51" s="13" t="n">
        <v>1</v>
      </c>
      <c r="E51" s="16" t="n">
        <v>751.47</v>
      </c>
      <c r="F51" s="13" t="n">
        <v>0</v>
      </c>
      <c r="G51" s="16" t="n">
        <v>0</v>
      </c>
      <c r="H51" s="15" t="inlineStr">
        <is>
          <t>154</t>
        </is>
      </c>
      <c r="I51" s="15" t="inlineStr">
        <is>
          <t>NOTAS FISCAIS DE COMPRA JANEIRO 2026.pdf</t>
        </is>
      </c>
    </row>
    <row r="52">
      <c r="A52" s="13" t="inlineStr">
        <is>
          <t>11.257.580/0001-13</t>
        </is>
      </c>
      <c r="B52" s="13" t="inlineStr">
        <is>
          <t>LENCO CENTRO DE CONTROLE TECNOLOGICO LTDA</t>
        </is>
      </c>
      <c r="C52" s="15" t="inlineStr">
        <is>
          <t>Servicos</t>
        </is>
      </c>
      <c r="D52" s="13" t="n">
        <v>1</v>
      </c>
      <c r="E52" s="16" t="n">
        <v>750</v>
      </c>
      <c r="F52" s="13" t="n">
        <v>0</v>
      </c>
      <c r="G52" s="16" t="n">
        <v>0</v>
      </c>
      <c r="H52" s="15" t="inlineStr">
        <is>
          <t>135</t>
        </is>
      </c>
      <c r="I52" s="15" t="inlineStr">
        <is>
          <t>NOTAS FISCAIS DE COMPRA JANEIRO 2026.pdf</t>
        </is>
      </c>
    </row>
    <row r="53">
      <c r="A53" s="13" t="inlineStr">
        <is>
          <t>24.870.571/0001-45</t>
        </is>
      </c>
      <c r="B53" s="13" t="inlineStr">
        <is>
          <t>JORGE GUILHERME COSTA FERREIRA</t>
        </is>
      </c>
      <c r="C53" s="15" t="inlineStr">
        <is>
          <t>Servicos</t>
        </is>
      </c>
      <c r="D53" s="13" t="n">
        <v>1</v>
      </c>
      <c r="E53" s="16" t="n">
        <v>500</v>
      </c>
      <c r="F53" s="13" t="n">
        <v>0</v>
      </c>
      <c r="G53" s="16" t="n">
        <v>0</v>
      </c>
      <c r="H53" s="15" t="inlineStr">
        <is>
          <t>113</t>
        </is>
      </c>
      <c r="I53" s="15" t="inlineStr">
        <is>
          <t>NOTAS FISCAIS DE COMPRA JANEIRO 2026.pdf</t>
        </is>
      </c>
    </row>
    <row r="54">
      <c r="A54" s="13" t="inlineStr">
        <is>
          <t>24.976.787/0001-90</t>
        </is>
      </c>
      <c r="B54" s="13" t="inlineStr">
        <is>
          <t>MARINA NAYARA FLORES GUIMARAES - ME</t>
        </is>
      </c>
      <c r="C54" s="15" t="inlineStr">
        <is>
          <t>Serviços</t>
        </is>
      </c>
      <c r="D54" s="13" t="n">
        <v>2</v>
      </c>
      <c r="E54" s="16" t="n">
        <v>480</v>
      </c>
      <c r="F54" s="13" t="n">
        <v>0</v>
      </c>
      <c r="G54" s="16" t="n">
        <v>0</v>
      </c>
      <c r="H54" s="15" t="inlineStr">
        <is>
          <t>271, 272</t>
        </is>
      </c>
      <c r="I54" s="15" t="inlineStr">
        <is>
          <t>NOTAS FISCAIS DE COMPRA JANEIRO 2026.pdf</t>
        </is>
      </c>
    </row>
    <row r="55">
      <c r="A55" s="13" t="inlineStr">
        <is>
          <t>00.850.820/0001-72</t>
        </is>
      </c>
      <c r="B55" s="13" t="inlineStr">
        <is>
          <t>CONNECT INFORMACOES E TECNOLOGIA SA</t>
        </is>
      </c>
      <c r="C55" s="15" t="inlineStr">
        <is>
          <t>Servicos</t>
        </is>
      </c>
      <c r="D55" s="13" t="n">
        <v>1</v>
      </c>
      <c r="E55" s="16" t="n">
        <v>460</v>
      </c>
      <c r="F55" s="13" t="n">
        <v>0</v>
      </c>
      <c r="G55" s="16" t="n">
        <v>0</v>
      </c>
      <c r="H55" s="15" t="inlineStr">
        <is>
          <t>111</t>
        </is>
      </c>
      <c r="I55" s="15" t="inlineStr">
        <is>
          <t>NOTAS FISCAIS DE COMPRA JANEIRO 2026.pdf</t>
        </is>
      </c>
    </row>
    <row r="56">
      <c r="A56" s="13" t="inlineStr">
        <is>
          <t>19.255.075/0001-41</t>
        </is>
      </c>
      <c r="B56" s="13" t="inlineStr">
        <is>
          <t>ROMILSON SILVA DE ASSIS</t>
        </is>
      </c>
      <c r="C56" s="15" t="inlineStr">
        <is>
          <t>Produtos</t>
        </is>
      </c>
      <c r="D56" s="13" t="n">
        <v>1</v>
      </c>
      <c r="E56" s="16" t="n">
        <v>350</v>
      </c>
      <c r="F56" s="13" t="n">
        <v>0</v>
      </c>
      <c r="G56" s="16" t="n">
        <v>0</v>
      </c>
      <c r="H56" s="15" t="inlineStr">
        <is>
          <t>59</t>
        </is>
      </c>
      <c r="I56" s="15" t="inlineStr">
        <is>
          <t>NOTAS FISCAIS DE COMPRA JANEIRO 2026.pdf</t>
        </is>
      </c>
    </row>
    <row r="57">
      <c r="A57" s="13" t="inlineStr">
        <is>
          <t>07.128.744/0001-35</t>
        </is>
      </c>
      <c r="B57" s="13" t="inlineStr">
        <is>
          <t>DUO TELECOM LTDA</t>
        </is>
      </c>
      <c r="C57" s="15" t="inlineStr">
        <is>
          <t>Servicos</t>
        </is>
      </c>
      <c r="D57" s="13" t="n">
        <v>1</v>
      </c>
      <c r="E57" s="16" t="n">
        <v>300</v>
      </c>
      <c r="F57" s="13" t="n">
        <v>0</v>
      </c>
      <c r="G57" s="16" t="n">
        <v>0</v>
      </c>
      <c r="H57" s="15" t="inlineStr">
        <is>
          <t>149</t>
        </is>
      </c>
      <c r="I57" s="15" t="inlineStr">
        <is>
          <t>NOTAS FISCAIS DE COMPRA JANEIRO 2026.pdf</t>
        </is>
      </c>
    </row>
    <row r="58">
      <c r="A58" s="13" t="inlineStr">
        <is>
          <t>10.708.117/0001-88</t>
        </is>
      </c>
      <c r="B58" s="13" t="inlineStr">
        <is>
          <t>VANGUARD PECAS E SERVICOS AUTOMOTIVOS LTDA</t>
        </is>
      </c>
      <c r="C58" s="15" t="inlineStr">
        <is>
          <t>Servicos</t>
        </is>
      </c>
      <c r="D58" s="13" t="n">
        <v>1</v>
      </c>
      <c r="E58" s="16" t="n">
        <v>270</v>
      </c>
      <c r="F58" s="13" t="n">
        <v>0</v>
      </c>
      <c r="G58" s="16" t="n">
        <v>0</v>
      </c>
      <c r="H58" s="15" t="inlineStr">
        <is>
          <t>144</t>
        </is>
      </c>
      <c r="I58" s="15" t="inlineStr">
        <is>
          <t>NOTAS FISCAIS DE COMPRA JANEIRO 2026.pdf</t>
        </is>
      </c>
    </row>
    <row r="59">
      <c r="A59" s="13" t="inlineStr">
        <is>
          <t>13.??</t>
        </is>
      </c>
      <c r="B59" s="13" t="inlineStr">
        <is>
          <t>PAZ &amp; SAMPAIO LTDA - MM LOCACOES</t>
        </is>
      </c>
      <c r="C59" s="15" t="inlineStr">
        <is>
          <t>Servicos</t>
        </is>
      </c>
      <c r="D59" s="13" t="n">
        <v>1</v>
      </c>
      <c r="E59" s="16" t="n">
        <v>265</v>
      </c>
      <c r="F59" s="13" t="n">
        <v>0</v>
      </c>
      <c r="G59" s="16" t="n">
        <v>0</v>
      </c>
      <c r="H59" s="15" t="inlineStr">
        <is>
          <t>130</t>
        </is>
      </c>
      <c r="I59" s="15" t="inlineStr">
        <is>
          <t>NOTAS FISCAIS DE COMPRA JANEIRO 2026.pdf</t>
        </is>
      </c>
    </row>
    <row r="60">
      <c r="A60" s="13" t="inlineStr">
        <is>
          <t>06.987.622/0001-31</t>
        </is>
      </c>
      <c r="B60" s="13" t="inlineStr">
        <is>
          <t>J R C DE ANDRADES LTDA</t>
        </is>
      </c>
      <c r="C60" s="15" t="inlineStr">
        <is>
          <t>Servicos</t>
        </is>
      </c>
      <c r="D60" s="13" t="n">
        <v>1</v>
      </c>
      <c r="E60" s="16" t="n">
        <v>139.9</v>
      </c>
      <c r="F60" s="13" t="n">
        <v>0</v>
      </c>
      <c r="G60" s="16" t="n">
        <v>0</v>
      </c>
      <c r="H60" s="15" t="inlineStr">
        <is>
          <t>80</t>
        </is>
      </c>
      <c r="I60" s="15" t="inlineStr">
        <is>
          <t>NOTAS FISCAIS DE COMPRA JANEIRO 2026.pdf</t>
        </is>
      </c>
    </row>
    <row r="61">
      <c r="A61" s="13" t="inlineStr">
        <is>
          <t>22.729.208/0001-89</t>
        </is>
      </c>
      <c r="B61" s="13" t="inlineStr">
        <is>
          <t>M H F SANTOS AUTOPECAS</t>
        </is>
      </c>
      <c r="C61" s="15" t="inlineStr">
        <is>
          <t>Serviços</t>
        </is>
      </c>
      <c r="D61" s="13" t="n">
        <v>1</v>
      </c>
      <c r="E61" s="16" t="n">
        <v>120</v>
      </c>
      <c r="F61" s="13" t="n">
        <v>0</v>
      </c>
      <c r="G61" s="16" t="n">
        <v>0</v>
      </c>
      <c r="H61" s="15" t="inlineStr">
        <is>
          <t>294</t>
        </is>
      </c>
      <c r="I61" s="15" t="inlineStr">
        <is>
          <t>NOTAS FISCAIS DE COMPRA JANEIRO 2026.pdf</t>
        </is>
      </c>
    </row>
    <row r="62">
      <c r="A62" s="13" t="inlineStr"/>
      <c r="B62" s="13" t="inlineStr">
        <is>
          <t>TERRA NOVA (LOT. Meco 16459, SAO SEBASTIAO.</t>
        </is>
      </c>
      <c r="C62" s="15" t="inlineStr">
        <is>
          <t>Servicos</t>
        </is>
      </c>
      <c r="D62" s="13" t="n">
        <v>1</v>
      </c>
      <c r="E62" s="16" t="n">
        <v>7.5</v>
      </c>
      <c r="F62" s="13" t="n">
        <v>0</v>
      </c>
      <c r="G62" s="16" t="n">
        <v>0</v>
      </c>
      <c r="H62" s="15" t="inlineStr">
        <is>
          <t>28</t>
        </is>
      </c>
      <c r="I62" s="15" t="inlineStr">
        <is>
          <t>NOTAS FISCAIS DE COMPRA JANEIRO 2026.pdf</t>
        </is>
      </c>
    </row>
    <row r="63">
      <c r="A63" s="13" t="inlineStr"/>
      <c r="B63" s="13" t="inlineStr">
        <is>
          <t>‘wrwwenfefazenda.gov-briportal ou no site da Sefaz Autorizadora</t>
        </is>
      </c>
      <c r="C63" s="15" t="inlineStr">
        <is>
          <t>Produtos</t>
        </is>
      </c>
      <c r="D63" s="13" t="n">
        <v>0</v>
      </c>
      <c r="E63" s="16" t="n">
        <v>0</v>
      </c>
      <c r="F63" s="13" t="n">
        <v>1</v>
      </c>
      <c r="G63" s="16" t="n">
        <v>0</v>
      </c>
      <c r="H63" s="15" t="inlineStr">
        <is>
          <t>7</t>
        </is>
      </c>
      <c r="I63" s="15" t="inlineStr">
        <is>
          <t>NOTAS FISCAIS DE COMPRA JANEIRO 2026.pdf</t>
        </is>
      </c>
    </row>
    <row r="64">
      <c r="A64" s="13" t="inlineStr"/>
      <c r="B64" s="13" t="inlineStr">
        <is>
          <t>FORNECEDORA CAMINHOES COMERCIO SERVIC</t>
        </is>
      </c>
      <c r="C64" s="15" t="inlineStr">
        <is>
          <t>Produtos</t>
        </is>
      </c>
      <c r="D64" s="13" t="n">
        <v>0</v>
      </c>
      <c r="E64" s="16" t="n">
        <v>0</v>
      </c>
      <c r="F64" s="13" t="n">
        <v>1</v>
      </c>
      <c r="G64" s="16" t="n">
        <v>0</v>
      </c>
      <c r="H64" s="15" t="inlineStr">
        <is>
          <t>8</t>
        </is>
      </c>
      <c r="I64" s="15" t="inlineStr">
        <is>
          <t>NOTAS FISCAIS DE COMPRA JANEIRO 2026.pdf</t>
        </is>
      </c>
    </row>
    <row r="65">
      <c r="A65" s="13" t="inlineStr">
        <is>
          <t>31.838.128/0025-20</t>
        </is>
      </c>
      <c r="B65" s="13" t="inlineStr">
        <is>
          <t>| www.nfe.fazenda.gov.br/portal ou no site da Sefaz Autorizadora</t>
        </is>
      </c>
      <c r="C65" s="15" t="inlineStr">
        <is>
          <t>Produtos</t>
        </is>
      </c>
      <c r="D65" s="13" t="n">
        <v>0</v>
      </c>
      <c r="E65" s="16" t="n">
        <v>0</v>
      </c>
      <c r="F65" s="13" t="n">
        <v>1</v>
      </c>
      <c r="G65" s="16" t="n">
        <v>0</v>
      </c>
      <c r="H65" s="15" t="inlineStr">
        <is>
          <t>16</t>
        </is>
      </c>
      <c r="I65" s="15" t="inlineStr">
        <is>
          <t>NOTAS FISCAIS DE COMPRA JANEIRO 2026.pdf</t>
        </is>
      </c>
    </row>
    <row r="66">
      <c r="A66" s="13" t="inlineStr">
        <is>
          <t>29.190.494/0003-68</t>
        </is>
      </c>
      <c r="B66" s="13" t="inlineStr">
        <is>
          <t>www nfefazenda,gov.briportal ou no site da Sefiv Autorizadora</t>
        </is>
      </c>
      <c r="C66" s="15" t="inlineStr">
        <is>
          <t>Produtos</t>
        </is>
      </c>
      <c r="D66" s="13" t="n">
        <v>0</v>
      </c>
      <c r="E66" s="16" t="n">
        <v>0</v>
      </c>
      <c r="F66" s="13" t="n">
        <v>1</v>
      </c>
      <c r="G66" s="16" t="n">
        <v>0</v>
      </c>
      <c r="H66" s="15" t="inlineStr">
        <is>
          <t>20</t>
        </is>
      </c>
      <c r="I66" s="15" t="inlineStr">
        <is>
          <t>NOTAS FISCAIS DE COMPRA JANEIRO 2026.pdf</t>
        </is>
      </c>
    </row>
    <row r="67">
      <c r="A67" s="13" t="inlineStr">
        <is>
          <t>29.190.494/0003-68</t>
        </is>
      </c>
      <c r="B67" s="13" t="inlineStr">
        <is>
          <t>www. nfe.fazenda,gov.br/portal ou no site da Sefaz Autorizadora</t>
        </is>
      </c>
      <c r="C67" s="15" t="inlineStr">
        <is>
          <t>Produtos</t>
        </is>
      </c>
      <c r="D67" s="13" t="n">
        <v>0</v>
      </c>
      <c r="E67" s="16" t="n">
        <v>0</v>
      </c>
      <c r="F67" s="13" t="n">
        <v>1</v>
      </c>
      <c r="G67" s="16" t="n">
        <v>0</v>
      </c>
      <c r="H67" s="15" t="inlineStr">
        <is>
          <t>21</t>
        </is>
      </c>
      <c r="I67" s="15" t="inlineStr">
        <is>
          <t>NOTAS FISCAIS DE COMPRA JANEIRO 2026.pdf</t>
        </is>
      </c>
    </row>
    <row r="68">
      <c r="A68" s="13" t="inlineStr"/>
      <c r="B68" s="13" t="inlineStr">
        <is>
          <t>TRANS VNC TRANSPORTES EIRELI</t>
        </is>
      </c>
      <c r="C68" s="15" t="inlineStr">
        <is>
          <t>Fretes</t>
        </is>
      </c>
      <c r="D68" s="13" t="n">
        <v>0</v>
      </c>
      <c r="E68" s="16" t="n">
        <v>0</v>
      </c>
      <c r="F68" s="13" t="n">
        <v>1</v>
      </c>
      <c r="G68" s="16" t="n">
        <v>703</v>
      </c>
      <c r="H68" s="15" t="inlineStr">
        <is>
          <t>25</t>
        </is>
      </c>
      <c r="I68" s="15" t="inlineStr">
        <is>
          <t>NOTAS FISCAIS DE COMPRA JANEIRO 2026.pdf</t>
        </is>
      </c>
    </row>
    <row r="69">
      <c r="A69" s="13" t="inlineStr">
        <is>
          <t>04.949.601/0001-04</t>
        </is>
      </c>
      <c r="B69" s="13" t="inlineStr">
        <is>
          <t>TE5TOCOLO DE AUTORLZNGRODEUSO</t>
        </is>
      </c>
      <c r="C69" s="15" t="inlineStr">
        <is>
          <t>Produtos</t>
        </is>
      </c>
      <c r="D69" s="13" t="n">
        <v>0</v>
      </c>
      <c r="E69" s="16" t="n">
        <v>0</v>
      </c>
      <c r="F69" s="13" t="n">
        <v>1</v>
      </c>
      <c r="G69" s="16" t="n">
        <v>0</v>
      </c>
      <c r="H69" s="15" t="inlineStr">
        <is>
          <t>26</t>
        </is>
      </c>
      <c r="I69" s="15" t="inlineStr">
        <is>
          <t>NOTAS FISCAIS DE COMPRA JANEIRO 2026.pdf</t>
        </is>
      </c>
    </row>
    <row r="70">
      <c r="A70" s="13" t="inlineStr">
        <is>
          <t>40.439.061/0001-74</t>
        </is>
      </c>
      <c r="B70" s="13" t="inlineStr">
        <is>
          <t>RIGARDO RODRIGUES DE SOUSA 90931442370</t>
        </is>
      </c>
      <c r="C70" s="15" t="inlineStr">
        <is>
          <t>Servicos</t>
        </is>
      </c>
      <c r="D70" s="13" t="n">
        <v>0</v>
      </c>
      <c r="E70" s="16" t="n">
        <v>0</v>
      </c>
      <c r="F70" s="13" t="n">
        <v>1</v>
      </c>
      <c r="G70" s="16" t="n">
        <v>0</v>
      </c>
      <c r="H70" s="15" t="inlineStr">
        <is>
          <t>29</t>
        </is>
      </c>
      <c r="I70" s="15" t="inlineStr">
        <is>
          <t>NOTAS FISCAIS DE COMPRA JANEIRO 2026.pdf</t>
        </is>
      </c>
    </row>
    <row r="71">
      <c r="A71" s="13" t="inlineStr"/>
      <c r="B71" s="13" t="inlineStr">
        <is>
          <t>Dest Skin NGENHARIA INDUSTRIA E COMERCIO LTDA AVENIDA SAOTRANCISCO, 100 -PAROUE JUKEMA » TERFSINA 1</t>
        </is>
      </c>
      <c r="C71" s="15" t="inlineStr">
        <is>
          <t>Produtos</t>
        </is>
      </c>
      <c r="D71" s="13" t="n">
        <v>0</v>
      </c>
      <c r="E71" s="16" t="n">
        <v>0</v>
      </c>
      <c r="F71" s="13" t="n">
        <v>1</v>
      </c>
      <c r="G71" s="16" t="n">
        <v>0</v>
      </c>
      <c r="H71" s="15" t="inlineStr">
        <is>
          <t>32</t>
        </is>
      </c>
      <c r="I71" s="15" t="inlineStr">
        <is>
          <t>NOTAS FISCAIS DE COMPRA JANEIRO 2026.pdf</t>
        </is>
      </c>
    </row>
    <row r="72">
      <c r="A72" s="13" t="inlineStr">
        <is>
          <t>46.091.289/0001-00</t>
        </is>
      </c>
      <c r="B72" s="13" t="inlineStr">
        <is>
          <t>\CPNGENIARIA INDUSTRIA F COMERCKO LTDA AVENIDA SAO FRANCISCO, 4000- PARQUE JUREMA - TERESINA =</t>
        </is>
      </c>
      <c r="C72" s="15" t="inlineStr">
        <is>
          <t>Produtos</t>
        </is>
      </c>
      <c r="D72" s="13" t="n">
        <v>0</v>
      </c>
      <c r="E72" s="16" t="n">
        <v>0</v>
      </c>
      <c r="F72" s="13" t="n">
        <v>1</v>
      </c>
      <c r="G72" s="16" t="n">
        <v>0</v>
      </c>
      <c r="H72" s="15" t="inlineStr">
        <is>
          <t>36</t>
        </is>
      </c>
      <c r="I72" s="15" t="inlineStr">
        <is>
          <t>NOTAS FISCAIS DE COMPRA JANEIRO 2026.pdf</t>
        </is>
      </c>
    </row>
    <row r="73">
      <c r="A73" s="13" t="inlineStr"/>
      <c r="B73" s="13" t="inlineStr">
        <is>
          <t>E-moll</t>
        </is>
      </c>
      <c r="C73" s="15" t="inlineStr">
        <is>
          <t>Servicos</t>
        </is>
      </c>
      <c r="D73" s="13" t="n">
        <v>0</v>
      </c>
      <c r="E73" s="16" t="n">
        <v>0</v>
      </c>
      <c r="F73" s="13" t="n">
        <v>1</v>
      </c>
      <c r="G73" s="16" t="n">
        <v>0</v>
      </c>
      <c r="H73" s="15" t="inlineStr">
        <is>
          <t>40</t>
        </is>
      </c>
      <c r="I73" s="15" t="inlineStr">
        <is>
          <t>NOTAS FISCAIS DE COMPRA JANEIRO 2026.pdf</t>
        </is>
      </c>
    </row>
    <row r="74">
      <c r="A74" s="13" t="inlineStr">
        <is>
          <t>07.352.685/0001-84</t>
        </is>
      </c>
      <c r="B74" s="13" t="inlineStr">
        <is>
          <t>JUVENCIO REPRESENTACOES LIMITADA</t>
        </is>
      </c>
      <c r="C74" s="15" t="inlineStr">
        <is>
          <t>Servicos</t>
        </is>
      </c>
      <c r="D74" s="13" t="n">
        <v>0</v>
      </c>
      <c r="E74" s="16" t="n">
        <v>0</v>
      </c>
      <c r="F74" s="13" t="n">
        <v>2</v>
      </c>
      <c r="G74" s="16" t="n">
        <v>31325.86</v>
      </c>
      <c r="H74" s="15" t="inlineStr">
        <is>
          <t>69, 70</t>
        </is>
      </c>
      <c r="I74" s="15" t="inlineStr">
        <is>
          <t>NOTAS FISCAIS DE COMPRA JANEIRO 2026.pdf</t>
        </is>
      </c>
    </row>
    <row r="75">
      <c r="A75" s="13" t="inlineStr">
        <is>
          <t>60.366.345/0002-91</t>
        </is>
      </c>
      <c r="B75" s="13" t="inlineStr">
        <is>
          <t>es, vimos por meio des</t>
        </is>
      </c>
      <c r="C75" s="15" t="inlineStr">
        <is>
          <t>Produtos</t>
        </is>
      </c>
      <c r="D75" s="13" t="n">
        <v>0</v>
      </c>
      <c r="E75" s="16" t="n">
        <v>0</v>
      </c>
      <c r="F75" s="13" t="n">
        <v>1</v>
      </c>
      <c r="G75" s="16" t="n">
        <v>0</v>
      </c>
      <c r="H75" s="15" t="inlineStr">
        <is>
          <t>79</t>
        </is>
      </c>
      <c r="I75" s="15" t="inlineStr">
        <is>
          <t>NOTAS FISCAIS DE COMPRA JANEIRO 2026.pdf</t>
        </is>
      </c>
    </row>
    <row r="76">
      <c r="A76" s="13" t="inlineStr"/>
      <c r="B76" s="13" t="inlineStr">
        <is>
          <t>TICKET LOG / EDENRED SOLUCOES INSTITUICAO DE PAGAMENTO HA S.A.</t>
        </is>
      </c>
      <c r="C76" s="15" t="inlineStr">
        <is>
          <t>Apoio</t>
        </is>
      </c>
      <c r="D76" s="13" t="n">
        <v>0</v>
      </c>
      <c r="E76" s="16" t="n">
        <v>0</v>
      </c>
      <c r="F76" s="13" t="n">
        <v>1</v>
      </c>
      <c r="G76" s="16" t="n">
        <v>358.58</v>
      </c>
      <c r="H76" s="15" t="inlineStr">
        <is>
          <t>146</t>
        </is>
      </c>
      <c r="I76" s="15" t="inlineStr">
        <is>
          <t>NOTAS FISCAIS DE COMPRA JANEIRO 2026.pdf</t>
        </is>
      </c>
    </row>
    <row r="77">
      <c r="A77" s="13" t="inlineStr"/>
      <c r="B77" s="13" t="inlineStr">
        <is>
          <t>snessonaonene3 ‘KAL ENGENHARIA NUSTRIAE COMERCIOLTOA</t>
        </is>
      </c>
      <c r="C77" s="15" t="inlineStr">
        <is>
          <t>Servicos</t>
        </is>
      </c>
      <c r="D77" s="13" t="n">
        <v>0</v>
      </c>
      <c r="E77" s="16" t="n">
        <v>0</v>
      </c>
      <c r="F77" s="13" t="n">
        <v>1</v>
      </c>
      <c r="G77" s="16" t="n">
        <v>0</v>
      </c>
      <c r="H77" s="15" t="inlineStr">
        <is>
          <t>155</t>
        </is>
      </c>
      <c r="I77" s="15" t="inlineStr">
        <is>
          <t>NOTAS FISCAIS DE COMPRA JANEIRO 2026.pdf</t>
        </is>
      </c>
    </row>
    <row r="78">
      <c r="A78" s="13" t="inlineStr"/>
      <c r="B78" s="13" t="inlineStr">
        <is>
          <t>[:-Xasmceac cons has anspor car seiniano om moet uaa cupwbr ma eka cusp ovo</t>
        </is>
      </c>
      <c r="C78" s="15" t="inlineStr">
        <is>
          <t>Servicos</t>
        </is>
      </c>
      <c r="D78" s="13" t="n">
        <v>0</v>
      </c>
      <c r="E78" s="16" t="n">
        <v>0</v>
      </c>
      <c r="F78" s="13" t="n">
        <v>1</v>
      </c>
      <c r="G78" s="16" t="n">
        <v>0</v>
      </c>
      <c r="H78" s="15" t="inlineStr">
        <is>
          <t>162</t>
        </is>
      </c>
      <c r="I78" s="15" t="inlineStr">
        <is>
          <t>NOTAS FISCAIS DE COMPRA JANEIRO 2026.pdf</t>
        </is>
      </c>
    </row>
    <row r="79">
      <c r="A79" s="13" t="inlineStr"/>
      <c r="B79" s="13" t="inlineStr">
        <is>
          <t>PORTARIA HOMES DE OEZEMBRO DE 2026, LOCADOS EM TERESINA,</t>
        </is>
      </c>
      <c r="C79" s="15" t="inlineStr">
        <is>
          <t>Servicos</t>
        </is>
      </c>
      <c r="D79" s="13" t="n">
        <v>0</v>
      </c>
      <c r="E79" s="16" t="n">
        <v>0</v>
      </c>
      <c r="F79" s="13" t="n">
        <v>1</v>
      </c>
      <c r="G79" s="16" t="n">
        <v>0</v>
      </c>
      <c r="H79" s="15" t="inlineStr">
        <is>
          <t>163</t>
        </is>
      </c>
      <c r="I79" s="15" t="inlineStr">
        <is>
          <t>NOTAS FISCAIS DE COMPRA JANEIRO 2026.pdf</t>
        </is>
      </c>
    </row>
    <row r="80">
      <c r="A80" s="13" t="inlineStr"/>
      <c r="B80" s="13" t="inlineStr">
        <is>
          <t>[FRESTAGKO DE SERVICO FINAIS DE SEMANA E FERIADOS REFERENTE AO UES DE DEZENGRO OF 725, LOCADOS EM TERI Sar |</t>
        </is>
      </c>
      <c r="C80" s="15" t="inlineStr">
        <is>
          <t>Servicos</t>
        </is>
      </c>
      <c r="D80" s="13" t="n">
        <v>0</v>
      </c>
      <c r="E80" s="16" t="n">
        <v>0</v>
      </c>
      <c r="F80" s="13" t="n">
        <v>1</v>
      </c>
      <c r="G80" s="16" t="n">
        <v>0</v>
      </c>
      <c r="H80" s="15" t="inlineStr">
        <is>
          <t>164</t>
        </is>
      </c>
      <c r="I80" s="15" t="inlineStr">
        <is>
          <t>NOTAS FISCAIS DE COMPRA JANEIRO 2026.pdf</t>
        </is>
      </c>
    </row>
    <row r="81">
      <c r="A81" s="13" t="inlineStr"/>
      <c r="B81" s="13" t="inlineStr">
        <is>
          <t>TERESINA MANGUEIRAS E PARAFUSOS LTDA Emernde: @ (2226 OLST 9764 7780 0124 5508 100N ONST 9515 2IBE E846</t>
        </is>
      </c>
      <c r="C81" s="15" t="inlineStr">
        <is>
          <t>Produtos</t>
        </is>
      </c>
      <c r="D81" s="13" t="n">
        <v>0</v>
      </c>
      <c r="E81" s="16" t="n">
        <v>0</v>
      </c>
      <c r="F81" s="13" t="n">
        <v>1</v>
      </c>
      <c r="G81" s="16" t="n">
        <v>0</v>
      </c>
      <c r="H81" s="15" t="inlineStr">
        <is>
          <t>167</t>
        </is>
      </c>
      <c r="I81" s="15" t="inlineStr">
        <is>
          <t>NOTAS FISCAIS DE COMPRA JANEIRO 2026.pdf</t>
        </is>
      </c>
    </row>
    <row r="82">
      <c r="A82" s="13" t="inlineStr"/>
      <c r="B82" s="13" t="inlineStr">
        <is>
          <t>IV WHISOM ROSADO DE SA, 9, KM 412. BALA0S, AEROPORTO —-MOBSORO. RN 50607-260</t>
        </is>
      </c>
      <c r="C82" s="15" t="inlineStr">
        <is>
          <t>Servicos</t>
        </is>
      </c>
      <c r="D82" s="13" t="n">
        <v>0</v>
      </c>
      <c r="E82" s="16" t="n">
        <v>0</v>
      </c>
      <c r="F82" s="13" t="n">
        <v>1</v>
      </c>
      <c r="G82" s="16" t="n">
        <v>0</v>
      </c>
      <c r="H82" s="15" t="inlineStr">
        <is>
          <t>169</t>
        </is>
      </c>
      <c r="I82" s="15" t="inlineStr">
        <is>
          <t>NOTAS FISCAIS DE COMPRA JANEIRO 2026.pdf</t>
        </is>
      </c>
    </row>
    <row r="83">
      <c r="A83" s="13" t="inlineStr"/>
      <c r="B83" s="13" t="inlineStr">
        <is>
          <t>£620-008-00- SERVICOS DE MANUTENCAQ E REPARACAD ELETRICA OE VENCULOS AUTOMOTORES.</t>
        </is>
      </c>
      <c r="C83" s="15" t="inlineStr">
        <is>
          <t>Servicos</t>
        </is>
      </c>
      <c r="D83" s="13" t="n">
        <v>0</v>
      </c>
      <c r="E83" s="16" t="n">
        <v>0</v>
      </c>
      <c r="F83" s="13" t="n">
        <v>1</v>
      </c>
      <c r="G83" s="16" t="n">
        <v>0</v>
      </c>
      <c r="H83" s="15" t="inlineStr">
        <is>
          <t>175</t>
        </is>
      </c>
      <c r="I83" s="15" t="inlineStr">
        <is>
          <t>NOTAS FISCAIS DE COMPRA JANEIRO 2026.pdf</t>
        </is>
      </c>
    </row>
    <row r="84">
      <c r="A84" s="13" t="inlineStr"/>
      <c r="B84" s="13" t="inlineStr">
        <is>
          <t>|AVENFDA SAG FRANCISCO - N.4000 EXTREMA GAVAGE] _2VOU2026</t>
        </is>
      </c>
      <c r="C84" s="15" t="inlineStr">
        <is>
          <t>Produtos</t>
        </is>
      </c>
      <c r="D84" s="13" t="n">
        <v>0</v>
      </c>
      <c r="E84" s="16" t="n">
        <v>0</v>
      </c>
      <c r="F84" s="13" t="n">
        <v>1</v>
      </c>
      <c r="G84" s="16" t="n">
        <v>0</v>
      </c>
      <c r="H84" s="15" t="inlineStr">
        <is>
          <t>177</t>
        </is>
      </c>
      <c r="I84" s="15" t="inlineStr">
        <is>
          <t>NOTAS FISCAIS DE COMPRA JANEIRO 2026.pdf</t>
        </is>
      </c>
    </row>
    <row r="85">
      <c r="A85" s="13" t="inlineStr"/>
      <c r="B85" s="13" t="inlineStr">
        <is>
          <t>Folha 1d t www le lazenda.gevib/poral ox no bie Ga Safar Autorizadora</t>
        </is>
      </c>
      <c r="C85" s="15" t="inlineStr">
        <is>
          <t>Produtos</t>
        </is>
      </c>
      <c r="D85" s="13" t="n">
        <v>0</v>
      </c>
      <c r="E85" s="16" t="n">
        <v>0</v>
      </c>
      <c r="F85" s="13" t="n">
        <v>1</v>
      </c>
      <c r="G85" s="16" t="n">
        <v>0</v>
      </c>
      <c r="H85" s="15" t="inlineStr">
        <is>
          <t>178</t>
        </is>
      </c>
      <c r="I85" s="15" t="inlineStr">
        <is>
          <t>NOTAS FISCAIS DE COMPRA JANEIRO 2026.pdf</t>
        </is>
      </c>
    </row>
    <row r="86">
      <c r="A86" s="13" t="inlineStr"/>
      <c r="B86" s="13" t="inlineStr">
        <is>
          <t>Futssuo gets Vlum TOPS DIFTSATOND: Sal PROELARA INDE COMM REIDT Fon” WA So TRANCE TRIS a NFee</t>
        </is>
      </c>
      <c r="C86" s="15" t="inlineStr">
        <is>
          <t>Produtos</t>
        </is>
      </c>
      <c r="D86" s="13" t="n">
        <v>0</v>
      </c>
      <c r="E86" s="16" t="n">
        <v>0</v>
      </c>
      <c r="F86" s="13" t="n">
        <v>1</v>
      </c>
      <c r="G86" s="16" t="n">
        <v>0</v>
      </c>
      <c r="H86" s="15" t="inlineStr">
        <is>
          <t>180</t>
        </is>
      </c>
      <c r="I86" s="15" t="inlineStr">
        <is>
          <t>NOTAS FISCAIS DE COMPRA JANEIRO 2026.pdf</t>
        </is>
      </c>
    </row>
    <row r="87">
      <c r="A87" s="13" t="inlineStr"/>
      <c r="B87" s="13" t="inlineStr">
        <is>
          <t>IAVENIDA SAO FRANCISCO - N 4000 EXTREMA inr202</t>
        </is>
      </c>
      <c r="C87" s="15" t="inlineStr">
        <is>
          <t>Produtos</t>
        </is>
      </c>
      <c r="D87" s="13" t="n">
        <v>0</v>
      </c>
      <c r="E87" s="16" t="n">
        <v>0</v>
      </c>
      <c r="F87" s="13" t="n">
        <v>1</v>
      </c>
      <c r="G87" s="16" t="n">
        <v>0</v>
      </c>
      <c r="H87" s="15" t="inlineStr">
        <is>
          <t>181</t>
        </is>
      </c>
      <c r="I87" s="15" t="inlineStr">
        <is>
          <t>NOTAS FISCAIS DE COMPRA JANEIRO 2026.pdf</t>
        </is>
      </c>
    </row>
    <row r="88">
      <c r="A88" s="13" t="inlineStr"/>
      <c r="B88" s="13" t="inlineStr">
        <is>
          <t>RVENIDA SAO FRANCESCO -W 4000 BRT ‘iore.as0| sun uains</t>
        </is>
      </c>
      <c r="C88" s="15" t="inlineStr">
        <is>
          <t>Produtos</t>
        </is>
      </c>
      <c r="D88" s="13" t="n">
        <v>0</v>
      </c>
      <c r="E88" s="16" t="n">
        <v>0</v>
      </c>
      <c r="F88" s="13" t="n">
        <v>1</v>
      </c>
      <c r="G88" s="16" t="n">
        <v>0</v>
      </c>
      <c r="H88" s="15" t="inlineStr">
        <is>
          <t>182</t>
        </is>
      </c>
      <c r="I88" s="15" t="inlineStr">
        <is>
          <t>NOTAS FISCAIS DE COMPRA JANEIRO 2026.pdf</t>
        </is>
      </c>
    </row>
    <row r="89">
      <c r="A89" s="13" t="inlineStr"/>
      <c r="B89" s="13" t="inlineStr">
        <is>
          <t>OWLIDECK NATURAL 361 SAVERLACE eT [Osa] TY wR] enya] TC</t>
        </is>
      </c>
      <c r="C89" s="15" t="inlineStr">
        <is>
          <t>Produtos</t>
        </is>
      </c>
      <c r="D89" s="13" t="n">
        <v>0</v>
      </c>
      <c r="E89" s="16" t="n">
        <v>0</v>
      </c>
      <c r="F89" s="13" t="n">
        <v>1</v>
      </c>
      <c r="G89" s="16" t="n">
        <v>0</v>
      </c>
      <c r="H89" s="15" t="inlineStr">
        <is>
          <t>183</t>
        </is>
      </c>
      <c r="I89" s="15" t="inlineStr">
        <is>
          <t>NOTAS FISCAIS DE COMPRA JANEIRO 2026.pdf</t>
        </is>
      </c>
    </row>
    <row r="90">
      <c r="A90" s="13" t="inlineStr"/>
      <c r="B90" s="13" t="inlineStr">
        <is>
          <t>VENDA DE MERCADORTA ADQUIRIDA FRE BomOUS40774 80 6}. 2026 97 ATL</t>
        </is>
      </c>
      <c r="C90" s="15" t="inlineStr">
        <is>
          <t>Produtos</t>
        </is>
      </c>
      <c r="D90" s="13" t="n">
        <v>0</v>
      </c>
      <c r="E90" s="16" t="n">
        <v>0</v>
      </c>
      <c r="F90" s="13" t="n">
        <v>1</v>
      </c>
      <c r="G90" s="16" t="n">
        <v>0</v>
      </c>
      <c r="H90" s="15" t="inlineStr">
        <is>
          <t>184</t>
        </is>
      </c>
      <c r="I90" s="15" t="inlineStr">
        <is>
          <t>NOTAS FISCAIS DE COMPRA JANEIRO 2026.pdf</t>
        </is>
      </c>
    </row>
    <row r="91">
      <c r="A91" s="13" t="inlineStr"/>
      <c r="B91" s="13" t="inlineStr">
        <is>
          <t>altidate fo SOK arheipte ds ecoencia 8015081 aspanasil sao rncoktmame So1$80H |</t>
        </is>
      </c>
      <c r="C91" s="15" t="inlineStr">
        <is>
          <t>Servicos</t>
        </is>
      </c>
      <c r="D91" s="13" t="n">
        <v>0</v>
      </c>
      <c r="E91" s="16" t="n">
        <v>0</v>
      </c>
      <c r="F91" s="13" t="n">
        <v>1</v>
      </c>
      <c r="G91" s="16" t="n">
        <v>0</v>
      </c>
      <c r="H91" s="15" t="inlineStr">
        <is>
          <t>185</t>
        </is>
      </c>
      <c r="I91" s="15" t="inlineStr">
        <is>
          <t>NOTAS FISCAIS DE COMPRA JANEIRO 2026.pdf</t>
        </is>
      </c>
    </row>
    <row r="92">
      <c r="A92" s="13" t="inlineStr">
        <is>
          <t>08.318.541/0001-74</t>
        </is>
      </c>
      <c r="B92" s="13" t="inlineStr">
        <is>
          <t>VENDA DE MERCADORIA ADQUIRIDA OU RECEBIDA DE TERCE 322260002299794 - 29/01/2026 0:05:40</t>
        </is>
      </c>
      <c r="C92" s="15" t="inlineStr">
        <is>
          <t>Produtos</t>
        </is>
      </c>
      <c r="D92" s="13" t="n">
        <v>0</v>
      </c>
      <c r="E92" s="16" t="n">
        <v>0</v>
      </c>
      <c r="F92" s="13" t="n">
        <v>1</v>
      </c>
      <c r="G92" s="16" t="n">
        <v>0</v>
      </c>
      <c r="H92" s="15" t="inlineStr">
        <is>
          <t>186</t>
        </is>
      </c>
      <c r="I92" s="15" t="inlineStr">
        <is>
          <t>NOTAS FISCAIS DE COMPRA JANEIRO 2026.pdf</t>
        </is>
      </c>
    </row>
    <row r="93">
      <c r="A93" s="13" t="inlineStr"/>
      <c r="B93" s="13" t="inlineStr">
        <is>
          <t>JAVENIDA SAQ FRANCISCO - N 4000. EXTREMA 64O7H=150 | ORM ZUZG</t>
        </is>
      </c>
      <c r="C93" s="15" t="inlineStr">
        <is>
          <t>Produtos</t>
        </is>
      </c>
      <c r="D93" s="13" t="n">
        <v>0</v>
      </c>
      <c r="E93" s="16" t="n">
        <v>0</v>
      </c>
      <c r="F93" s="13" t="n">
        <v>1</v>
      </c>
      <c r="G93" s="16" t="n">
        <v>0</v>
      </c>
      <c r="H93" s="15" t="inlineStr">
        <is>
          <t>188</t>
        </is>
      </c>
      <c r="I93" s="15" t="inlineStr">
        <is>
          <t>NOTAS FISCAIS DE COMPRA JANEIRO 2026.pdf</t>
        </is>
      </c>
    </row>
    <row r="94">
      <c r="A94" s="13" t="inlineStr"/>
      <c r="B94" s="13" t="inlineStr">
        <is>
          <t>‘TERESINA MANGUEIRAS E PARAFUSOS LTDA | Eetrade: 0 ‘2226 (1157 9764 T7ON 0124 S508 1000 0037 6715 2841 9273.</t>
        </is>
      </c>
      <c r="C94" s="15" t="inlineStr">
        <is>
          <t>Produtos</t>
        </is>
      </c>
      <c r="D94" s="13" t="n">
        <v>0</v>
      </c>
      <c r="E94" s="16" t="n">
        <v>0</v>
      </c>
      <c r="F94" s="13" t="n">
        <v>1</v>
      </c>
      <c r="G94" s="16" t="n">
        <v>0</v>
      </c>
      <c r="H94" s="15" t="inlineStr">
        <is>
          <t>189</t>
        </is>
      </c>
      <c r="I94" s="15" t="inlineStr">
        <is>
          <t>NOTAS FISCAIS DE COMPRA JANEIRO 2026.pdf</t>
        </is>
      </c>
    </row>
    <row r="95">
      <c r="A95" s="13" t="inlineStr"/>
      <c r="B95" s="13" t="inlineStr">
        <is>
          <t>Praca Dora Tae DO TRS Teo DORA EE MEESTER | ve TOTAL BOUT” [WALGETOTALDA NTA</t>
        </is>
      </c>
      <c r="C95" s="15" t="inlineStr">
        <is>
          <t>Produtos</t>
        </is>
      </c>
      <c r="D95" s="13" t="n">
        <v>0</v>
      </c>
      <c r="E95" s="16" t="n">
        <v>0</v>
      </c>
      <c r="F95" s="13" t="n">
        <v>1</v>
      </c>
      <c r="G95" s="16" t="n">
        <v>0</v>
      </c>
      <c r="H95" s="15" t="inlineStr">
        <is>
          <t>190</t>
        </is>
      </c>
      <c r="I95" s="15" t="inlineStr">
        <is>
          <t>NOTAS FISCAIS DE COMPRA JANEIRO 2026.pdf</t>
        </is>
      </c>
    </row>
    <row r="96">
      <c r="A96" s="13" t="inlineStr"/>
      <c r="B96" s="13" t="inlineStr">
        <is>
          <t>scan AL AIO“ DRSTINATARIO.SRALENGENIAWA INDUSTRIA E CONERCIOLTNA.-HODHR 40,3183 A -SAO RATMUNDO ~</t>
        </is>
      </c>
      <c r="C96" s="15" t="inlineStr">
        <is>
          <t>Produtos</t>
        </is>
      </c>
      <c r="D96" s="13" t="n">
        <v>0</v>
      </c>
      <c r="E96" s="16" t="n">
        <v>0</v>
      </c>
      <c r="F96" s="13" t="n">
        <v>1</v>
      </c>
      <c r="G96" s="16" t="n">
        <v>0</v>
      </c>
      <c r="H96" s="15" t="inlineStr">
        <is>
          <t>191</t>
        </is>
      </c>
      <c r="I96" s="15" t="inlineStr">
        <is>
          <t>NOTAS FISCAIS DE COMPRA JANEIRO 2026.pdf</t>
        </is>
      </c>
    </row>
    <row r="97">
      <c r="A97" s="13" t="inlineStr"/>
      <c r="B97" s="13" t="inlineStr">
        <is>
          <t>fae leemrncowmoneniet {souave ow [oamiow sacl —_tatol _raao] nonl aol cool — ovo! cool ano]</t>
        </is>
      </c>
      <c r="C97" s="15" t="inlineStr">
        <is>
          <t>Produtos</t>
        </is>
      </c>
      <c r="D97" s="13" t="n">
        <v>0</v>
      </c>
      <c r="E97" s="16" t="n">
        <v>0</v>
      </c>
      <c r="F97" s="13" t="n">
        <v>1</v>
      </c>
      <c r="G97" s="16" t="n">
        <v>0</v>
      </c>
      <c r="H97" s="15" t="inlineStr">
        <is>
          <t>193</t>
        </is>
      </c>
      <c r="I97" s="15" t="inlineStr">
        <is>
          <t>NOTAS FISCAIS DE COMPRA JANEIRO 2026.pdf</t>
        </is>
      </c>
    </row>
    <row r="98">
      <c r="A98" s="13" t="inlineStr"/>
      <c r="B98" s="13" t="inlineStr">
        <is>
          <t>TERESINA MANGUEIRAS E PARAFUSOS LTDA Ewrsds: © 12226 0157 9764 7798 9124 5506 1006 037 HG 1247 6751</t>
        </is>
      </c>
      <c r="C98" s="15" t="inlineStr">
        <is>
          <t>Produtos</t>
        </is>
      </c>
      <c r="D98" s="13" t="n">
        <v>0</v>
      </c>
      <c r="E98" s="16" t="n">
        <v>0</v>
      </c>
      <c r="F98" s="13" t="n">
        <v>1</v>
      </c>
      <c r="G98" s="16" t="n">
        <v>0</v>
      </c>
      <c r="H98" s="15" t="inlineStr">
        <is>
          <t>194</t>
        </is>
      </c>
      <c r="I98" s="15" t="inlineStr">
        <is>
          <t>NOTAS FISCAIS DE COMPRA JANEIRO 2026.pdf</t>
        </is>
      </c>
    </row>
    <row r="99">
      <c r="A99" s="13" t="inlineStr"/>
      <c r="B99" s="13" t="inlineStr">
        <is>
          <t>[Formenfesmctenomeor fro] wa [oon] [ anu: [namin] vr cco cai oevae[ oon] vr Feel</t>
        </is>
      </c>
      <c r="C99" s="15" t="inlineStr">
        <is>
          <t>Produtos</t>
        </is>
      </c>
      <c r="D99" s="13" t="n">
        <v>0</v>
      </c>
      <c r="E99" s="16" t="n">
        <v>0</v>
      </c>
      <c r="F99" s="13" t="n">
        <v>1</v>
      </c>
      <c r="G99" s="16" t="n">
        <v>0</v>
      </c>
      <c r="H99" s="15" t="inlineStr">
        <is>
          <t>195</t>
        </is>
      </c>
      <c r="I99" s="15" t="inlineStr">
        <is>
          <t>NOTAS FISCAIS DE COMPRA JANEIRO 2026.pdf</t>
        </is>
      </c>
    </row>
    <row r="100">
      <c r="A100" s="13" t="inlineStr">
        <is>
          <t>27.591.360/0001-61</t>
        </is>
      </c>
      <c r="B100" s="13" t="inlineStr">
        <is>
          <t>‘VENDA DE MERCADORIA ADQUIRIDA OU RECEBIDA DE TARCE 227250000217805 117122025 16:40:11 |</t>
        </is>
      </c>
      <c r="C100" s="15" t="inlineStr">
        <is>
          <t>Produtos</t>
        </is>
      </c>
      <c r="D100" s="13" t="n">
        <v>0</v>
      </c>
      <c r="E100" s="16" t="n">
        <v>0</v>
      </c>
      <c r="F100" s="13" t="n">
        <v>1</v>
      </c>
      <c r="G100" s="16" t="n">
        <v>0</v>
      </c>
      <c r="H100" s="15" t="inlineStr">
        <is>
          <t>196</t>
        </is>
      </c>
      <c r="I100" s="15" t="inlineStr">
        <is>
          <t>NOTAS FISCAIS DE COMPRA JANEIRO 2026.pdf</t>
        </is>
      </c>
    </row>
    <row r="101">
      <c r="A101" s="13" t="inlineStr"/>
      <c r="B101" s="13" t="inlineStr">
        <is>
          <t>f'oe0 522 MICHELA MEDEIROS FRANCO MICHELAMEDEIROBZ3€2GMAILCOM</t>
        </is>
      </c>
      <c r="C101" s="15" t="inlineStr">
        <is>
          <t>Servicos</t>
        </is>
      </c>
      <c r="D101" s="13" t="n">
        <v>0</v>
      </c>
      <c r="E101" s="16" t="n">
        <v>0</v>
      </c>
      <c r="F101" s="13" t="n">
        <v>1</v>
      </c>
      <c r="G101" s="16" t="n">
        <v>0</v>
      </c>
      <c r="H101" s="15" t="inlineStr">
        <is>
          <t>201</t>
        </is>
      </c>
      <c r="I101" s="15" t="inlineStr">
        <is>
          <t>NOTAS FISCAIS DE COMPRA JANEIRO 2026.pdf</t>
        </is>
      </c>
    </row>
    <row r="102">
      <c r="A102" s="13" t="inlineStr"/>
      <c r="B102" s="13" t="inlineStr">
        <is>
          <t>SUT _PRIVA CREPE 722 IND BMNIXSIM ADELDAA baie ia eB Sat) Feet Tap sep RY</t>
        </is>
      </c>
      <c r="C102" s="15" t="inlineStr">
        <is>
          <t>Produtos</t>
        </is>
      </c>
      <c r="D102" s="13" t="n">
        <v>0</v>
      </c>
      <c r="E102" s="16" t="n">
        <v>0</v>
      </c>
      <c r="F102" s="13" t="n">
        <v>1</v>
      </c>
      <c r="G102" s="16" t="n">
        <v>0</v>
      </c>
      <c r="H102" s="15" t="inlineStr">
        <is>
          <t>202</t>
        </is>
      </c>
      <c r="I102" s="15" t="inlineStr">
        <is>
          <t>NOTAS FISCAIS DE COMPRA JANEIRO 2026.pdf</t>
        </is>
      </c>
    </row>
    <row r="103">
      <c r="A103" s="13" t="inlineStr"/>
      <c r="B103" s="13" t="inlineStr">
        <is>
          <t>JAVENIDA SAG ERANCISCO- N 4000 EXTREMA cin76.150| 2010/2026</t>
        </is>
      </c>
      <c r="C103" s="15" t="inlineStr">
        <is>
          <t>Produtos</t>
        </is>
      </c>
      <c r="D103" s="13" t="n">
        <v>0</v>
      </c>
      <c r="E103" s="16" t="n">
        <v>0</v>
      </c>
      <c r="F103" s="13" t="n">
        <v>1</v>
      </c>
      <c r="G103" s="16" t="n">
        <v>0</v>
      </c>
      <c r="H103" s="15" t="inlineStr">
        <is>
          <t>203</t>
        </is>
      </c>
      <c r="I103" s="15" t="inlineStr">
        <is>
          <t>NOTAS FISCAIS DE COMPRA JANEIRO 2026.pdf</t>
        </is>
      </c>
    </row>
    <row r="104">
      <c r="A104" s="13" t="inlineStr"/>
      <c r="B104" s="13" t="inlineStr">
        <is>
          <t>ErENDR Sho rNcRCO mom SAND EXTREMA Fences i aRAGL Srares80</t>
        </is>
      </c>
      <c r="C104" s="15" t="inlineStr">
        <is>
          <t>Servicos</t>
        </is>
      </c>
      <c r="D104" s="13" t="n">
        <v>0</v>
      </c>
      <c r="E104" s="16" t="n">
        <v>0</v>
      </c>
      <c r="F104" s="13" t="n">
        <v>1</v>
      </c>
      <c r="G104" s="16" t="n">
        <v>75</v>
      </c>
      <c r="H104" s="15" t="inlineStr">
        <is>
          <t>205</t>
        </is>
      </c>
      <c r="I104" s="15" t="inlineStr">
        <is>
          <t>NOTAS FISCAIS DE COMPRA JANEIRO 2026.pdf</t>
        </is>
      </c>
    </row>
    <row r="105">
      <c r="A105" s="13" t="inlineStr"/>
      <c r="B105" s="13" t="inlineStr">
        <is>
          <t>I NENIDA SA0 FRANCISCO, 4000, GALPOD FANCREDO NEVES Taatzoe8</t>
        </is>
      </c>
      <c r="C105" s="15" t="inlineStr">
        <is>
          <t>Produtos</t>
        </is>
      </c>
      <c r="D105" s="13" t="n">
        <v>0</v>
      </c>
      <c r="E105" s="16" t="n">
        <v>0</v>
      </c>
      <c r="F105" s="13" t="n">
        <v>1</v>
      </c>
      <c r="G105" s="16" t="n">
        <v>0</v>
      </c>
      <c r="H105" s="15" t="inlineStr">
        <is>
          <t>208</t>
        </is>
      </c>
      <c r="I105" s="15" t="inlineStr">
        <is>
          <t>NOTAS FISCAIS DE COMPRA JANEIRO 2026.pdf</t>
        </is>
      </c>
    </row>
    <row r="106">
      <c r="A106" s="13" t="inlineStr">
        <is>
          <t>03.866.775/0001-32</t>
        </is>
      </c>
      <c r="B106" s="13" t="inlineStr">
        <is>
          <t>¥ H SOARES COM E SERVICOS [Pocumento Auxiliar ds Nota</t>
        </is>
      </c>
      <c r="C106" s="15" t="inlineStr">
        <is>
          <t>Produtos</t>
        </is>
      </c>
      <c r="D106" s="13" t="n">
        <v>0</v>
      </c>
      <c r="E106" s="16" t="n">
        <v>0</v>
      </c>
      <c r="F106" s="13" t="n">
        <v>1</v>
      </c>
      <c r="G106" s="16" t="n">
        <v>0</v>
      </c>
      <c r="H106" s="15" t="inlineStr">
        <is>
          <t>212</t>
        </is>
      </c>
      <c r="I106" s="15" t="inlineStr">
        <is>
          <t>NOTAS FISCAIS DE COMPRA JANEIRO 2026.pdf</t>
        </is>
      </c>
    </row>
    <row r="107">
      <c r="A107" s="13" t="inlineStr"/>
      <c r="B107" s="13">
        <f> 9 rors i Noni. — |</f>
        <v/>
      </c>
      <c r="C107" s="15" t="inlineStr">
        <is>
          <t>Produtos</t>
        </is>
      </c>
      <c r="D107" s="13" t="n">
        <v>0</v>
      </c>
      <c r="E107" s="16" t="n">
        <v>0</v>
      </c>
      <c r="F107" s="13" t="n">
        <v>1</v>
      </c>
      <c r="G107" s="16" t="n">
        <v>0</v>
      </c>
      <c r="H107" s="15" t="inlineStr">
        <is>
          <t>217</t>
        </is>
      </c>
      <c r="I107" s="15" t="inlineStr">
        <is>
          <t>NOTAS FISCAIS DE COMPRA JANEIRO 2026.pdf</t>
        </is>
      </c>
    </row>
    <row r="108">
      <c r="A108" s="13" t="inlineStr"/>
      <c r="B108" s="13" t="inlineStr">
        <is>
          <t>Local da preszagdo do sarvigo aia da prectagso do servigo</t>
        </is>
      </c>
      <c r="C108" s="15" t="inlineStr">
        <is>
          <t>Servicos</t>
        </is>
      </c>
      <c r="D108" s="13" t="n">
        <v>0</v>
      </c>
      <c r="E108" s="16" t="n">
        <v>0</v>
      </c>
      <c r="F108" s="13" t="n">
        <v>1</v>
      </c>
      <c r="G108" s="16" t="n">
        <v>4000</v>
      </c>
      <c r="H108" s="15" t="inlineStr">
        <is>
          <t>220</t>
        </is>
      </c>
      <c r="I108" s="15" t="inlineStr">
        <is>
          <t>NOTAS FISCAIS DE COMPRA JANEIRO 2026.pdf</t>
        </is>
      </c>
    </row>
    <row r="109">
      <c r="A109" s="13" t="inlineStr">
        <is>
          <t>08.318.541/0001-74</t>
        </is>
      </c>
      <c r="B109" s="13" t="inlineStr">
        <is>
          <t>VENDA DE MERCADORIA ADQUIRIDA OU RECEBIDA DE TERCE</t>
        </is>
      </c>
      <c r="C109" s="15" t="inlineStr">
        <is>
          <t>Produtos</t>
        </is>
      </c>
      <c r="D109" s="13" t="n">
        <v>0</v>
      </c>
      <c r="E109" s="16" t="n">
        <v>0</v>
      </c>
      <c r="F109" s="13" t="n">
        <v>1</v>
      </c>
      <c r="G109" s="16" t="n">
        <v>0</v>
      </c>
      <c r="H109" s="15" t="inlineStr">
        <is>
          <t>223</t>
        </is>
      </c>
      <c r="I109" s="15" t="inlineStr">
        <is>
          <t>NOTAS FISCAIS DE COMPRA JANEIRO 2026.pdf</t>
        </is>
      </c>
    </row>
    <row r="110">
      <c r="A110" s="13" t="inlineStr">
        <is>
          <t>00.384.377/0001-91</t>
        </is>
      </c>
      <c r="B110" s="13" t="inlineStr">
        <is>
          <t>SERIE 001 | nwwaniefazendagov beporul ou no site da Sefor Autorizadora</t>
        </is>
      </c>
      <c r="C110" s="15" t="inlineStr">
        <is>
          <t>Produtos</t>
        </is>
      </c>
      <c r="D110" s="13" t="n">
        <v>0</v>
      </c>
      <c r="E110" s="16" t="n">
        <v>0</v>
      </c>
      <c r="F110" s="13" t="n">
        <v>1</v>
      </c>
      <c r="G110" s="16" t="n">
        <v>0</v>
      </c>
      <c r="H110" s="15" t="inlineStr">
        <is>
          <t>224</t>
        </is>
      </c>
      <c r="I110" s="15" t="inlineStr">
        <is>
          <t>NOTAS FISCAIS DE COMPRA JANEIRO 2026.pdf</t>
        </is>
      </c>
    </row>
    <row r="111">
      <c r="A111" s="13" t="inlineStr"/>
      <c r="B111" s="13" t="inlineStr">
        <is>
          <t>“ parzne 08 DE EAL ENDED NDONTIA BCOUERCO LTDA 08 PRADUTOS CONSTARTES HA NOTA HSCAL MOLADN? ] NF-e</t>
        </is>
      </c>
      <c r="C111" s="15" t="inlineStr">
        <is>
          <t>Produtos</t>
        </is>
      </c>
      <c r="D111" s="13" t="n">
        <v>0</v>
      </c>
      <c r="E111" s="16" t="n">
        <v>0</v>
      </c>
      <c r="F111" s="13" t="n">
        <v>1</v>
      </c>
      <c r="G111" s="16" t="n">
        <v>0</v>
      </c>
      <c r="H111" s="15" t="inlineStr">
        <is>
          <t>226</t>
        </is>
      </c>
      <c r="I111" s="15" t="inlineStr">
        <is>
          <t>NOTAS FISCAIS DE COMPRA JANEIRO 2026.pdf</t>
        </is>
      </c>
    </row>
    <row r="112">
      <c r="A112" s="13" t="inlineStr"/>
      <c r="B112" s="13" t="inlineStr">
        <is>
          <t>‘Sicerreauc oc samen femme Powe</t>
        </is>
      </c>
      <c r="C112" s="15" t="inlineStr">
        <is>
          <t>Produtos</t>
        </is>
      </c>
      <c r="D112" s="13" t="n">
        <v>0</v>
      </c>
      <c r="E112" s="16" t="n">
        <v>0</v>
      </c>
      <c r="F112" s="13" t="n">
        <v>1</v>
      </c>
      <c r="G112" s="16" t="n">
        <v>0</v>
      </c>
      <c r="H112" s="15" t="inlineStr">
        <is>
          <t>228</t>
        </is>
      </c>
      <c r="I112" s="15" t="inlineStr">
        <is>
          <t>NOTAS FISCAIS DE COMPRA JANEIRO 2026.pdf</t>
        </is>
      </c>
    </row>
    <row r="113">
      <c r="A113" s="13" t="inlineStr"/>
      <c r="B113" s="13" t="inlineStr">
        <is>
          <t>INTERMEDIARIO DO SERVIC NAO IDENTIACADO NA NFE'S.</t>
        </is>
      </c>
      <c r="C113" s="15" t="inlineStr">
        <is>
          <t>Servicos</t>
        </is>
      </c>
      <c r="D113" s="13" t="n">
        <v>0</v>
      </c>
      <c r="E113" s="16" t="n">
        <v>0</v>
      </c>
      <c r="F113" s="13" t="n">
        <v>1</v>
      </c>
      <c r="G113" s="16" t="n">
        <v>1708.72</v>
      </c>
      <c r="H113" s="15" t="inlineStr">
        <is>
          <t>230</t>
        </is>
      </c>
      <c r="I113" s="15" t="inlineStr">
        <is>
          <t>NOTAS FISCAIS DE COMPRA JANEIRO 2026.pdf</t>
        </is>
      </c>
    </row>
    <row r="114">
      <c r="A114" s="13" t="inlineStr"/>
      <c r="B114" s="13" t="inlineStr">
        <is>
          <t>r:. LOURTVAL PARENTE - TERESINA - Pl- t TsaiDa SENG OUND agg) cnn nbd E88 Men ALS 12a ATTY SRA</t>
        </is>
      </c>
      <c r="C114" s="15" t="inlineStr">
        <is>
          <t>Produtos</t>
        </is>
      </c>
      <c r="D114" s="13" t="n">
        <v>0</v>
      </c>
      <c r="E114" s="16" t="n">
        <v>0</v>
      </c>
      <c r="F114" s="13" t="n">
        <v>1</v>
      </c>
      <c r="G114" s="16" t="n">
        <v>0</v>
      </c>
      <c r="H114" s="15" t="inlineStr">
        <is>
          <t>231</t>
        </is>
      </c>
      <c r="I114" s="15" t="inlineStr">
        <is>
          <t>NOTAS FISCAIS DE COMPRA JANEIRO 2026.pdf</t>
        </is>
      </c>
    </row>
    <row r="115">
      <c r="A115" s="13" t="inlineStr"/>
      <c r="B115" s="13" t="inlineStr">
        <is>
          <t>Aageaso em mexin de fechar nota pelo Usearios 4 NANIMBA. Nota Flecal Emitide pelo; Usnario;</t>
        </is>
      </c>
      <c r="C115" s="15" t="inlineStr">
        <is>
          <t>Produtos</t>
        </is>
      </c>
      <c r="D115" s="13" t="n">
        <v>0</v>
      </c>
      <c r="E115" s="16" t="n">
        <v>0</v>
      </c>
      <c r="F115" s="13" t="n">
        <v>1</v>
      </c>
      <c r="G115" s="16" t="n">
        <v>0</v>
      </c>
      <c r="H115" s="15" t="inlineStr">
        <is>
          <t>236</t>
        </is>
      </c>
      <c r="I115" s="15" t="inlineStr">
        <is>
          <t>NOTAS FISCAIS DE COMPRA JANEIRO 2026.pdf</t>
        </is>
      </c>
    </row>
    <row r="116">
      <c r="A116" s="13" t="inlineStr"/>
      <c r="B116" s="13" t="inlineStr">
        <is>
          <t>[Reccbeans de RAIMUNDO PIEROTE FILAIO ME cx prodine ica trv contains du Nota Fac Eten Valea wo as. WF.</t>
        </is>
      </c>
      <c r="C116" s="15" t="inlineStr">
        <is>
          <t>Produtos</t>
        </is>
      </c>
      <c r="D116" s="13" t="n">
        <v>0</v>
      </c>
      <c r="E116" s="16" t="n">
        <v>0</v>
      </c>
      <c r="F116" s="13" t="n">
        <v>1</v>
      </c>
      <c r="G116" s="16" t="n">
        <v>0</v>
      </c>
      <c r="H116" s="15" t="inlineStr">
        <is>
          <t>237</t>
        </is>
      </c>
      <c r="I116" s="15" t="inlineStr">
        <is>
          <t>NOTAS FISCAIS DE COMPRA JANEIRO 2026.pdf</t>
        </is>
      </c>
    </row>
    <row r="117">
      <c r="A117" s="13" t="inlineStr"/>
      <c r="B117" s="13" t="inlineStr">
        <is>
          <t>L ‘TERESINA-P| Fome/Fax: 4882202782 pain wwntatacendagevine/porta ou ne a da Sotex Autorizaéore</t>
        </is>
      </c>
      <c r="C117" s="15" t="inlineStr">
        <is>
          <t>Produtos</t>
        </is>
      </c>
      <c r="D117" s="13" t="n">
        <v>0</v>
      </c>
      <c r="E117" s="16" t="n">
        <v>0</v>
      </c>
      <c r="F117" s="13" t="n">
        <v>1</v>
      </c>
      <c r="G117" s="16" t="n">
        <v>0</v>
      </c>
      <c r="H117" s="15" t="inlineStr">
        <is>
          <t>242</t>
        </is>
      </c>
      <c r="I117" s="15" t="inlineStr">
        <is>
          <t>NOTAS FISCAIS DE COMPRA JANEIRO 2026.pdf</t>
        </is>
      </c>
    </row>
    <row r="118">
      <c r="A118" s="13" t="inlineStr"/>
      <c r="B118" s="13" t="inlineStr">
        <is>
          <t>jlorentea autora de 2" Siperisto Gini ¢ .)</t>
        </is>
      </c>
      <c r="C118" s="15" t="inlineStr">
        <is>
          <t>Servicos</t>
        </is>
      </c>
      <c r="D118" s="13" t="n">
        <v>0</v>
      </c>
      <c r="E118" s="16" t="n">
        <v>0</v>
      </c>
      <c r="F118" s="13" t="n">
        <v>1</v>
      </c>
      <c r="G118" s="16" t="n">
        <v>0</v>
      </c>
      <c r="H118" s="15" t="inlineStr">
        <is>
          <t>252</t>
        </is>
      </c>
      <c r="I118" s="15" t="inlineStr">
        <is>
          <t>NOTAS FISCAIS DE COMPRA JANEIRO 2026.pdf</t>
        </is>
      </c>
    </row>
    <row r="119">
      <c r="A119" s="13" t="inlineStr"/>
      <c r="B119" s="13" t="inlineStr">
        <is>
          <t>seo. vimass! VEN. 104 OP:2088 COND: SABOAGAMENTOPRE FANT: Bk MFEREABRICAC/[——</t>
        </is>
      </c>
      <c r="C119" s="15" t="inlineStr">
        <is>
          <t>Produtos</t>
        </is>
      </c>
      <c r="D119" s="13" t="n">
        <v>0</v>
      </c>
      <c r="E119" s="16" t="n">
        <v>0</v>
      </c>
      <c r="F119" s="13" t="n">
        <v>1</v>
      </c>
      <c r="G119" s="16" t="n">
        <v>0</v>
      </c>
      <c r="H119" s="15" t="inlineStr">
        <is>
          <t>255</t>
        </is>
      </c>
      <c r="I119" s="15" t="inlineStr">
        <is>
          <t>NOTAS FISCAIS DE COMPRA JANEIRO 2026.pdf</t>
        </is>
      </c>
    </row>
    <row r="120">
      <c r="A120" s="13" t="inlineStr"/>
      <c r="B120" s="13" t="inlineStr">
        <is>
          <t>|S1e2/405 VENDA MERC. DENT. ESTADO ___trmaevoparecses 1201026 145057</t>
        </is>
      </c>
      <c r="C120" s="15" t="inlineStr">
        <is>
          <t>Produtos</t>
        </is>
      </c>
      <c r="D120" s="13" t="n">
        <v>0</v>
      </c>
      <c r="E120" s="16" t="n">
        <v>0</v>
      </c>
      <c r="F120" s="13" t="n">
        <v>1</v>
      </c>
      <c r="G120" s="16" t="n">
        <v>0</v>
      </c>
      <c r="H120" s="15" t="inlineStr">
        <is>
          <t>259</t>
        </is>
      </c>
      <c r="I120" s="15" t="inlineStr">
        <is>
          <t>NOTAS FISCAIS DE COMPRA JANEIRO 2026.pdf</t>
        </is>
      </c>
    </row>
    <row r="121">
      <c r="A121" s="13" t="inlineStr"/>
      <c r="B121" s="13" t="inlineStr">
        <is>
          <t>ANDRE VIANA VIEIRA ME</t>
        </is>
      </c>
      <c r="C121" s="15" t="inlineStr">
        <is>
          <t>Servicos</t>
        </is>
      </c>
      <c r="D121" s="13" t="n">
        <v>0</v>
      </c>
      <c r="E121" s="16" t="n">
        <v>0</v>
      </c>
      <c r="F121" s="13" t="n">
        <v>1</v>
      </c>
      <c r="G121" s="16" t="n">
        <v>0</v>
      </c>
      <c r="H121" s="15" t="inlineStr">
        <is>
          <t>261</t>
        </is>
      </c>
      <c r="I121" s="15" t="inlineStr">
        <is>
          <t>NOTAS FISCAIS DE COMPRA JANEIRO 2026.pdf</t>
        </is>
      </c>
    </row>
    <row r="122">
      <c r="A122" s="13" t="inlineStr"/>
      <c r="B122" s="13" t="inlineStr">
        <is>
          <t>IVeuda de mercadoria sdquirida au receblda de teretivex em op. 22I269002 591389 - 18/01/1026 40:85</t>
        </is>
      </c>
      <c r="C122" s="15" t="inlineStr">
        <is>
          <t>Produtos</t>
        </is>
      </c>
      <c r="D122" s="13" t="n">
        <v>0</v>
      </c>
      <c r="E122" s="16" t="n">
        <v>0</v>
      </c>
      <c r="F122" s="13" t="n">
        <v>1</v>
      </c>
      <c r="G122" s="16" t="n">
        <v>0</v>
      </c>
      <c r="H122" s="15" t="inlineStr">
        <is>
          <t>265</t>
        </is>
      </c>
      <c r="I122" s="15" t="inlineStr">
        <is>
          <t>NOTAS FISCAIS DE COMPRA JANEIRO 2026.pdf</t>
        </is>
      </c>
    </row>
    <row r="123">
      <c r="A123" s="13" t="inlineStr">
        <is>
          <t>20.422.108/0001-80</t>
        </is>
      </c>
      <c r="B123" s="13" t="inlineStr">
        <is>
          <t>‘VENDA DE MERCADORIA ADQUIRIDA OU RECEBIDA DE TERCE 722260001897073 21012026 10:08:54</t>
        </is>
      </c>
      <c r="C123" s="15" t="inlineStr">
        <is>
          <t>Produtos</t>
        </is>
      </c>
      <c r="D123" s="13" t="n">
        <v>0</v>
      </c>
      <c r="E123" s="16" t="n">
        <v>0</v>
      </c>
      <c r="F123" s="13" t="n">
        <v>1</v>
      </c>
      <c r="G123" s="16" t="n">
        <v>0</v>
      </c>
      <c r="H123" s="15" t="inlineStr">
        <is>
          <t>266</t>
        </is>
      </c>
      <c r="I123" s="15" t="inlineStr">
        <is>
          <t>NOTAS FISCAIS DE COMPRA JANEIRO 2026.pdf</t>
        </is>
      </c>
    </row>
    <row r="124">
      <c r="A124" s="13" t="inlineStr"/>
      <c r="B124" s="13" t="inlineStr">
        <is>
          <t>EUEREMOs iM SANTOS AUTOPECAS |-TDA 05 PRODUTOS BOW SFR\</t>
        </is>
      </c>
      <c r="C124" s="15" t="inlineStr">
        <is>
          <t>Produtos</t>
        </is>
      </c>
      <c r="D124" s="13" t="n">
        <v>0</v>
      </c>
      <c r="E124" s="16" t="n">
        <v>0</v>
      </c>
      <c r="F124" s="13" t="n">
        <v>1</v>
      </c>
      <c r="G124" s="16" t="n">
        <v>0</v>
      </c>
      <c r="H124" s="15" t="inlineStr">
        <is>
          <t>270</t>
        </is>
      </c>
      <c r="I124" s="15" t="inlineStr">
        <is>
          <t>NOTAS FISCAIS DE COMPRA JANEIRO 2026.pdf</t>
        </is>
      </c>
    </row>
    <row r="125">
      <c r="A125" s="13" t="inlineStr"/>
      <c r="B125" s="13" t="inlineStr">
        <is>
          <t>ENGENI JA ENDUSTRIA E COMERCIO LTDA. 123.655.03¢ 12-89, 9-01-2026</t>
        </is>
      </c>
      <c r="C125" s="15" t="inlineStr">
        <is>
          <t>Produtos</t>
        </is>
      </c>
      <c r="D125" s="13" t="n">
        <v>0</v>
      </c>
      <c r="E125" s="16" t="n">
        <v>0</v>
      </c>
      <c r="F125" s="13" t="n">
        <v>1</v>
      </c>
      <c r="G125" s="16" t="n">
        <v>0</v>
      </c>
      <c r="H125" s="15" t="inlineStr">
        <is>
          <t>275</t>
        </is>
      </c>
      <c r="I125" s="15" t="inlineStr">
        <is>
          <t>NOTAS FISCAIS DE COMPRA JANEIRO 2026.pdf</t>
        </is>
      </c>
    </row>
    <row r="126">
      <c r="A126" s="13" t="inlineStr"/>
      <c r="B126" s="13" t="inlineStr">
        <is>
          <t>VENDA DE MERCADORIA ADQUIRIDA OU RECEBID;</t>
        </is>
      </c>
      <c r="C126" s="15" t="inlineStr">
        <is>
          <t>Produtos</t>
        </is>
      </c>
      <c r="D126" s="13" t="n">
        <v>0</v>
      </c>
      <c r="E126" s="16" t="n">
        <v>0</v>
      </c>
      <c r="F126" s="13" t="n">
        <v>1</v>
      </c>
      <c r="G126" s="16" t="n">
        <v>0</v>
      </c>
      <c r="H126" s="15" t="inlineStr">
        <is>
          <t>276</t>
        </is>
      </c>
      <c r="I126" s="15" t="inlineStr">
        <is>
          <t>NOTAS FISCAIS DE COMPRA JANEIRO 2026.pdf</t>
        </is>
      </c>
    </row>
    <row r="127">
      <c r="A127" s="13" t="inlineStr"/>
      <c r="B127" s="13" t="inlineStr">
        <is>
          <t>1S DE CARTRE WARETEIRAS 7 FARA SS LTDA OS RORY SERUICOS CONSTANTES NA NOTA RCA ELETRORICK</t>
        </is>
      </c>
      <c r="C127" s="15" t="inlineStr">
        <is>
          <t>Produtos</t>
        </is>
      </c>
      <c r="D127" s="13" t="n">
        <v>0</v>
      </c>
      <c r="E127" s="16" t="n">
        <v>0</v>
      </c>
      <c r="F127" s="13" t="n">
        <v>1</v>
      </c>
      <c r="G127" s="16" t="n">
        <v>0</v>
      </c>
      <c r="H127" s="15" t="inlineStr">
        <is>
          <t>277</t>
        </is>
      </c>
      <c r="I127" s="15" t="inlineStr">
        <is>
          <t>NOTAS FISCAIS DE COMPRA JANEIRO 2026.pdf</t>
        </is>
      </c>
    </row>
    <row r="128">
      <c r="A128" s="13" t="inlineStr">
        <is>
          <t>08.318.541/0001-74</t>
        </is>
      </c>
      <c r="B128" s="13" t="inlineStr">
        <is>
          <t>VENDA DE MERCADORIA ADQUIRIDA OU RECEBIDA DE TERCE. ‘EITOCAONETA0 708 «2201/2006 10:45</t>
        </is>
      </c>
      <c r="C128" s="15" t="inlineStr">
        <is>
          <t>Produtos</t>
        </is>
      </c>
      <c r="D128" s="13" t="n">
        <v>0</v>
      </c>
      <c r="E128" s="16" t="n">
        <v>0</v>
      </c>
      <c r="F128" s="13" t="n">
        <v>1</v>
      </c>
      <c r="G128" s="16" t="n">
        <v>0</v>
      </c>
      <c r="H128" s="15" t="inlineStr">
        <is>
          <t>278</t>
        </is>
      </c>
      <c r="I128" s="15" t="inlineStr">
        <is>
          <t>NOTAS FISCAIS DE COMPRA JANEIRO 2026.pdf</t>
        </is>
      </c>
    </row>
    <row r="129">
      <c r="A129" s="13" t="inlineStr"/>
      <c r="B129" s="13" t="inlineStr">
        <is>
          <t>"VENDA DE MERCADORIA ADQUIRIDA OU RECEBIDA DE TERCE 7722600015003 2001/2026 16:37:46</t>
        </is>
      </c>
      <c r="C129" s="15" t="inlineStr">
        <is>
          <t>Produtos</t>
        </is>
      </c>
      <c r="D129" s="13" t="n">
        <v>0</v>
      </c>
      <c r="E129" s="16" t="n">
        <v>0</v>
      </c>
      <c r="F129" s="13" t="n">
        <v>1</v>
      </c>
      <c r="G129" s="16" t="n">
        <v>0</v>
      </c>
      <c r="H129" s="15" t="inlineStr">
        <is>
          <t>279</t>
        </is>
      </c>
      <c r="I129" s="15" t="inlineStr">
        <is>
          <t>NOTAS FISCAIS DE COMPRA JANEIRO 2026.pdf</t>
        </is>
      </c>
    </row>
    <row r="130">
      <c r="A130" s="13" t="inlineStr"/>
      <c r="B130" s="13" t="inlineStr">
        <is>
          <t>[coo eran. (DO PROOUTO 7M 04 | aur. [vurrrivao] vrais [v.oeacowto]: awbo] ec. rcwa] voce | vrs</t>
        </is>
      </c>
      <c r="C130" s="15" t="inlineStr">
        <is>
          <t>Produtos</t>
        </is>
      </c>
      <c r="D130" s="13" t="n">
        <v>0</v>
      </c>
      <c r="E130" s="16" t="n">
        <v>0</v>
      </c>
      <c r="F130" s="13" t="n">
        <v>1</v>
      </c>
      <c r="G130" s="16" t="n">
        <v>0</v>
      </c>
      <c r="H130" s="15" t="inlineStr">
        <is>
          <t>281</t>
        </is>
      </c>
      <c r="I130" s="15" t="inlineStr">
        <is>
          <t>NOTAS FISCAIS DE COMPRA JANEIRO 2026.pdf</t>
        </is>
      </c>
    </row>
    <row r="131">
      <c r="A131" s="13" t="inlineStr"/>
      <c r="B131" s="13" t="inlineStr">
        <is>
          <t>‘VENDA DE MERCADORIA ADQUIRIDA OU RECEBIDA DE TERCEIROS 7122400040049 190172026 14:21:38 7</t>
        </is>
      </c>
      <c r="C131" s="15" t="inlineStr">
        <is>
          <t>Produtos</t>
        </is>
      </c>
      <c r="D131" s="13" t="n">
        <v>0</v>
      </c>
      <c r="E131" s="16" t="n">
        <v>0</v>
      </c>
      <c r="F131" s="13" t="n">
        <v>1</v>
      </c>
      <c r="G131" s="16" t="n">
        <v>0</v>
      </c>
      <c r="H131" s="15" t="inlineStr">
        <is>
          <t>282</t>
        </is>
      </c>
      <c r="I131" s="15" t="inlineStr">
        <is>
          <t>NOTAS FISCAIS DE COMPRA JANEIRO 2026.pdf</t>
        </is>
      </c>
    </row>
    <row r="132">
      <c r="A132" s="13" t="inlineStr">
        <is>
          <t>00.434.904/0004-78</t>
        </is>
      </c>
      <c r="B132" s="13" t="inlineStr">
        <is>
          <t>Rua Sao Francisco, 4000 Tancredo Neves 64076-038 19/01/2026,</t>
        </is>
      </c>
      <c r="C132" s="15" t="inlineStr">
        <is>
          <t>Produtos</t>
        </is>
      </c>
      <c r="D132" s="13" t="n">
        <v>0</v>
      </c>
      <c r="E132" s="16" t="n">
        <v>0</v>
      </c>
      <c r="F132" s="13" t="n">
        <v>1</v>
      </c>
      <c r="G132" s="16" t="n">
        <v>0</v>
      </c>
      <c r="H132" s="15" t="inlineStr">
        <is>
          <t>283</t>
        </is>
      </c>
      <c r="I132" s="15" t="inlineStr">
        <is>
          <t>NOTAS FISCAIS DE COMPRA JANEIRO 2026.pdf</t>
        </is>
      </c>
    </row>
    <row r="133">
      <c r="A133" s="13" t="inlineStr"/>
      <c r="B133" s="13" t="inlineStr">
        <is>
          <t>[VENDA DE MERCADURIA ADQUIRIDA OU RECBBIDA DE TERCEIROS: 21/01/2026 09:56:00</t>
        </is>
      </c>
      <c r="C133" s="15" t="inlineStr">
        <is>
          <t>Produtos</t>
        </is>
      </c>
      <c r="D133" s="13" t="n">
        <v>0</v>
      </c>
      <c r="E133" s="16" t="n">
        <v>0</v>
      </c>
      <c r="F133" s="13" t="n">
        <v>1</v>
      </c>
      <c r="G133" s="16" t="n">
        <v>0</v>
      </c>
      <c r="H133" s="15" t="inlineStr">
        <is>
          <t>287</t>
        </is>
      </c>
      <c r="I133" s="15" t="inlineStr">
        <is>
          <t>NOTAS FISCAIS DE COMPRA JANEIRO 2026.pdf</t>
        </is>
      </c>
    </row>
    <row r="134">
      <c r="A134" s="13" t="inlineStr"/>
      <c r="B134" s="13" t="inlineStr">
        <is>
          <t>SERIE 001 | wow:nfe.fazenda.gov.briportal ou no site da Sefaz Autorizadors</t>
        </is>
      </c>
      <c r="C134" s="15" t="inlineStr">
        <is>
          <t>Produtos</t>
        </is>
      </c>
      <c r="D134" s="13" t="n">
        <v>0</v>
      </c>
      <c r="E134" s="16" t="n">
        <v>0</v>
      </c>
      <c r="F134" s="13" t="n">
        <v>1</v>
      </c>
      <c r="G134" s="16" t="n">
        <v>0</v>
      </c>
      <c r="H134" s="15" t="inlineStr">
        <is>
          <t>290</t>
        </is>
      </c>
      <c r="I134" s="15" t="inlineStr">
        <is>
          <t>NOTAS FISCAIS DE COMPRA JANEIRO 2026.pdf</t>
        </is>
      </c>
    </row>
    <row r="135">
      <c r="A135" s="13" t="inlineStr"/>
      <c r="B135" s="13" t="inlineStr">
        <is>
          <t>Re Ee tet CAT SARS fan BEST INn LSC RAL EXORTSNIA NDC STWA ECOMERCIOLION: AN PRIDA ASO NF 4</t>
        </is>
      </c>
      <c r="C135" s="15" t="inlineStr">
        <is>
          <t>Produtos</t>
        </is>
      </c>
      <c r="D135" s="13" t="n">
        <v>0</v>
      </c>
      <c r="E135" s="16" t="n">
        <v>0</v>
      </c>
      <c r="F135" s="13" t="n">
        <v>1</v>
      </c>
      <c r="G135" s="16" t="n">
        <v>0</v>
      </c>
      <c r="H135" s="15" t="inlineStr">
        <is>
          <t>293</t>
        </is>
      </c>
      <c r="I135" s="15" t="inlineStr">
        <is>
          <t>NOTAS FISCAIS DE COMPRA JANEIRO 2026.pdf</t>
        </is>
      </c>
    </row>
    <row r="136">
      <c r="A136" s="13" t="inlineStr"/>
      <c r="B136" s="13" t="inlineStr">
        <is>
          <t>f (861 3248-2654 64001490 NP: 80160 ‘ww wanie,fazcada. gor.b¢ uu na site da Sefaz Autorizadora</t>
        </is>
      </c>
      <c r="C136" s="15" t="inlineStr">
        <is>
          <t>Produtos</t>
        </is>
      </c>
      <c r="D136" s="13" t="n">
        <v>0</v>
      </c>
      <c r="E136" s="16" t="n">
        <v>0</v>
      </c>
      <c r="F136" s="13" t="n">
        <v>1</v>
      </c>
      <c r="G136" s="16" t="n">
        <v>0</v>
      </c>
      <c r="H136" s="15" t="inlineStr">
        <is>
          <t>297</t>
        </is>
      </c>
      <c r="I136" s="15" t="inlineStr">
        <is>
          <t>NOTAS FISCAIS DE COMPRA JANEIRO 2026.pdf</t>
        </is>
      </c>
    </row>
    <row r="137">
      <c r="A137" s="13" t="inlineStr">
        <is>
          <t>01.674.104/0001-44</t>
        </is>
      </c>
      <c r="B137" s="13" t="inlineStr">
        <is>
          <t>REDERETOR BE NORDESTE DESL FDR GY RODU OREO SERVICES CONT ANTES DA ROTA PRLACELETRONNCA POH ESTO TOTP</t>
        </is>
      </c>
      <c r="C137" s="15" t="inlineStr">
        <is>
          <t>Produtos</t>
        </is>
      </c>
      <c r="D137" s="13" t="n">
        <v>0</v>
      </c>
      <c r="E137" s="16" t="n">
        <v>0</v>
      </c>
      <c r="F137" s="13" t="n">
        <v>1</v>
      </c>
      <c r="G137" s="16" t="n">
        <v>0</v>
      </c>
      <c r="H137" s="15" t="inlineStr">
        <is>
          <t>302</t>
        </is>
      </c>
      <c r="I137" s="15" t="inlineStr">
        <is>
          <t>NOTAS FISCAIS DE COMPRA JANEIRO 2026.pdf</t>
        </is>
      </c>
    </row>
    <row r="138">
      <c r="A138" s="13" t="inlineStr"/>
      <c r="B138" s="13" t="inlineStr">
        <is>
          <t>SERIE 001 | wowmnie.fazenda gov bripartal ou no site da Sofa Autorizadona</t>
        </is>
      </c>
      <c r="C138" s="15" t="inlineStr">
        <is>
          <t>Produtos</t>
        </is>
      </c>
      <c r="D138" s="13" t="n">
        <v>0</v>
      </c>
      <c r="E138" s="16" t="n">
        <v>0</v>
      </c>
      <c r="F138" s="13" t="n">
        <v>1</v>
      </c>
      <c r="G138" s="16" t="n">
        <v>0</v>
      </c>
      <c r="H138" s="15" t="inlineStr">
        <is>
          <t>303</t>
        </is>
      </c>
      <c r="I138" s="15" t="inlineStr">
        <is>
          <t>NOTAS FISCAIS DE COMPRA JANEIRO 2026.pdf</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I10"/>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42" customWidth="1" min="3" max="3"/>
    <col width="12" customWidth="1" min="4" max="4"/>
    <col width="18" customWidth="1" min="5" max="5"/>
    <col width="28" customWidth="1" min="6" max="6"/>
    <col width="24" customWidth="1" min="7" max="7"/>
    <col width="70" customWidth="1" min="8" max="8"/>
    <col width="42" customWidth="1" min="9" max="9"/>
  </cols>
  <sheetData>
    <row r="1" ht="36" customHeight="1">
      <c r="A1" s="12" t="inlineStr">
        <is>
          <t>Pagina</t>
        </is>
      </c>
      <c r="B1" s="12" t="inlineStr">
        <is>
          <t>Documento</t>
        </is>
      </c>
      <c r="C1" s="12" t="inlineStr">
        <is>
          <t>Fornecedor</t>
        </is>
      </c>
      <c r="D1" s="12" t="inlineStr">
        <is>
          <t>Valor</t>
        </is>
      </c>
      <c r="E1" s="12" t="inlineStr">
        <is>
          <t>Pagina_Referencia</t>
        </is>
      </c>
      <c r="F1" s="12" t="inlineStr">
        <is>
          <t>Classificacao</t>
        </is>
      </c>
      <c r="G1" s="12" t="inlineStr">
        <is>
          <t>Tratamento</t>
        </is>
      </c>
      <c r="H1" s="12" t="inlineStr">
        <is>
          <t>Justificativa</t>
        </is>
      </c>
      <c r="I1" s="12" t="inlineStr">
        <is>
          <t>Fonte</t>
        </is>
      </c>
    </row>
    <row r="2">
      <c r="A2" s="13" t="n">
        <v>13</v>
      </c>
      <c r="B2" s="13" t="inlineStr">
        <is>
          <t>NFS-e 863</t>
        </is>
      </c>
      <c r="C2" s="13" t="inlineStr">
        <is>
          <t>GESTAO - INOVACAO EMPRESARIAL LTDA</t>
        </is>
      </c>
      <c r="D2" s="16" t="n">
        <v>759</v>
      </c>
      <c r="E2" s="13" t="n">
        <v>12</v>
      </c>
      <c r="F2" s="23" t="inlineStr">
        <is>
          <t>Duplicado exato</t>
        </is>
      </c>
      <c r="G2" s="13" t="inlineStr">
        <is>
          <t>Excluir da soma</t>
        </is>
      </c>
      <c r="H2" s="15" t="inlineStr">
        <is>
          <t>Mesmo documento da página 12; mantido apenas para rastreabilidade.</t>
        </is>
      </c>
      <c r="I2" s="15" t="inlineStr">
        <is>
          <t>NOTAS FISCAIS DE COMPRA JANEIRO 2026.pdf - p. 13</t>
        </is>
      </c>
    </row>
    <row r="3">
      <c r="A3" s="13" t="n">
        <v>134</v>
      </c>
      <c r="B3" s="13" t="inlineStr">
        <is>
          <t>NFS-e 767</t>
        </is>
      </c>
      <c r="C3" s="13" t="inlineStr">
        <is>
          <t>EDWARD MOURA SOCIEDADE INDIVIDUAL DE ADVOCACIA</t>
        </is>
      </c>
      <c r="D3" s="16" t="n">
        <v>4075</v>
      </c>
      <c r="E3" s="13" t="n">
        <v>82</v>
      </c>
      <c r="F3" s="23" t="inlineStr">
        <is>
          <t>Duplicado exato</t>
        </is>
      </c>
      <c r="G3" s="13" t="inlineStr">
        <is>
          <t>Excluir da soma</t>
        </is>
      </c>
      <c r="H3" s="15" t="inlineStr">
        <is>
          <t>Mesmo documento da página 82; mantido apenas para rastreabilidade.</t>
        </is>
      </c>
      <c r="I3" s="15" t="inlineStr">
        <is>
          <t>NOTAS FISCAIS DE COMPRA JANEIRO 2026.pdf - p. 134</t>
        </is>
      </c>
    </row>
    <row r="4">
      <c r="A4" s="13" t="n">
        <v>153</v>
      </c>
      <c r="B4" s="13" t="inlineStr">
        <is>
          <t>NFS-e 221</t>
        </is>
      </c>
      <c r="C4" s="13" t="inlineStr">
        <is>
          <t>Valortoiica MEERA) —_Tolabes.cacigtes 3) Deas. Rcandicloando (RH Gune de chieul do MEGN RS) Ally. (hk) Valor do HOON RS)</t>
        </is>
      </c>
      <c r="D4" s="16" t="n">
        <v>35238.7</v>
      </c>
      <c r="E4" s="13" t="n">
        <v>64</v>
      </c>
      <c r="F4" s="23" t="inlineStr">
        <is>
          <t>Duplicado exato</t>
        </is>
      </c>
      <c r="G4" s="13" t="inlineStr">
        <is>
          <t>Excluir da soma</t>
        </is>
      </c>
      <c r="H4" s="15" t="inlineStr">
        <is>
          <t>Mesmo documento da página 64; mantido apenas para rastreabilidade.</t>
        </is>
      </c>
      <c r="I4" s="15" t="inlineStr">
        <is>
          <t>NOTAS FISCAIS DE COMPRA JANEIRO 2026.pdf - p. 153</t>
        </is>
      </c>
    </row>
    <row r="5">
      <c r="A5" s="13" t="n">
        <v>156</v>
      </c>
      <c r="B5" s="13" t="inlineStr">
        <is>
          <t>NFS-e 3992/U</t>
        </is>
      </c>
      <c r="C5" s="13" t="inlineStr">
        <is>
          <t>BEER wo reves oro moo PAROLE MHRUNZOUDRAMLOTE AAR meal TREEAPrORASE oa077.60</t>
        </is>
      </c>
      <c r="D5" s="16" t="n">
        <v>751.47</v>
      </c>
      <c r="E5" s="13" t="n">
        <v>154</v>
      </c>
      <c r="F5" s="23" t="inlineStr">
        <is>
          <t>Duplicado exato</t>
        </is>
      </c>
      <c r="G5" s="13" t="inlineStr">
        <is>
          <t>Excluir da soma</t>
        </is>
      </c>
      <c r="H5" s="15" t="inlineStr">
        <is>
          <t>Mesmo documento da página 154; mantido apenas para rastreabilidade.</t>
        </is>
      </c>
      <c r="I5" s="15" t="inlineStr">
        <is>
          <t>NOTAS FISCAIS DE COMPRA JANEIRO 2026.pdf - p. 156</t>
        </is>
      </c>
    </row>
    <row r="6">
      <c r="A6" s="13" t="n">
        <v>165</v>
      </c>
      <c r="B6" s="13" t="inlineStr">
        <is>
          <t>NFS-e 167</t>
        </is>
      </c>
      <c r="C6" s="13" t="inlineStr">
        <is>
          <t>fixengiodo 650M Stage do preetador do sani pera o SimelenHecisnm ein copia do bibwigbe do OS</t>
        </is>
      </c>
      <c r="D6" s="16" t="n">
        <v>8175</v>
      </c>
      <c r="E6" s="13" t="n">
        <v>131</v>
      </c>
      <c r="F6" s="23" t="inlineStr">
        <is>
          <t>Duplicado exato</t>
        </is>
      </c>
      <c r="G6" s="13" t="inlineStr">
        <is>
          <t>Excluir da soma</t>
        </is>
      </c>
      <c r="H6" s="15" t="inlineStr">
        <is>
          <t>Mesmo documento da página 131; mantido apenas para rastreabilidade.</t>
        </is>
      </c>
      <c r="I6" s="15" t="inlineStr">
        <is>
          <t>NOTAS FISCAIS DE COMPRA JANEIRO 2026.pdf - p. 165</t>
        </is>
      </c>
    </row>
    <row r="7">
      <c r="A7" s="13" t="n">
        <v>166</v>
      </c>
      <c r="B7" s="13" t="inlineStr">
        <is>
          <t>NFS-e 166</t>
        </is>
      </c>
      <c r="C7" s="13" t="inlineStr">
        <is>
          <t>DalzedoredeenisaBo — Compettincts = Mimoroférit ‘Sseenac Sa os pond</t>
        </is>
      </c>
      <c r="D7" s="16" t="n">
        <v>8175</v>
      </c>
      <c r="E7" s="13" t="n">
        <v>132</v>
      </c>
      <c r="F7" s="23" t="inlineStr">
        <is>
          <t>Duplicado exato</t>
        </is>
      </c>
      <c r="G7" s="13" t="inlineStr">
        <is>
          <t>Excluir da soma</t>
        </is>
      </c>
      <c r="H7" s="15" t="inlineStr">
        <is>
          <t>Mesmo documento da página 132; mantido apenas para rastreabilidade.</t>
        </is>
      </c>
      <c r="I7" s="15" t="inlineStr">
        <is>
          <t>NOTAS FISCAIS DE COMPRA JANEIRO 2026.pdf - p. 166</t>
        </is>
      </c>
    </row>
    <row r="8">
      <c r="A8" s="13" t="n">
        <v>199</v>
      </c>
      <c r="B8" s="13" t="inlineStr">
        <is>
          <t>NFS-e 9</t>
        </is>
      </c>
      <c r="C8" s="13" t="inlineStr">
        <is>
          <t>Sack EXPLORACAO DE SALOES DE FESTAS, CENTRO DE CONVENCOES, ESCRITORIOS VIRTUNS. STANDS, QUADRAS ESPORTIVAS,ESTADIOS, GNASIOS,</t>
        </is>
      </c>
      <c r="D8" s="16" t="n">
        <v>3000</v>
      </c>
      <c r="E8" s="13" t="n">
        <v>145</v>
      </c>
      <c r="F8" s="23" t="inlineStr">
        <is>
          <t>Duplicado exato</t>
        </is>
      </c>
      <c r="G8" s="13" t="inlineStr">
        <is>
          <t>Excluir da soma</t>
        </is>
      </c>
      <c r="H8" s="15" t="inlineStr">
        <is>
          <t>Mesmo documento da página 145; mantido apenas para rastreabilidade.</t>
        </is>
      </c>
      <c r="I8" s="15" t="inlineStr">
        <is>
          <t>NOTAS FISCAIS DE COMPRA JANEIRO 2026.pdf - p. 199</t>
        </is>
      </c>
    </row>
    <row r="9">
      <c r="A9" s="13" t="n">
        <v>200</v>
      </c>
      <c r="B9" s="13" t="inlineStr">
        <is>
          <t>NFS-e 3</t>
        </is>
      </c>
      <c r="C9" s="13" t="inlineStr">
        <is>
          <t>‘aorde santee escort Conlonade Devcon cetera (SON Fedo</t>
        </is>
      </c>
      <c r="D9" s="16" t="n">
        <v>15662.93</v>
      </c>
      <c r="E9" s="13" t="n">
        <v>70</v>
      </c>
      <c r="F9" s="23" t="inlineStr">
        <is>
          <t>Duplicado exato</t>
        </is>
      </c>
      <c r="G9" s="13" t="inlineStr">
        <is>
          <t>Excluir da soma</t>
        </is>
      </c>
      <c r="H9" s="15" t="inlineStr">
        <is>
          <t>Mesmo documento da página 70; mantido apenas para rastreabilidade.</t>
        </is>
      </c>
      <c r="I9" s="15" t="inlineStr">
        <is>
          <t>NOTAS FISCAIS DE COMPRA JANEIRO 2026.pdf - p. 200</t>
        </is>
      </c>
    </row>
    <row r="10">
      <c r="A10" s="13" t="n">
        <v>69</v>
      </c>
      <c r="B10" s="13" t="inlineStr">
        <is>
          <t>NFS-e 4</t>
        </is>
      </c>
      <c r="C10" s="13" t="inlineStr">
        <is>
          <t>JUVENCIO REPRESENTACOES LIMITADA</t>
        </is>
      </c>
      <c r="D10" s="16" t="n">
        <v>15662.93</v>
      </c>
      <c r="E10" s="13" t="inlineStr">
        <is>
          <t>70</t>
        </is>
      </c>
      <c r="F10" s="21" t="inlineStr">
        <is>
          <t>Possível duplicidade comercial</t>
        </is>
      </c>
      <c r="G10" s="13" t="inlineStr">
        <is>
          <t>Revisar antes de somar</t>
        </is>
      </c>
      <c r="H10" s="15" t="inlineStr">
        <is>
          <t>Mesmo fornecedor, mesmo valor e mesma descrição de comissão de dezembro/2025, porém NFS-e/números e datas distintos.</t>
        </is>
      </c>
      <c r="I10" s="15" t="inlineStr">
        <is>
          <t>NOTAS FISCAIS DE COMPRA JANEIRO 2026.pdf - p. 69</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M304"/>
  <sheetViews>
    <sheetView showGridLines="0" workbookViewId="0">
      <pane ySplit="1" topLeftCell="A2" activePane="bottomLeft" state="frozen"/>
      <selection pane="bottomLeft" activeCell="A1" sqref="A1"/>
    </sheetView>
  </sheetViews>
  <sheetFormatPr baseColWidth="8" defaultRowHeight="15"/>
  <cols>
    <col width="8" customWidth="1" min="1" max="1"/>
    <col width="15" customWidth="1" min="2" max="2"/>
    <col width="22" customWidth="1" min="3" max="3"/>
    <col width="16" customWidth="1" min="4" max="4"/>
    <col width="42" customWidth="1" min="5" max="5"/>
    <col width="16" customWidth="1" min="6" max="6"/>
    <col width="20" customWidth="1" min="7" max="7"/>
    <col width="15" customWidth="1" min="8" max="8"/>
    <col width="15" customWidth="1" min="9" max="9"/>
    <col width="14" customWidth="1" min="10" max="10"/>
    <col width="28" customWidth="1" min="11" max="11"/>
    <col width="18" customWidth="1" min="12" max="12"/>
    <col width="42" customWidth="1" min="13" max="13"/>
  </cols>
  <sheetData>
    <row r="1" ht="36" customHeight="1">
      <c r="A1" s="12" t="inlineStr">
        <is>
          <t>Pagina</t>
        </is>
      </c>
      <c r="B1" s="12" t="inlineStr">
        <is>
          <t>Doc_ID</t>
        </is>
      </c>
      <c r="C1" s="12" t="inlineStr">
        <is>
          <t>Tipo_Classificado</t>
        </is>
      </c>
      <c r="D1" s="12" t="inlineStr">
        <is>
          <t>Numero</t>
        </is>
      </c>
      <c r="E1" s="12" t="inlineStr">
        <is>
          <t>Emitente</t>
        </is>
      </c>
      <c r="F1" s="12" t="inlineStr">
        <is>
          <t>Valor_Extraido</t>
        </is>
      </c>
      <c r="G1" s="12" t="inlineStr">
        <is>
          <t>Categoria</t>
        </is>
      </c>
      <c r="H1" s="12" t="inlineStr">
        <is>
          <t>Confianca_OCR</t>
        </is>
      </c>
      <c r="I1" s="12" t="inlineStr">
        <is>
          <t>Soma_Contabil</t>
        </is>
      </c>
      <c r="J1" s="12" t="inlineStr">
        <is>
          <t>Duplicado_de</t>
        </is>
      </c>
      <c r="K1" s="12" t="inlineStr">
        <is>
          <t>Status_Duplicidade</t>
        </is>
      </c>
      <c r="L1" s="12" t="inlineStr">
        <is>
          <t>Revisao_Necessaria</t>
        </is>
      </c>
      <c r="M1" s="12" t="inlineStr">
        <is>
          <t>Fonte</t>
        </is>
      </c>
    </row>
    <row r="2">
      <c r="A2" s="13" t="n">
        <v>1</v>
      </c>
      <c r="B2" s="13" t="inlineStr">
        <is>
          <t>JAN26-P001</t>
        </is>
      </c>
      <c r="C2" s="13" t="inlineStr">
        <is>
          <t>Energia/NF3e</t>
        </is>
      </c>
      <c r="D2" s="13" t="inlineStr">
        <is>
          <t>67912850</t>
        </is>
      </c>
      <c r="E2" s="13" t="inlineStr">
        <is>
          <t>EQUATORIAL PIAUI DISTRIBUIDORA DE ENERGIA S.A.</t>
        </is>
      </c>
      <c r="F2" s="16" t="n">
        <v>23789.49</v>
      </c>
      <c r="G2" s="13" t="inlineStr">
        <is>
          <t>Energia</t>
        </is>
      </c>
      <c r="H2" s="13" t="inlineStr">
        <is>
          <t>Alta</t>
        </is>
      </c>
      <c r="I2" s="13" t="inlineStr">
        <is>
          <t>Sim</t>
        </is>
      </c>
      <c r="J2" s="13" t="inlineStr"/>
      <c r="K2" s="13" t="inlineStr"/>
      <c r="L2" s="13" t="inlineStr">
        <is>
          <t>Não</t>
        </is>
      </c>
      <c r="M2" s="15" t="inlineStr">
        <is>
          <t>NOTAS FISCAIS DE COMPRA JANEIRO 2026.pdf - p. 1</t>
        </is>
      </c>
    </row>
    <row r="3">
      <c r="A3" s="13" t="n">
        <v>2</v>
      </c>
      <c r="B3" s="13" t="inlineStr">
        <is>
          <t>JAN26-P002</t>
        </is>
      </c>
      <c r="C3" s="13" t="inlineStr">
        <is>
          <t>Outros/Documento</t>
        </is>
      </c>
      <c r="D3" s="13" t="inlineStr"/>
      <c r="E3" s="13" t="inlineStr">
        <is>
          <t>Greta ica force pogo, Para mexet nas insialarben,</t>
        </is>
      </c>
      <c r="F3" s="16" t="n"/>
      <c r="G3" s="13" t="inlineStr">
        <is>
          <t>Apoio</t>
        </is>
      </c>
      <c r="H3" s="13" t="inlineStr">
        <is>
          <t>Baixa</t>
        </is>
      </c>
      <c r="I3" s="13" t="inlineStr">
        <is>
          <t>Não</t>
        </is>
      </c>
      <c r="J3" s="13" t="inlineStr"/>
      <c r="K3" s="13" t="inlineStr">
        <is>
          <t>Continuacao do documento da pagina 1 - nao somar separadamente</t>
        </is>
      </c>
      <c r="L3" s="13" t="inlineStr">
        <is>
          <t>Sim</t>
        </is>
      </c>
      <c r="M3" s="15" t="inlineStr">
        <is>
          <t>NOTAS FISCAIS DE COMPRA JANEIRO 2026.pdf - p. 2</t>
        </is>
      </c>
    </row>
    <row r="4">
      <c r="A4" s="13" t="n">
        <v>3</v>
      </c>
      <c r="B4" s="13" t="inlineStr">
        <is>
          <t>JAN26-P003</t>
        </is>
      </c>
      <c r="C4" s="13" t="inlineStr">
        <is>
          <t>Energia/NF3e</t>
        </is>
      </c>
      <c r="D4" s="13" t="inlineStr">
        <is>
          <t>67620505</t>
        </is>
      </c>
      <c r="E4" s="13" t="inlineStr">
        <is>
          <t>EQUATORIAL PIAUI DISTRIBUIDORA DE ENERGIA S.A.</t>
        </is>
      </c>
      <c r="F4" s="16" t="n">
        <v>29.6</v>
      </c>
      <c r="G4" s="13" t="inlineStr">
        <is>
          <t>Energia</t>
        </is>
      </c>
      <c r="H4" s="13" t="inlineStr">
        <is>
          <t>Alta</t>
        </is>
      </c>
      <c r="I4" s="13" t="inlineStr">
        <is>
          <t>Sim</t>
        </is>
      </c>
      <c r="J4" s="13" t="inlineStr"/>
      <c r="K4" s="13" t="inlineStr"/>
      <c r="L4" s="13" t="inlineStr">
        <is>
          <t>Não</t>
        </is>
      </c>
      <c r="M4" s="15" t="inlineStr">
        <is>
          <t>NOTAS FISCAIS DE COMPRA JANEIRO 2026.pdf - p. 3</t>
        </is>
      </c>
    </row>
    <row r="5">
      <c r="A5" s="13" t="n">
        <v>4</v>
      </c>
      <c r="B5" s="13" t="inlineStr">
        <is>
          <t>JAN26-P004</t>
        </is>
      </c>
      <c r="C5" s="13" t="inlineStr">
        <is>
          <t>Energia/NF3e</t>
        </is>
      </c>
      <c r="D5" s="13" t="inlineStr">
        <is>
          <t>67003437</t>
        </is>
      </c>
      <c r="E5" s="13" t="inlineStr">
        <is>
          <t>EQUATORIAL PIAUI DISTRIBUIDORA DE ENERGIA S.A.</t>
        </is>
      </c>
      <c r="F5" s="16" t="n">
        <v>29.78</v>
      </c>
      <c r="G5" s="13" t="inlineStr">
        <is>
          <t>Energia</t>
        </is>
      </c>
      <c r="H5" s="13" t="inlineStr">
        <is>
          <t>Alta</t>
        </is>
      </c>
      <c r="I5" s="13" t="inlineStr">
        <is>
          <t>Sim</t>
        </is>
      </c>
      <c r="J5" s="13" t="inlineStr"/>
      <c r="K5" s="13" t="inlineStr"/>
      <c r="L5" s="13" t="inlineStr">
        <is>
          <t>Não</t>
        </is>
      </c>
      <c r="M5" s="15" t="inlineStr">
        <is>
          <t>NOTAS FISCAIS DE COMPRA JANEIRO 2026.pdf - p. 4</t>
        </is>
      </c>
    </row>
    <row r="6">
      <c r="A6" s="13" t="n">
        <v>5</v>
      </c>
      <c r="B6" s="13" t="inlineStr">
        <is>
          <t>JAN26-P005</t>
        </is>
      </c>
      <c r="C6" s="13" t="inlineStr">
        <is>
          <t>Energia/NF3e</t>
        </is>
      </c>
      <c r="D6" s="13" t="inlineStr">
        <is>
          <t>67888805</t>
        </is>
      </c>
      <c r="E6" s="13" t="inlineStr">
        <is>
          <t>EQUATORIAL PIAUI DISTRIBUIDORA DE ENERGIA S.A.</t>
        </is>
      </c>
      <c r="F6" s="16" t="n">
        <v>843.08</v>
      </c>
      <c r="G6" s="13" t="inlineStr">
        <is>
          <t>Energia</t>
        </is>
      </c>
      <c r="H6" s="13" t="inlineStr">
        <is>
          <t>Alta</t>
        </is>
      </c>
      <c r="I6" s="13" t="inlineStr">
        <is>
          <t>Sim</t>
        </is>
      </c>
      <c r="J6" s="13" t="inlineStr"/>
      <c r="K6" s="13" t="inlineStr"/>
      <c r="L6" s="13" t="inlineStr">
        <is>
          <t>Não</t>
        </is>
      </c>
      <c r="M6" s="15" t="inlineStr">
        <is>
          <t>NOTAS FISCAIS DE COMPRA JANEIRO 2026.pdf - p. 5</t>
        </is>
      </c>
    </row>
    <row r="7">
      <c r="A7" s="13" t="n">
        <v>6</v>
      </c>
      <c r="B7" s="13" t="inlineStr">
        <is>
          <t>JAN26-P006</t>
        </is>
      </c>
      <c r="C7" s="13" t="inlineStr">
        <is>
          <t>Separador/Anotacao</t>
        </is>
      </c>
      <c r="D7" s="13" t="inlineStr"/>
      <c r="E7" s="13" t="inlineStr">
        <is>
          <t>PERIODO MES DE</t>
        </is>
      </c>
      <c r="F7" s="16" t="n"/>
      <c r="G7" s="13" t="inlineStr">
        <is>
          <t>Apoio</t>
        </is>
      </c>
      <c r="H7" s="13" t="inlineStr">
        <is>
          <t>Baixa</t>
        </is>
      </c>
      <c r="I7" s="13" t="inlineStr">
        <is>
          <t>Não</t>
        </is>
      </c>
      <c r="J7" s="13" t="inlineStr"/>
      <c r="K7" s="13" t="inlineStr"/>
      <c r="L7" s="13" t="inlineStr">
        <is>
          <t>Sim</t>
        </is>
      </c>
      <c r="M7" s="15" t="inlineStr">
        <is>
          <t>NOTAS FISCAIS DE COMPRA JANEIRO 2026.pdf - p. 6</t>
        </is>
      </c>
    </row>
    <row r="8">
      <c r="A8" s="13" t="n">
        <v>7</v>
      </c>
      <c r="B8" s="13" t="inlineStr">
        <is>
          <t>JAN26-P007</t>
        </is>
      </c>
      <c r="C8" s="13" t="inlineStr">
        <is>
          <t>NF-e</t>
        </is>
      </c>
      <c r="D8" s="13" t="inlineStr"/>
      <c r="E8" s="13" t="inlineStr">
        <is>
          <t>‘wrwwenfefazenda.gov-briportal ou no site da Sefaz Autorizadora</t>
        </is>
      </c>
      <c r="F8" s="16" t="n"/>
      <c r="G8" s="13" t="inlineStr">
        <is>
          <t>Produtos</t>
        </is>
      </c>
      <c r="H8" s="13" t="inlineStr">
        <is>
          <t>Baixa</t>
        </is>
      </c>
      <c r="I8" s="13" t="inlineStr">
        <is>
          <t>Revisar</t>
        </is>
      </c>
      <c r="J8" s="13" t="inlineStr"/>
      <c r="K8" s="13" t="inlineStr"/>
      <c r="L8" s="13" t="inlineStr">
        <is>
          <t>Sim</t>
        </is>
      </c>
      <c r="M8" s="15" t="inlineStr">
        <is>
          <t>NOTAS FISCAIS DE COMPRA JANEIRO 2026.pdf - p. 7</t>
        </is>
      </c>
    </row>
    <row r="9">
      <c r="A9" s="13" t="n">
        <v>8</v>
      </c>
      <c r="B9" s="13" t="inlineStr">
        <is>
          <t>JAN26-P008</t>
        </is>
      </c>
      <c r="C9" s="13" t="inlineStr">
        <is>
          <t>NF-e</t>
        </is>
      </c>
      <c r="D9" s="13" t="inlineStr"/>
      <c r="E9" s="13" t="inlineStr">
        <is>
          <t>FORNECEDORA CAMINHOES COMERCIO SERVIC</t>
        </is>
      </c>
      <c r="F9" s="16" t="n"/>
      <c r="G9" s="13" t="inlineStr">
        <is>
          <t>Produtos</t>
        </is>
      </c>
      <c r="H9" s="13" t="inlineStr">
        <is>
          <t>Baixa</t>
        </is>
      </c>
      <c r="I9" s="13" t="inlineStr">
        <is>
          <t>Revisar</t>
        </is>
      </c>
      <c r="J9" s="13" t="inlineStr"/>
      <c r="K9" s="13" t="inlineStr"/>
      <c r="L9" s="13" t="inlineStr">
        <is>
          <t>Sim</t>
        </is>
      </c>
      <c r="M9" s="15" t="inlineStr">
        <is>
          <t>NOTAS FISCAIS DE COMPRA JANEIRO 2026.pdf - p. 8</t>
        </is>
      </c>
    </row>
    <row r="10">
      <c r="A10" s="13" t="n">
        <v>9</v>
      </c>
      <c r="B10" s="13" t="inlineStr">
        <is>
          <t>JAN26-P009</t>
        </is>
      </c>
      <c r="C10" s="13" t="inlineStr">
        <is>
          <t>Boleto/Financeiro</t>
        </is>
      </c>
      <c r="D10" s="13" t="inlineStr"/>
      <c r="E10" s="13" t="inlineStr">
        <is>
          <t>FORNECEDORA CAMINHOES COMERCIO E SERVIGOS LTDA, CNPJ:19.377.865/0006-04</t>
        </is>
      </c>
      <c r="F10" s="16" t="n"/>
      <c r="G10" s="13" t="inlineStr">
        <is>
          <t>Apoio</t>
        </is>
      </c>
      <c r="H10" s="13" t="inlineStr">
        <is>
          <t>Media</t>
        </is>
      </c>
      <c r="I10" s="13" t="inlineStr">
        <is>
          <t>Não</t>
        </is>
      </c>
      <c r="J10" s="13" t="inlineStr"/>
      <c r="K10" s="13" t="inlineStr"/>
      <c r="L10" s="13" t="inlineStr">
        <is>
          <t>Sim</t>
        </is>
      </c>
      <c r="M10" s="15" t="inlineStr">
        <is>
          <t>NOTAS FISCAIS DE COMPRA JANEIRO 2026.pdf - p. 9</t>
        </is>
      </c>
    </row>
    <row r="11">
      <c r="A11" s="13" t="n">
        <v>10</v>
      </c>
      <c r="B11" s="13" t="inlineStr">
        <is>
          <t>JAN26-P010</t>
        </is>
      </c>
      <c r="C11" s="13" t="inlineStr">
        <is>
          <t>Boleto/Financeiro</t>
        </is>
      </c>
      <c r="D11" s="13" t="inlineStr"/>
      <c r="E11" s="13" t="inlineStr">
        <is>
          <t>FORNECEDORA CAMINHOES COMERCIO &amp; SERVICOS LTDA, CNPJ:19:377.805/0006-04</t>
        </is>
      </c>
      <c r="F11" s="16" t="n"/>
      <c r="G11" s="13" t="inlineStr">
        <is>
          <t>Apoio</t>
        </is>
      </c>
      <c r="H11" s="13" t="inlineStr">
        <is>
          <t>Baixa</t>
        </is>
      </c>
      <c r="I11" s="13" t="inlineStr">
        <is>
          <t>Não</t>
        </is>
      </c>
      <c r="J11" s="13" t="inlineStr"/>
      <c r="K11" s="13" t="inlineStr"/>
      <c r="L11" s="13" t="inlineStr">
        <is>
          <t>Sim</t>
        </is>
      </c>
      <c r="M11" s="15" t="inlineStr">
        <is>
          <t>NOTAS FISCAIS DE COMPRA JANEIRO 2026.pdf - p. 10</t>
        </is>
      </c>
    </row>
    <row r="12">
      <c r="A12" s="13" t="n">
        <v>11</v>
      </c>
      <c r="B12" s="13" t="inlineStr">
        <is>
          <t>JAN26-P011</t>
        </is>
      </c>
      <c r="C12" s="13" t="inlineStr">
        <is>
          <t>Boleto/Financeiro</t>
        </is>
      </c>
      <c r="D12" s="13" t="inlineStr"/>
      <c r="E12" s="13" t="inlineStr">
        <is>
          <t>FORNECEDORA CAMINHOES COMERCIO E SERVICOS LTDA, CNPJ:19.377.805/0006-04</t>
        </is>
      </c>
      <c r="F12" s="16" t="n"/>
      <c r="G12" s="13" t="inlineStr">
        <is>
          <t>Apoio</t>
        </is>
      </c>
      <c r="H12" s="13" t="inlineStr">
        <is>
          <t>Baixa</t>
        </is>
      </c>
      <c r="I12" s="13" t="inlineStr">
        <is>
          <t>Não</t>
        </is>
      </c>
      <c r="J12" s="13" t="inlineStr"/>
      <c r="K12" s="13" t="inlineStr"/>
      <c r="L12" s="13" t="inlineStr">
        <is>
          <t>Sim</t>
        </is>
      </c>
      <c r="M12" s="15" t="inlineStr">
        <is>
          <t>NOTAS FISCAIS DE COMPRA JANEIRO 2026.pdf - p. 11</t>
        </is>
      </c>
    </row>
    <row r="13">
      <c r="A13" s="13" t="n">
        <v>12</v>
      </c>
      <c r="B13" s="13" t="inlineStr">
        <is>
          <t>JAN26-P012</t>
        </is>
      </c>
      <c r="C13" s="13" t="inlineStr">
        <is>
          <t>NFS-e</t>
        </is>
      </c>
      <c r="D13" s="13" t="inlineStr">
        <is>
          <t>863</t>
        </is>
      </c>
      <c r="E13" s="13" t="inlineStr">
        <is>
          <t>GESTAO - INOVACAO EMPRESARIAL LTDA</t>
        </is>
      </c>
      <c r="F13" s="16" t="n">
        <v>759</v>
      </c>
      <c r="G13" s="13" t="inlineStr">
        <is>
          <t>Servicos</t>
        </is>
      </c>
      <c r="H13" s="13" t="inlineStr">
        <is>
          <t>Alta</t>
        </is>
      </c>
      <c r="I13" s="13" t="inlineStr">
        <is>
          <t>Sim</t>
        </is>
      </c>
      <c r="J13" s="13" t="inlineStr"/>
      <c r="K13" s="13" t="inlineStr"/>
      <c r="L13" s="13" t="inlineStr">
        <is>
          <t>Não</t>
        </is>
      </c>
      <c r="M13" s="15" t="inlineStr">
        <is>
          <t>NOTAS FISCAIS DE COMPRA JANEIRO 2026.pdf - p. 12</t>
        </is>
      </c>
    </row>
    <row r="14">
      <c r="A14" s="13" t="n">
        <v>13</v>
      </c>
      <c r="B14" s="13" t="inlineStr">
        <is>
          <t>JAN26-P013</t>
        </is>
      </c>
      <c r="C14" s="13" t="inlineStr">
        <is>
          <t>NFS-e</t>
        </is>
      </c>
      <c r="D14" s="13" t="inlineStr">
        <is>
          <t>863</t>
        </is>
      </c>
      <c r="E14" s="13" t="inlineStr">
        <is>
          <t>GESTAO - INOVACAO EMPRESARIAL LTDA</t>
        </is>
      </c>
      <c r="F14" s="16" t="n">
        <v>759</v>
      </c>
      <c r="G14" s="13" t="inlineStr">
        <is>
          <t>Servicos</t>
        </is>
      </c>
      <c r="H14" s="13" t="inlineStr">
        <is>
          <t>Alta</t>
        </is>
      </c>
      <c r="I14" s="13" t="inlineStr">
        <is>
          <t>Não</t>
        </is>
      </c>
      <c r="J14" s="13" t="inlineStr">
        <is>
          <t>P12</t>
        </is>
      </c>
      <c r="K14" s="13" t="inlineStr">
        <is>
          <t>Duplicado exato</t>
        </is>
      </c>
      <c r="L14" s="13" t="inlineStr">
        <is>
          <t>Não</t>
        </is>
      </c>
      <c r="M14" s="15" t="inlineStr">
        <is>
          <t>NOTAS FISCAIS DE COMPRA JANEIRO 2026.pdf - p. 13</t>
        </is>
      </c>
    </row>
    <row r="15">
      <c r="A15" s="13" t="n">
        <v>14</v>
      </c>
      <c r="B15" s="13" t="inlineStr">
        <is>
          <t>JAN26-P014</t>
        </is>
      </c>
      <c r="C15" s="13" t="inlineStr">
        <is>
          <t>NFCom</t>
        </is>
      </c>
      <c r="D15" s="13" t="inlineStr">
        <is>
          <t>303</t>
        </is>
      </c>
      <c r="E15" s="13" t="inlineStr">
        <is>
          <t>TELEVISAO PIONEIRA LTDA</t>
        </is>
      </c>
      <c r="F15" s="16" t="n">
        <v>10000</v>
      </c>
      <c r="G15" s="13" t="inlineStr">
        <is>
          <t>Servicos</t>
        </is>
      </c>
      <c r="H15" s="13" t="inlineStr">
        <is>
          <t>Alta</t>
        </is>
      </c>
      <c r="I15" s="13" t="inlineStr">
        <is>
          <t>Sim</t>
        </is>
      </c>
      <c r="J15" s="13" t="inlineStr"/>
      <c r="K15" s="13" t="inlineStr"/>
      <c r="L15" s="13" t="inlineStr">
        <is>
          <t>Não</t>
        </is>
      </c>
      <c r="M15" s="15" t="inlineStr">
        <is>
          <t>NOTAS FISCAIS DE COMPRA JANEIRO 2026.pdf - p. 14</t>
        </is>
      </c>
    </row>
    <row r="16">
      <c r="A16" s="13" t="n">
        <v>15</v>
      </c>
      <c r="B16" s="13" t="inlineStr">
        <is>
          <t>JAN26-P015</t>
        </is>
      </c>
      <c r="C16" s="13" t="inlineStr">
        <is>
          <t>Outros/Documento</t>
        </is>
      </c>
      <c r="D16" s="13" t="inlineStr"/>
      <c r="E16" s="13" t="inlineStr">
        <is>
          <t>MOS DE F &amp; | INDUSTRIA E COMERCIO DE PRODUTOS DE LIMPEZA LTDA</t>
        </is>
      </c>
      <c r="F16" s="16" t="n"/>
      <c r="G16" s="13" t="inlineStr">
        <is>
          <t>Apoio</t>
        </is>
      </c>
      <c r="H16" s="13" t="inlineStr">
        <is>
          <t>Baixa</t>
        </is>
      </c>
      <c r="I16" s="13" t="inlineStr">
        <is>
          <t>Não</t>
        </is>
      </c>
      <c r="J16" s="13" t="inlineStr"/>
      <c r="K16" s="13" t="inlineStr"/>
      <c r="L16" s="13" t="inlineStr">
        <is>
          <t>Sim</t>
        </is>
      </c>
      <c r="M16" s="15" t="inlineStr">
        <is>
          <t>NOTAS FISCAIS DE COMPRA JANEIRO 2026.pdf - p. 15</t>
        </is>
      </c>
    </row>
    <row r="17">
      <c r="A17" s="13" t="n">
        <v>16</v>
      </c>
      <c r="B17" s="13" t="inlineStr">
        <is>
          <t>JAN26-P016</t>
        </is>
      </c>
      <c r="C17" s="13" t="inlineStr">
        <is>
          <t>NF-e</t>
        </is>
      </c>
      <c r="D17" s="13" t="inlineStr"/>
      <c r="E17" s="13" t="inlineStr">
        <is>
          <t>| www.nfe.fazenda.gov.br/portal ou no site da Sefaz Autorizadora</t>
        </is>
      </c>
      <c r="F17" s="16" t="n"/>
      <c r="G17" s="13" t="inlineStr">
        <is>
          <t>Produtos</t>
        </is>
      </c>
      <c r="H17" s="13" t="inlineStr">
        <is>
          <t>Media</t>
        </is>
      </c>
      <c r="I17" s="13" t="inlineStr">
        <is>
          <t>Revisar</t>
        </is>
      </c>
      <c r="J17" s="13" t="inlineStr"/>
      <c r="K17" s="13" t="inlineStr"/>
      <c r="L17" s="13" t="inlineStr">
        <is>
          <t>Sim</t>
        </is>
      </c>
      <c r="M17" s="15" t="inlineStr">
        <is>
          <t>NOTAS FISCAIS DE COMPRA JANEIRO 2026.pdf - p. 16</t>
        </is>
      </c>
    </row>
    <row r="18">
      <c r="A18" s="13" t="n">
        <v>17</v>
      </c>
      <c r="B18" s="13" t="inlineStr">
        <is>
          <t>JAN26-P017</t>
        </is>
      </c>
      <c r="C18" s="13" t="inlineStr">
        <is>
          <t>CT-e</t>
        </is>
      </c>
      <c r="D18" s="13" t="inlineStr">
        <is>
          <t>446</t>
        </is>
      </c>
      <c r="E18" s="13" t="inlineStr">
        <is>
          <t>F G INTELIGENCIA EM LOGISTICA LTDA</t>
        </is>
      </c>
      <c r="F18" s="16" t="n">
        <v>11702.5</v>
      </c>
      <c r="G18" s="13" t="inlineStr">
        <is>
          <t>Fretes</t>
        </is>
      </c>
      <c r="H18" s="13" t="inlineStr">
        <is>
          <t>Alta</t>
        </is>
      </c>
      <c r="I18" s="13" t="inlineStr">
        <is>
          <t>Sim</t>
        </is>
      </c>
      <c r="J18" s="13" t="inlineStr"/>
      <c r="K18" s="13" t="inlineStr"/>
      <c r="L18" s="13" t="inlineStr">
        <is>
          <t>Não</t>
        </is>
      </c>
      <c r="M18" s="15" t="inlineStr">
        <is>
          <t>NOTAS FISCAIS DE COMPRA JANEIRO 2026.pdf - p. 17</t>
        </is>
      </c>
    </row>
    <row r="19">
      <c r="A19" s="13" t="n">
        <v>18</v>
      </c>
      <c r="B19" s="13" t="inlineStr">
        <is>
          <t>JAN26-P018</t>
        </is>
      </c>
      <c r="C19" s="13" t="inlineStr">
        <is>
          <t>CT-e</t>
        </is>
      </c>
      <c r="D19" s="13" t="inlineStr">
        <is>
          <t>445</t>
        </is>
      </c>
      <c r="E19" s="13" t="inlineStr">
        <is>
          <t>F G INTELIGENCIA EM LOGISTICA LTDA</t>
        </is>
      </c>
      <c r="F19" s="16" t="n">
        <v>11838.9</v>
      </c>
      <c r="G19" s="13" t="inlineStr">
        <is>
          <t>Fretes</t>
        </is>
      </c>
      <c r="H19" s="13" t="inlineStr">
        <is>
          <t>Alta</t>
        </is>
      </c>
      <c r="I19" s="13" t="inlineStr">
        <is>
          <t>Sim</t>
        </is>
      </c>
      <c r="J19" s="13" t="inlineStr"/>
      <c r="K19" s="13" t="inlineStr"/>
      <c r="L19" s="13" t="inlineStr">
        <is>
          <t>Não</t>
        </is>
      </c>
      <c r="M19" s="15" t="inlineStr">
        <is>
          <t>NOTAS FISCAIS DE COMPRA JANEIRO 2026.pdf - p. 18</t>
        </is>
      </c>
    </row>
    <row r="20">
      <c r="A20" s="13" t="n">
        <v>19</v>
      </c>
      <c r="B20" s="13" t="inlineStr">
        <is>
          <t>JAN26-P019</t>
        </is>
      </c>
      <c r="C20" s="13" t="inlineStr">
        <is>
          <t>CT-e</t>
        </is>
      </c>
      <c r="D20" s="13" t="inlineStr">
        <is>
          <t>443</t>
        </is>
      </c>
      <c r="E20" s="13" t="inlineStr">
        <is>
          <t>F G INTELIGENCIA EM LOGISTICA LTDA</t>
        </is>
      </c>
      <c r="F20" s="16" t="n">
        <v>11789.3</v>
      </c>
      <c r="G20" s="13" t="inlineStr">
        <is>
          <t>Fretes</t>
        </is>
      </c>
      <c r="H20" s="13" t="inlineStr">
        <is>
          <t>Alta</t>
        </is>
      </c>
      <c r="I20" s="13" t="inlineStr">
        <is>
          <t>Sim</t>
        </is>
      </c>
      <c r="J20" s="13" t="inlineStr"/>
      <c r="K20" s="13" t="inlineStr"/>
      <c r="L20" s="13" t="inlineStr">
        <is>
          <t>Não</t>
        </is>
      </c>
      <c r="M20" s="15" t="inlineStr">
        <is>
          <t>NOTAS FISCAIS DE COMPRA JANEIRO 2026.pdf - p. 19</t>
        </is>
      </c>
    </row>
    <row r="21">
      <c r="A21" s="13" t="n">
        <v>20</v>
      </c>
      <c r="B21" s="13" t="inlineStr">
        <is>
          <t>JAN26-P020</t>
        </is>
      </c>
      <c r="C21" s="13" t="inlineStr">
        <is>
          <t>NF-e</t>
        </is>
      </c>
      <c r="D21" s="13" t="inlineStr">
        <is>
          <t>42508</t>
        </is>
      </c>
      <c r="E21" s="13" t="inlineStr">
        <is>
          <t>www nfefazenda,gov.briportal ou no site da Sefiv Autorizadora</t>
        </is>
      </c>
      <c r="F21" s="16" t="n"/>
      <c r="G21" s="13" t="inlineStr">
        <is>
          <t>Produtos</t>
        </is>
      </c>
      <c r="H21" s="13" t="inlineStr">
        <is>
          <t>Alta</t>
        </is>
      </c>
      <c r="I21" s="13" t="inlineStr">
        <is>
          <t>Revisar</t>
        </is>
      </c>
      <c r="J21" s="13" t="inlineStr"/>
      <c r="K21" s="13" t="inlineStr"/>
      <c r="L21" s="13" t="inlineStr">
        <is>
          <t>Sim</t>
        </is>
      </c>
      <c r="M21" s="15" t="inlineStr">
        <is>
          <t>NOTAS FISCAIS DE COMPRA JANEIRO 2026.pdf - p. 20</t>
        </is>
      </c>
    </row>
    <row r="22">
      <c r="A22" s="13" t="n">
        <v>21</v>
      </c>
      <c r="B22" s="13" t="inlineStr">
        <is>
          <t>JAN26-P021</t>
        </is>
      </c>
      <c r="C22" s="13" t="inlineStr">
        <is>
          <t>NF-e</t>
        </is>
      </c>
      <c r="D22" s="13" t="inlineStr"/>
      <c r="E22" s="13" t="inlineStr">
        <is>
          <t>www. nfe.fazenda,gov.br/portal ou no site da Sefaz Autorizadora</t>
        </is>
      </c>
      <c r="F22" s="16" t="n"/>
      <c r="G22" s="13" t="inlineStr">
        <is>
          <t>Produtos</t>
        </is>
      </c>
      <c r="H22" s="13" t="inlineStr">
        <is>
          <t>Media</t>
        </is>
      </c>
      <c r="I22" s="13" t="inlineStr">
        <is>
          <t>Revisar</t>
        </is>
      </c>
      <c r="J22" s="13" t="inlineStr"/>
      <c r="K22" s="13" t="inlineStr"/>
      <c r="L22" s="13" t="inlineStr">
        <is>
          <t>Sim</t>
        </is>
      </c>
      <c r="M22" s="15" t="inlineStr">
        <is>
          <t>NOTAS FISCAIS DE COMPRA JANEIRO 2026.pdf - p. 21</t>
        </is>
      </c>
    </row>
    <row r="23">
      <c r="A23" s="13" t="n">
        <v>22</v>
      </c>
      <c r="B23" s="13" t="inlineStr">
        <is>
          <t>JAN26-P022</t>
        </is>
      </c>
      <c r="C23" s="13" t="inlineStr">
        <is>
          <t>NF-e</t>
        </is>
      </c>
      <c r="D23" s="13" t="inlineStr">
        <is>
          <t>537098</t>
        </is>
      </c>
      <c r="E23" s="13" t="inlineStr">
        <is>
          <t>COMPANHIA INDUSTRIAL DE CIMENTO APODI</t>
        </is>
      </c>
      <c r="F23" s="16" t="n">
        <v>18686.25</v>
      </c>
      <c r="G23" s="13" t="inlineStr">
        <is>
          <t>Produtos</t>
        </is>
      </c>
      <c r="H23" s="13" t="inlineStr">
        <is>
          <t>Media</t>
        </is>
      </c>
      <c r="I23" s="13" t="inlineStr">
        <is>
          <t>Sim</t>
        </is>
      </c>
      <c r="J23" s="13" t="inlineStr"/>
      <c r="K23" s="13" t="inlineStr"/>
      <c r="L23" s="13" t="inlineStr">
        <is>
          <t>Sim</t>
        </is>
      </c>
      <c r="M23" s="15" t="inlineStr">
        <is>
          <t>NOTAS FISCAIS DE COMPRA JANEIRO 2026.pdf - p. 22</t>
        </is>
      </c>
    </row>
    <row r="24">
      <c r="A24" s="13" t="n">
        <v>23</v>
      </c>
      <c r="B24" s="13" t="inlineStr">
        <is>
          <t>JAN26-P023</t>
        </is>
      </c>
      <c r="C24" s="13" t="inlineStr">
        <is>
          <t>NF-e</t>
        </is>
      </c>
      <c r="D24" s="13" t="inlineStr">
        <is>
          <t>536966</t>
        </is>
      </c>
      <c r="E24" s="13" t="inlineStr">
        <is>
          <t>COMPANHIA INDUSTRIAL DE CIMENTO APODI</t>
        </is>
      </c>
      <c r="F24" s="16" t="n">
        <v>18904.05</v>
      </c>
      <c r="G24" s="13" t="inlineStr">
        <is>
          <t>Produtos</t>
        </is>
      </c>
      <c r="H24" s="13" t="inlineStr">
        <is>
          <t>Media</t>
        </is>
      </c>
      <c r="I24" s="13" t="inlineStr">
        <is>
          <t>Sim</t>
        </is>
      </c>
      <c r="J24" s="13" t="inlineStr"/>
      <c r="K24" s="13" t="inlineStr"/>
      <c r="L24" s="13" t="inlineStr">
        <is>
          <t>Sim</t>
        </is>
      </c>
      <c r="M24" s="15" t="inlineStr">
        <is>
          <t>NOTAS FISCAIS DE COMPRA JANEIRO 2026.pdf - p. 23</t>
        </is>
      </c>
    </row>
    <row r="25">
      <c r="A25" s="13" t="n">
        <v>24</v>
      </c>
      <c r="B25" s="13" t="inlineStr">
        <is>
          <t>JAN26-P024</t>
        </is>
      </c>
      <c r="C25" s="13" t="inlineStr">
        <is>
          <t>NF-e</t>
        </is>
      </c>
      <c r="D25" s="13" t="inlineStr">
        <is>
          <t>536748</t>
        </is>
      </c>
      <c r="E25" s="13" t="inlineStr">
        <is>
          <t>COMPANHIA INDUSTRIAL DE CIMENTO APODI</t>
        </is>
      </c>
      <c r="F25" s="16" t="n">
        <v>18824.85</v>
      </c>
      <c r="G25" s="13" t="inlineStr">
        <is>
          <t>Produtos</t>
        </is>
      </c>
      <c r="H25" s="13" t="inlineStr">
        <is>
          <t>Media</t>
        </is>
      </c>
      <c r="I25" s="13" t="inlineStr">
        <is>
          <t>Sim</t>
        </is>
      </c>
      <c r="J25" s="13" t="inlineStr"/>
      <c r="K25" s="13" t="inlineStr"/>
      <c r="L25" s="13" t="inlineStr">
        <is>
          <t>Sim</t>
        </is>
      </c>
      <c r="M25" s="15" t="inlineStr">
        <is>
          <t>NOTAS FISCAIS DE COMPRA JANEIRO 2026.pdf - p. 24</t>
        </is>
      </c>
    </row>
    <row r="26">
      <c r="A26" s="13" t="n">
        <v>25</v>
      </c>
      <c r="B26" s="13" t="inlineStr">
        <is>
          <t>JAN26-P025</t>
        </is>
      </c>
      <c r="C26" s="13" t="inlineStr">
        <is>
          <t>CT-e</t>
        </is>
      </c>
      <c r="D26" s="13" t="inlineStr"/>
      <c r="E26" s="13" t="inlineStr">
        <is>
          <t>TRANS VNC TRANSPORTES EIRELI</t>
        </is>
      </c>
      <c r="F26" s="16" t="n">
        <v>703</v>
      </c>
      <c r="G26" s="13" t="inlineStr">
        <is>
          <t>Fretes</t>
        </is>
      </c>
      <c r="H26" s="13" t="inlineStr">
        <is>
          <t>Baixa</t>
        </is>
      </c>
      <c r="I26" s="13" t="inlineStr">
        <is>
          <t>Revisar</t>
        </is>
      </c>
      <c r="J26" s="13" t="inlineStr"/>
      <c r="K26" s="13" t="inlineStr"/>
      <c r="L26" s="13" t="inlineStr">
        <is>
          <t>Sim</t>
        </is>
      </c>
      <c r="M26" s="15" t="inlineStr">
        <is>
          <t>NOTAS FISCAIS DE COMPRA JANEIRO 2026.pdf - p. 25</t>
        </is>
      </c>
    </row>
    <row r="27">
      <c r="A27" s="13" t="n">
        <v>26</v>
      </c>
      <c r="B27" s="13" t="inlineStr">
        <is>
          <t>JAN26-P026</t>
        </is>
      </c>
      <c r="C27" s="13" t="inlineStr">
        <is>
          <t>NF-e</t>
        </is>
      </c>
      <c r="D27" s="13" t="inlineStr"/>
      <c r="E27" s="13" t="inlineStr">
        <is>
          <t>TE5TOCOLO DE AUTORLZNGRODEUSO</t>
        </is>
      </c>
      <c r="F27" s="16" t="n"/>
      <c r="G27" s="13" t="inlineStr">
        <is>
          <t>Produtos</t>
        </is>
      </c>
      <c r="H27" s="13" t="inlineStr">
        <is>
          <t>Media</t>
        </is>
      </c>
      <c r="I27" s="13" t="inlineStr">
        <is>
          <t>Revisar</t>
        </is>
      </c>
      <c r="J27" s="13" t="inlineStr"/>
      <c r="K27" s="13" t="inlineStr"/>
      <c r="L27" s="13" t="inlineStr">
        <is>
          <t>Sim</t>
        </is>
      </c>
      <c r="M27" s="15" t="inlineStr">
        <is>
          <t>NOTAS FISCAIS DE COMPRA JANEIRO 2026.pdf - p. 26</t>
        </is>
      </c>
    </row>
    <row r="28">
      <c r="A28" s="13" t="n">
        <v>27</v>
      </c>
      <c r="B28" s="13" t="inlineStr">
        <is>
          <t>JAN26-P027</t>
        </is>
      </c>
      <c r="C28" s="13" t="inlineStr">
        <is>
          <t>Separador/Anotacao</t>
        </is>
      </c>
      <c r="D28" s="13" t="inlineStr"/>
      <c r="E28" s="13" t="inlineStr"/>
      <c r="F28" s="16" t="n"/>
      <c r="G28" s="13" t="inlineStr">
        <is>
          <t>Apoio</t>
        </is>
      </c>
      <c r="H28" s="13" t="inlineStr">
        <is>
          <t>Baixa</t>
        </is>
      </c>
      <c r="I28" s="13" t="inlineStr">
        <is>
          <t>Não</t>
        </is>
      </c>
      <c r="J28" s="13" t="inlineStr"/>
      <c r="K28" s="13" t="inlineStr"/>
      <c r="L28" s="13" t="inlineStr">
        <is>
          <t>Sim</t>
        </is>
      </c>
      <c r="M28" s="15" t="inlineStr">
        <is>
          <t>NOTAS FISCAIS DE COMPRA JANEIRO 2026.pdf - p. 27</t>
        </is>
      </c>
    </row>
    <row r="29">
      <c r="A29" s="13" t="n">
        <v>28</v>
      </c>
      <c r="B29" s="13" t="inlineStr">
        <is>
          <t>JAN26-P028</t>
        </is>
      </c>
      <c r="C29" s="13" t="inlineStr">
        <is>
          <t>NFS-e</t>
        </is>
      </c>
      <c r="D29" s="13" t="inlineStr"/>
      <c r="E29" s="13" t="inlineStr">
        <is>
          <t>TERRA NOVA (LOT. Meco 16459, SAO SEBASTIAO.</t>
        </is>
      </c>
      <c r="F29" s="16" t="n">
        <v>7.5</v>
      </c>
      <c r="G29" s="13" t="inlineStr">
        <is>
          <t>Servicos</t>
        </is>
      </c>
      <c r="H29" s="13" t="inlineStr">
        <is>
          <t>Media</t>
        </is>
      </c>
      <c r="I29" s="13" t="inlineStr">
        <is>
          <t>Sim</t>
        </is>
      </c>
      <c r="J29" s="13" t="inlineStr"/>
      <c r="K29" s="13" t="inlineStr"/>
      <c r="L29" s="13" t="inlineStr">
        <is>
          <t>Sim</t>
        </is>
      </c>
      <c r="M29" s="15" t="inlineStr">
        <is>
          <t>NOTAS FISCAIS DE COMPRA JANEIRO 2026.pdf - p. 28</t>
        </is>
      </c>
    </row>
    <row r="30">
      <c r="A30" s="13" t="n">
        <v>29</v>
      </c>
      <c r="B30" s="13" t="inlineStr">
        <is>
          <t>JAN26-P029</t>
        </is>
      </c>
      <c r="C30" s="13" t="inlineStr">
        <is>
          <t>NFS-e</t>
        </is>
      </c>
      <c r="D30" s="13" t="inlineStr"/>
      <c r="E30" s="13" t="inlineStr">
        <is>
          <t>RIGARDO RODRIGUES DE SOUSA 90931442370</t>
        </is>
      </c>
      <c r="F30" s="16" t="n"/>
      <c r="G30" s="13" t="inlineStr">
        <is>
          <t>Servicos</t>
        </is>
      </c>
      <c r="H30" s="13" t="inlineStr">
        <is>
          <t>Media</t>
        </is>
      </c>
      <c r="I30" s="13" t="inlineStr">
        <is>
          <t>Revisar</t>
        </is>
      </c>
      <c r="J30" s="13" t="inlineStr"/>
      <c r="K30" s="13" t="inlineStr"/>
      <c r="L30" s="13" t="inlineStr">
        <is>
          <t>Sim</t>
        </is>
      </c>
      <c r="M30" s="15" t="inlineStr">
        <is>
          <t>NOTAS FISCAIS DE COMPRA JANEIRO 2026.pdf - p. 29</t>
        </is>
      </c>
    </row>
    <row r="31">
      <c r="A31" s="13" t="n">
        <v>30</v>
      </c>
      <c r="B31" s="13" t="inlineStr">
        <is>
          <t>JAN26-P030</t>
        </is>
      </c>
      <c r="C31" s="13" t="inlineStr">
        <is>
          <t>NFS-e</t>
        </is>
      </c>
      <c r="D31" s="13" t="inlineStr"/>
      <c r="E31" s="13" t="inlineStr">
        <is>
          <t>JESUINO@APOIOCONTABILP.COM</t>
        </is>
      </c>
      <c r="F31" s="16" t="n">
        <v>4198</v>
      </c>
      <c r="G31" s="13" t="inlineStr">
        <is>
          <t>Servicos</t>
        </is>
      </c>
      <c r="H31" s="13" t="inlineStr">
        <is>
          <t>Media</t>
        </is>
      </c>
      <c r="I31" s="13" t="inlineStr">
        <is>
          <t>Sim</t>
        </is>
      </c>
      <c r="J31" s="13" t="inlineStr"/>
      <c r="K31" s="13" t="inlineStr"/>
      <c r="L31" s="13" t="inlineStr">
        <is>
          <t>Sim</t>
        </is>
      </c>
      <c r="M31" s="15" t="inlineStr">
        <is>
          <t>NOTAS FISCAIS DE COMPRA JANEIRO 2026.pdf - p. 30</t>
        </is>
      </c>
    </row>
    <row r="32">
      <c r="A32" s="13" t="n">
        <v>31</v>
      </c>
      <c r="B32" s="13" t="inlineStr">
        <is>
          <t>JAN26-P031</t>
        </is>
      </c>
      <c r="C32" s="13" t="inlineStr">
        <is>
          <t>NFS-e</t>
        </is>
      </c>
      <c r="D32" s="13" t="inlineStr">
        <is>
          <t>5</t>
        </is>
      </c>
      <c r="E32" s="13" t="inlineStr">
        <is>
          <t>- REPRESENTANTES COMERCIAIS E AGENTES DO COMERGIO DE MADEIRA, MATERIAL DE CONSTRUCAO E FERRAGENS,</t>
        </is>
      </c>
      <c r="F32" s="16" t="n">
        <v>797.5599999999999</v>
      </c>
      <c r="G32" s="13" t="inlineStr">
        <is>
          <t>Servicos</t>
        </is>
      </c>
      <c r="H32" s="13" t="inlineStr">
        <is>
          <t>Media</t>
        </is>
      </c>
      <c r="I32" s="13" t="inlineStr">
        <is>
          <t>Sim</t>
        </is>
      </c>
      <c r="J32" s="13" t="inlineStr"/>
      <c r="K32" s="13" t="inlineStr"/>
      <c r="L32" s="13" t="inlineStr">
        <is>
          <t>Sim</t>
        </is>
      </c>
      <c r="M32" s="15" t="inlineStr">
        <is>
          <t>NOTAS FISCAIS DE COMPRA JANEIRO 2026.pdf - p. 31</t>
        </is>
      </c>
    </row>
    <row r="33">
      <c r="A33" s="13" t="n">
        <v>32</v>
      </c>
      <c r="B33" s="13" t="inlineStr">
        <is>
          <t>JAN26-P032</t>
        </is>
      </c>
      <c r="C33" s="13" t="inlineStr">
        <is>
          <t>NF-e</t>
        </is>
      </c>
      <c r="D33" s="13" t="inlineStr"/>
      <c r="E33" s="13" t="inlineStr">
        <is>
          <t>Dest Skin NGENHARIA INDUSTRIA E COMERCIO LTDA AVENIDA SAOTRANCISCO, 100 -PAROUE JUKEMA » TERFSINA 1</t>
        </is>
      </c>
      <c r="F33" s="16" t="n"/>
      <c r="G33" s="13" t="inlineStr">
        <is>
          <t>Produtos</t>
        </is>
      </c>
      <c r="H33" s="13" t="inlineStr">
        <is>
          <t>Baixa</t>
        </is>
      </c>
      <c r="I33" s="13" t="inlineStr">
        <is>
          <t>Revisar</t>
        </is>
      </c>
      <c r="J33" s="13" t="inlineStr"/>
      <c r="K33" s="13" t="inlineStr"/>
      <c r="L33" s="13" t="inlineStr">
        <is>
          <t>Sim</t>
        </is>
      </c>
      <c r="M33" s="15" t="inlineStr">
        <is>
          <t>NOTAS FISCAIS DE COMPRA JANEIRO 2026.pdf - p. 32</t>
        </is>
      </c>
    </row>
    <row r="34">
      <c r="A34" s="13" t="n">
        <v>33</v>
      </c>
      <c r="B34" s="13" t="inlineStr">
        <is>
          <t>JAN26-P033</t>
        </is>
      </c>
      <c r="C34" s="13" t="inlineStr">
        <is>
          <t>DAR/GNRE</t>
        </is>
      </c>
      <c r="D34" s="13" t="inlineStr"/>
      <c r="E34" s="13" t="inlineStr">
        <is>
          <t>[AV SAO FRANCISCO, 4900,</t>
        </is>
      </c>
      <c r="F34" s="16" t="n"/>
      <c r="G34" s="13" t="inlineStr">
        <is>
          <t>Apoio</t>
        </is>
      </c>
      <c r="H34" s="13" t="inlineStr">
        <is>
          <t>Baixa</t>
        </is>
      </c>
      <c r="I34" s="13" t="inlineStr">
        <is>
          <t>Não</t>
        </is>
      </c>
      <c r="J34" s="13" t="inlineStr"/>
      <c r="K34" s="13" t="inlineStr"/>
      <c r="L34" s="13" t="inlineStr">
        <is>
          <t>Sim</t>
        </is>
      </c>
      <c r="M34" s="15" t="inlineStr">
        <is>
          <t>NOTAS FISCAIS DE COMPRA JANEIRO 2026.pdf - p. 33</t>
        </is>
      </c>
    </row>
    <row r="35">
      <c r="A35" s="13" t="n">
        <v>34</v>
      </c>
      <c r="B35" s="13" t="inlineStr">
        <is>
          <t>JAN26-P034</t>
        </is>
      </c>
      <c r="C35" s="13" t="inlineStr">
        <is>
          <t>DAR/GNRE</t>
        </is>
      </c>
      <c r="D35" s="13" t="inlineStr"/>
      <c r="E35" s="13" t="inlineStr">
        <is>
          <t>GERENCIA DE FISCALIZAGAO DE MERCADORIA EM TRANSITO</t>
        </is>
      </c>
      <c r="F35" s="16" t="n"/>
      <c r="G35" s="13" t="inlineStr">
        <is>
          <t>Apoio</t>
        </is>
      </c>
      <c r="H35" s="13" t="inlineStr">
        <is>
          <t>Baixa</t>
        </is>
      </c>
      <c r="I35" s="13" t="inlineStr">
        <is>
          <t>Não</t>
        </is>
      </c>
      <c r="J35" s="13" t="inlineStr"/>
      <c r="K35" s="13" t="inlineStr"/>
      <c r="L35" s="13" t="inlineStr">
        <is>
          <t>Sim</t>
        </is>
      </c>
      <c r="M35" s="15" t="inlineStr">
        <is>
          <t>NOTAS FISCAIS DE COMPRA JANEIRO 2026.pdf - p. 34</t>
        </is>
      </c>
    </row>
    <row r="36">
      <c r="A36" s="13" t="n">
        <v>35</v>
      </c>
      <c r="B36" s="13" t="inlineStr">
        <is>
          <t>JAN26-P035</t>
        </is>
      </c>
      <c r="C36" s="13" t="inlineStr">
        <is>
          <t>NFS-e</t>
        </is>
      </c>
      <c r="D36" s="13" t="inlineStr">
        <is>
          <t>0</t>
        </is>
      </c>
      <c r="E36" s="13" t="inlineStr">
        <is>
          <t>CONSULTING AND INFORMATION SERVICES LTOA</t>
        </is>
      </c>
      <c r="F36" s="16" t="n">
        <v>9689.93</v>
      </c>
      <c r="G36" s="13" t="inlineStr">
        <is>
          <t>Servicos</t>
        </is>
      </c>
      <c r="H36" s="13" t="inlineStr">
        <is>
          <t>Media</t>
        </is>
      </c>
      <c r="I36" s="13" t="inlineStr">
        <is>
          <t>Sim</t>
        </is>
      </c>
      <c r="J36" s="13" t="inlineStr"/>
      <c r="K36" s="13" t="inlineStr"/>
      <c r="L36" s="13" t="inlineStr">
        <is>
          <t>Sim</t>
        </is>
      </c>
      <c r="M36" s="15" t="inlineStr">
        <is>
          <t>NOTAS FISCAIS DE COMPRA JANEIRO 2026.pdf - p. 35</t>
        </is>
      </c>
    </row>
    <row r="37">
      <c r="A37" s="13" t="n">
        <v>36</v>
      </c>
      <c r="B37" s="13" t="inlineStr">
        <is>
          <t>JAN26-P036</t>
        </is>
      </c>
      <c r="C37" s="13" t="inlineStr">
        <is>
          <t>NF-e</t>
        </is>
      </c>
      <c r="D37" s="13" t="inlineStr">
        <is>
          <t>222</t>
        </is>
      </c>
      <c r="E37" s="13" t="inlineStr">
        <is>
          <t>\CPNGENIARIA INDUSTRIA F COMERCKO LTDA AVENIDA SAO FRANCISCO, 4000- PARQUE JUREMA - TERESINA =</t>
        </is>
      </c>
      <c r="F37" s="16" t="n"/>
      <c r="G37" s="13" t="inlineStr">
        <is>
          <t>Produtos</t>
        </is>
      </c>
      <c r="H37" s="13" t="inlineStr">
        <is>
          <t>Media</t>
        </is>
      </c>
      <c r="I37" s="13" t="inlineStr">
        <is>
          <t>Revisar</t>
        </is>
      </c>
      <c r="J37" s="13" t="inlineStr"/>
      <c r="K37" s="13" t="inlineStr"/>
      <c r="L37" s="13" t="inlineStr">
        <is>
          <t>Sim</t>
        </is>
      </c>
      <c r="M37" s="15" t="inlineStr">
        <is>
          <t>NOTAS FISCAIS DE COMPRA JANEIRO 2026.pdf - p. 36</t>
        </is>
      </c>
    </row>
    <row r="38">
      <c r="A38" s="13" t="n">
        <v>37</v>
      </c>
      <c r="B38" s="13" t="inlineStr">
        <is>
          <t>JAN26-P037</t>
        </is>
      </c>
      <c r="C38" s="13" t="inlineStr">
        <is>
          <t>DAR/GNRE</t>
        </is>
      </c>
      <c r="D38" s="13" t="inlineStr"/>
      <c r="E38" s="13" t="inlineStr">
        <is>
          <t>LOCAIS DE PAGAMENTO ITAU, SANTANDER, BANCO DO BRASIL, CAIXA ECONOMICA FEDERAL,</t>
        </is>
      </c>
      <c r="F38" s="16" t="n"/>
      <c r="G38" s="13" t="inlineStr">
        <is>
          <t>Apoio</t>
        </is>
      </c>
      <c r="H38" s="13" t="inlineStr">
        <is>
          <t>Baixa</t>
        </is>
      </c>
      <c r="I38" s="13" t="inlineStr">
        <is>
          <t>Não</t>
        </is>
      </c>
      <c r="J38" s="13" t="inlineStr"/>
      <c r="K38" s="13" t="inlineStr"/>
      <c r="L38" s="13" t="inlineStr">
        <is>
          <t>Sim</t>
        </is>
      </c>
      <c r="M38" s="15" t="inlineStr">
        <is>
          <t>NOTAS FISCAIS DE COMPRA JANEIRO 2026.pdf - p. 37</t>
        </is>
      </c>
    </row>
    <row r="39">
      <c r="A39" s="13" t="n">
        <v>38</v>
      </c>
      <c r="B39" s="13" t="inlineStr">
        <is>
          <t>JAN26-P038</t>
        </is>
      </c>
      <c r="C39" s="13" t="inlineStr">
        <is>
          <t>DAR/GNRE</t>
        </is>
      </c>
      <c r="D39" s="13" t="inlineStr"/>
      <c r="E39" s="13" t="inlineStr">
        <is>
          <t>GERENCIA DE FISCALIZACAO DE MERCADORIA EM TRANSITO</t>
        </is>
      </c>
      <c r="F39" s="16" t="n"/>
      <c r="G39" s="13" t="inlineStr">
        <is>
          <t>Apoio</t>
        </is>
      </c>
      <c r="H39" s="13" t="inlineStr">
        <is>
          <t>Baixa</t>
        </is>
      </c>
      <c r="I39" s="13" t="inlineStr">
        <is>
          <t>Não</t>
        </is>
      </c>
      <c r="J39" s="13" t="inlineStr"/>
      <c r="K39" s="13" t="inlineStr"/>
      <c r="L39" s="13" t="inlineStr">
        <is>
          <t>Sim</t>
        </is>
      </c>
      <c r="M39" s="15" t="inlineStr">
        <is>
          <t>NOTAS FISCAIS DE COMPRA JANEIRO 2026.pdf - p. 38</t>
        </is>
      </c>
    </row>
    <row r="40">
      <c r="A40" s="13" t="n">
        <v>39</v>
      </c>
      <c r="B40" s="13" t="inlineStr">
        <is>
          <t>JAN26-P039</t>
        </is>
      </c>
      <c r="C40" s="13" t="inlineStr">
        <is>
          <t>NFS-e</t>
        </is>
      </c>
      <c r="D40" s="13" t="inlineStr"/>
      <c r="E40" s="13" t="inlineStr">
        <is>
          <t>AUTO SHOP RASTREAMENTO LTDA</t>
        </is>
      </c>
      <c r="F40" s="16" t="n">
        <v>1198</v>
      </c>
      <c r="G40" s="13" t="inlineStr">
        <is>
          <t>Servicos</t>
        </is>
      </c>
      <c r="H40" s="13" t="inlineStr">
        <is>
          <t>Media</t>
        </is>
      </c>
      <c r="I40" s="13" t="inlineStr">
        <is>
          <t>Sim</t>
        </is>
      </c>
      <c r="J40" s="13" t="inlineStr"/>
      <c r="K40" s="13" t="inlineStr"/>
      <c r="L40" s="13" t="inlineStr">
        <is>
          <t>Sim</t>
        </is>
      </c>
      <c r="M40" s="15" t="inlineStr">
        <is>
          <t>NOTAS FISCAIS DE COMPRA JANEIRO 2026.pdf - p. 39</t>
        </is>
      </c>
    </row>
    <row r="41">
      <c r="A41" s="13" t="n">
        <v>40</v>
      </c>
      <c r="B41" s="13" t="inlineStr">
        <is>
          <t>JAN26-P040</t>
        </is>
      </c>
      <c r="C41" s="13" t="inlineStr">
        <is>
          <t>NFS-e</t>
        </is>
      </c>
      <c r="D41" s="13" t="inlineStr">
        <is>
          <t>2</t>
        </is>
      </c>
      <c r="E41" s="13" t="inlineStr">
        <is>
          <t>E-moll</t>
        </is>
      </c>
      <c r="F41" s="16" t="n"/>
      <c r="G41" s="13" t="inlineStr">
        <is>
          <t>Servicos</t>
        </is>
      </c>
      <c r="H41" s="13" t="inlineStr">
        <is>
          <t>Media</t>
        </is>
      </c>
      <c r="I41" s="13" t="inlineStr">
        <is>
          <t>Revisar</t>
        </is>
      </c>
      <c r="J41" s="13" t="inlineStr"/>
      <c r="K41" s="13" t="inlineStr"/>
      <c r="L41" s="13" t="inlineStr">
        <is>
          <t>Sim</t>
        </is>
      </c>
      <c r="M41" s="15" t="inlineStr">
        <is>
          <t>NOTAS FISCAIS DE COMPRA JANEIRO 2026.pdf - p. 40</t>
        </is>
      </c>
    </row>
    <row r="42">
      <c r="A42" s="13" t="n">
        <v>41</v>
      </c>
      <c r="B42" s="13" t="inlineStr">
        <is>
          <t>JAN26-P041</t>
        </is>
      </c>
      <c r="C42" s="13" t="inlineStr">
        <is>
          <t>NF-e</t>
        </is>
      </c>
      <c r="D42" s="13" t="inlineStr">
        <is>
          <t>536564</t>
        </is>
      </c>
      <c r="E42" s="13" t="inlineStr">
        <is>
          <t>COMPANHIA INDUSTRIAL DE CIMENTO APODI</t>
        </is>
      </c>
      <c r="F42" s="16" t="n">
        <v>17790.3</v>
      </c>
      <c r="G42" s="13" t="inlineStr">
        <is>
          <t>Produtos</t>
        </is>
      </c>
      <c r="H42" s="13" t="inlineStr">
        <is>
          <t>Alta</t>
        </is>
      </c>
      <c r="I42" s="13" t="inlineStr">
        <is>
          <t>Sim</t>
        </is>
      </c>
      <c r="J42" s="13" t="inlineStr"/>
      <c r="K42" s="13" t="inlineStr"/>
      <c r="L42" s="13" t="inlineStr">
        <is>
          <t>Não</t>
        </is>
      </c>
      <c r="M42" s="15" t="inlineStr">
        <is>
          <t>NOTAS FISCAIS DE COMPRA JANEIRO 2026.pdf - p. 41</t>
        </is>
      </c>
    </row>
    <row r="43">
      <c r="A43" s="13" t="n">
        <v>42</v>
      </c>
      <c r="B43" s="13" t="inlineStr">
        <is>
          <t>JAN26-P042</t>
        </is>
      </c>
      <c r="C43" s="13" t="inlineStr">
        <is>
          <t>NF-e</t>
        </is>
      </c>
      <c r="D43" s="13" t="inlineStr">
        <is>
          <t>536357</t>
        </is>
      </c>
      <c r="E43" s="13" t="inlineStr">
        <is>
          <t>COMPANHIA INDUSTRIAL DE CIMENTO APODI</t>
        </is>
      </c>
      <c r="F43" s="16" t="n">
        <v>18607.05</v>
      </c>
      <c r="G43" s="13" t="inlineStr">
        <is>
          <t>Produtos</t>
        </is>
      </c>
      <c r="H43" s="13" t="inlineStr">
        <is>
          <t>Media</t>
        </is>
      </c>
      <c r="I43" s="13" t="inlineStr">
        <is>
          <t>Sim</t>
        </is>
      </c>
      <c r="J43" s="13" t="inlineStr"/>
      <c r="K43" s="13" t="inlineStr"/>
      <c r="L43" s="13" t="inlineStr">
        <is>
          <t>Sim</t>
        </is>
      </c>
      <c r="M43" s="15" t="inlineStr">
        <is>
          <t>NOTAS FISCAIS DE COMPRA JANEIRO 2026.pdf - p. 42</t>
        </is>
      </c>
    </row>
    <row r="44">
      <c r="A44" s="13" t="n">
        <v>43</v>
      </c>
      <c r="B44" s="13" t="inlineStr">
        <is>
          <t>JAN26-P043</t>
        </is>
      </c>
      <c r="C44" s="13" t="inlineStr">
        <is>
          <t>NF-e</t>
        </is>
      </c>
      <c r="D44" s="13" t="inlineStr">
        <is>
          <t>536302</t>
        </is>
      </c>
      <c r="E44" s="13" t="inlineStr">
        <is>
          <t>COMPANHIA INDUSTRIAL DE CIMENTO APODI</t>
        </is>
      </c>
      <c r="F44" s="16" t="n">
        <v>18711</v>
      </c>
      <c r="G44" s="13" t="inlineStr">
        <is>
          <t>Produtos</t>
        </is>
      </c>
      <c r="H44" s="13" t="inlineStr">
        <is>
          <t>Media</t>
        </is>
      </c>
      <c r="I44" s="13" t="inlineStr">
        <is>
          <t>Sim</t>
        </is>
      </c>
      <c r="J44" s="13" t="inlineStr"/>
      <c r="K44" s="13" t="inlineStr"/>
      <c r="L44" s="13" t="inlineStr">
        <is>
          <t>Sim</t>
        </is>
      </c>
      <c r="M44" s="15" t="inlineStr">
        <is>
          <t>NOTAS FISCAIS DE COMPRA JANEIRO 2026.pdf - p. 43</t>
        </is>
      </c>
    </row>
    <row r="45">
      <c r="A45" s="13" t="n">
        <v>44</v>
      </c>
      <c r="B45" s="13" t="inlineStr">
        <is>
          <t>JAN26-P044</t>
        </is>
      </c>
      <c r="C45" s="13" t="inlineStr">
        <is>
          <t>NF-e</t>
        </is>
      </c>
      <c r="D45" s="13" t="inlineStr">
        <is>
          <t>536108</t>
        </is>
      </c>
      <c r="E45" s="13" t="inlineStr">
        <is>
          <t>COMPANHIA INDUSTRIAL DE CIMENTO APODI</t>
        </is>
      </c>
      <c r="F45" s="16" t="n">
        <v>18814.95</v>
      </c>
      <c r="G45" s="13" t="inlineStr">
        <is>
          <t>Produtos</t>
        </is>
      </c>
      <c r="H45" s="13" t="inlineStr">
        <is>
          <t>Media</t>
        </is>
      </c>
      <c r="I45" s="13" t="inlineStr">
        <is>
          <t>Sim</t>
        </is>
      </c>
      <c r="J45" s="13" t="inlineStr"/>
      <c r="K45" s="13" t="inlineStr"/>
      <c r="L45" s="13" t="inlineStr">
        <is>
          <t>Sim</t>
        </is>
      </c>
      <c r="M45" s="15" t="inlineStr">
        <is>
          <t>NOTAS FISCAIS DE COMPRA JANEIRO 2026.pdf - p. 44</t>
        </is>
      </c>
    </row>
    <row r="46">
      <c r="A46" s="13" t="n">
        <v>45</v>
      </c>
      <c r="B46" s="13" t="inlineStr">
        <is>
          <t>JAN26-P045</t>
        </is>
      </c>
      <c r="C46" s="13" t="inlineStr">
        <is>
          <t>NF-e</t>
        </is>
      </c>
      <c r="D46" s="13" t="inlineStr">
        <is>
          <t>535954</t>
        </is>
      </c>
      <c r="E46" s="13" t="inlineStr">
        <is>
          <t>COMPANHIA INDUSTRIAL DE CIMENTO APODI</t>
        </is>
      </c>
      <c r="F46" s="16" t="n">
        <v>18621.9</v>
      </c>
      <c r="G46" s="13" t="inlineStr">
        <is>
          <t>Produtos</t>
        </is>
      </c>
      <c r="H46" s="13" t="inlineStr">
        <is>
          <t>Alta</t>
        </is>
      </c>
      <c r="I46" s="13" t="inlineStr">
        <is>
          <t>Sim</t>
        </is>
      </c>
      <c r="J46" s="13" t="inlineStr"/>
      <c r="K46" s="13" t="inlineStr"/>
      <c r="L46" s="13" t="inlineStr">
        <is>
          <t>Não</t>
        </is>
      </c>
      <c r="M46" s="15" t="inlineStr">
        <is>
          <t>NOTAS FISCAIS DE COMPRA JANEIRO 2026.pdf - p. 45</t>
        </is>
      </c>
    </row>
    <row r="47">
      <c r="A47" s="13" t="n">
        <v>46</v>
      </c>
      <c r="B47" s="13" t="inlineStr">
        <is>
          <t>JAN26-P046</t>
        </is>
      </c>
      <c r="C47" s="13" t="inlineStr">
        <is>
          <t>NF-e</t>
        </is>
      </c>
      <c r="D47" s="13" t="inlineStr">
        <is>
          <t>535509</t>
        </is>
      </c>
      <c r="E47" s="13" t="inlineStr">
        <is>
          <t>COMPANHIA INDUSTRIAL DE CIMENTO APODI</t>
        </is>
      </c>
      <c r="F47" s="16" t="n">
        <v>18839.7</v>
      </c>
      <c r="G47" s="13" t="inlineStr">
        <is>
          <t>Produtos</t>
        </is>
      </c>
      <c r="H47" s="13" t="inlineStr">
        <is>
          <t>Media</t>
        </is>
      </c>
      <c r="I47" s="13" t="inlineStr">
        <is>
          <t>Sim</t>
        </is>
      </c>
      <c r="J47" s="13" t="inlineStr"/>
      <c r="K47" s="13" t="inlineStr"/>
      <c r="L47" s="13" t="inlineStr">
        <is>
          <t>Sim</t>
        </is>
      </c>
      <c r="M47" s="15" t="inlineStr">
        <is>
          <t>NOTAS FISCAIS DE COMPRA JANEIRO 2026.pdf - p. 46</t>
        </is>
      </c>
    </row>
    <row r="48">
      <c r="A48" s="13" t="n">
        <v>47</v>
      </c>
      <c r="B48" s="13" t="inlineStr">
        <is>
          <t>JAN26-P047</t>
        </is>
      </c>
      <c r="C48" s="13" t="inlineStr">
        <is>
          <t>CT-e</t>
        </is>
      </c>
      <c r="D48" s="13" t="inlineStr">
        <is>
          <t>438</t>
        </is>
      </c>
      <c r="E48" s="13" t="inlineStr">
        <is>
          <t>F G INTELIGENCIA EM LOGISTICA LTDA</t>
        </is>
      </c>
      <c r="F48" s="16" t="n">
        <v>11141.4</v>
      </c>
      <c r="G48" s="13" t="inlineStr">
        <is>
          <t>Fretes</t>
        </is>
      </c>
      <c r="H48" s="13" t="inlineStr">
        <is>
          <t>Baixa</t>
        </is>
      </c>
      <c r="I48" s="13" t="inlineStr">
        <is>
          <t>Sim</t>
        </is>
      </c>
      <c r="J48" s="13" t="inlineStr"/>
      <c r="K48" s="13" t="inlineStr"/>
      <c r="L48" s="13" t="inlineStr">
        <is>
          <t>Sim</t>
        </is>
      </c>
      <c r="M48" s="15" t="inlineStr">
        <is>
          <t>NOTAS FISCAIS DE COMPRA JANEIRO 2026.pdf - p. 47</t>
        </is>
      </c>
    </row>
    <row r="49">
      <c r="A49" s="13" t="n">
        <v>48</v>
      </c>
      <c r="B49" s="13" t="inlineStr">
        <is>
          <t>JAN26-P048</t>
        </is>
      </c>
      <c r="C49" s="13" t="inlineStr">
        <is>
          <t>CT-e</t>
        </is>
      </c>
      <c r="D49" s="13" t="inlineStr">
        <is>
          <t>433</t>
        </is>
      </c>
      <c r="E49" s="13" t="inlineStr">
        <is>
          <t>F G INTELIGENCIA EM LOGISTICA LTDA</t>
        </is>
      </c>
      <c r="F49" s="16" t="n">
        <v>11652.9</v>
      </c>
      <c r="G49" s="13" t="inlineStr">
        <is>
          <t>Fretes</t>
        </is>
      </c>
      <c r="H49" s="13" t="inlineStr">
        <is>
          <t>Media</t>
        </is>
      </c>
      <c r="I49" s="13" t="inlineStr">
        <is>
          <t>Sim</t>
        </is>
      </c>
      <c r="J49" s="13" t="inlineStr"/>
      <c r="K49" s="13" t="inlineStr"/>
      <c r="L49" s="13" t="inlineStr">
        <is>
          <t>Sim</t>
        </is>
      </c>
      <c r="M49" s="15" t="inlineStr">
        <is>
          <t>NOTAS FISCAIS DE COMPRA JANEIRO 2026.pdf - p. 48</t>
        </is>
      </c>
    </row>
    <row r="50">
      <c r="A50" s="13" t="n">
        <v>49</v>
      </c>
      <c r="B50" s="13" t="inlineStr">
        <is>
          <t>JAN26-P049</t>
        </is>
      </c>
      <c r="C50" s="13" t="inlineStr">
        <is>
          <t>CT-e</t>
        </is>
      </c>
      <c r="D50" s="13" t="inlineStr">
        <is>
          <t>431</t>
        </is>
      </c>
      <c r="E50" s="13" t="inlineStr">
        <is>
          <t>F G INTELIGENCIA EM LOGISTICA LTDA</t>
        </is>
      </c>
      <c r="F50" s="16" t="n">
        <v>11718</v>
      </c>
      <c r="G50" s="13" t="inlineStr">
        <is>
          <t>Fretes</t>
        </is>
      </c>
      <c r="H50" s="13" t="inlineStr">
        <is>
          <t>Alta</t>
        </is>
      </c>
      <c r="I50" s="13" t="inlineStr">
        <is>
          <t>Sim</t>
        </is>
      </c>
      <c r="J50" s="13" t="inlineStr"/>
      <c r="K50" s="13" t="inlineStr"/>
      <c r="L50" s="13" t="inlineStr">
        <is>
          <t>Não</t>
        </is>
      </c>
      <c r="M50" s="15" t="inlineStr">
        <is>
          <t>NOTAS FISCAIS DE COMPRA JANEIRO 2026.pdf - p. 49</t>
        </is>
      </c>
    </row>
    <row r="51">
      <c r="A51" s="13" t="n">
        <v>50</v>
      </c>
      <c r="B51" s="13" t="inlineStr">
        <is>
          <t>JAN26-P050</t>
        </is>
      </c>
      <c r="C51" s="13" t="inlineStr">
        <is>
          <t>CT-e</t>
        </is>
      </c>
      <c r="D51" s="13" t="inlineStr">
        <is>
          <t>426</t>
        </is>
      </c>
      <c r="E51" s="13" t="inlineStr">
        <is>
          <t>F G INTELIGENCIA EM LOGISTICA LTDA</t>
        </is>
      </c>
      <c r="F51" s="16" t="n">
        <v>11783.1</v>
      </c>
      <c r="G51" s="13" t="inlineStr">
        <is>
          <t>Fretes</t>
        </is>
      </c>
      <c r="H51" s="13" t="inlineStr">
        <is>
          <t>Alta</t>
        </is>
      </c>
      <c r="I51" s="13" t="inlineStr">
        <is>
          <t>Sim</t>
        </is>
      </c>
      <c r="J51" s="13" t="inlineStr"/>
      <c r="K51" s="13" t="inlineStr"/>
      <c r="L51" s="13" t="inlineStr">
        <is>
          <t>Não</t>
        </is>
      </c>
      <c r="M51" s="15" t="inlineStr">
        <is>
          <t>NOTAS FISCAIS DE COMPRA JANEIRO 2026.pdf - p. 50</t>
        </is>
      </c>
    </row>
    <row r="52">
      <c r="A52" s="13" t="n">
        <v>51</v>
      </c>
      <c r="B52" s="13" t="inlineStr">
        <is>
          <t>JAN26-P051</t>
        </is>
      </c>
      <c r="C52" s="13" t="inlineStr">
        <is>
          <t>CT-e</t>
        </is>
      </c>
      <c r="D52" s="13" t="inlineStr">
        <is>
          <t>421</t>
        </is>
      </c>
      <c r="E52" s="13" t="inlineStr">
        <is>
          <t>F G INTELIGENCIA EM LOGISTICA LTDA</t>
        </is>
      </c>
      <c r="F52" s="16" t="n">
        <v>11662.2</v>
      </c>
      <c r="G52" s="13" t="inlineStr">
        <is>
          <t>Fretes</t>
        </is>
      </c>
      <c r="H52" s="13" t="inlineStr">
        <is>
          <t>Alta</t>
        </is>
      </c>
      <c r="I52" s="13" t="inlineStr">
        <is>
          <t>Sim</t>
        </is>
      </c>
      <c r="J52" s="13" t="inlineStr"/>
      <c r="K52" s="13" t="inlineStr"/>
      <c r="L52" s="13" t="inlineStr">
        <is>
          <t>Não</t>
        </is>
      </c>
      <c r="M52" s="15" t="inlineStr">
        <is>
          <t>NOTAS FISCAIS DE COMPRA JANEIRO 2026.pdf - p. 51</t>
        </is>
      </c>
    </row>
    <row r="53">
      <c r="A53" s="13" t="n">
        <v>52</v>
      </c>
      <c r="B53" s="13" t="inlineStr">
        <is>
          <t>JAN26-P052</t>
        </is>
      </c>
      <c r="C53" s="13" t="inlineStr">
        <is>
          <t>CT-e</t>
        </is>
      </c>
      <c r="D53" s="13" t="inlineStr">
        <is>
          <t>418</t>
        </is>
      </c>
      <c r="E53" s="13" t="inlineStr">
        <is>
          <t>F G INTELIGENCIA EM LOGISTICA LTDA</t>
        </is>
      </c>
      <c r="F53" s="16" t="n">
        <v>11798.6</v>
      </c>
      <c r="G53" s="13" t="inlineStr">
        <is>
          <t>Fretes</t>
        </is>
      </c>
      <c r="H53" s="13" t="inlineStr">
        <is>
          <t>Alta</t>
        </is>
      </c>
      <c r="I53" s="13" t="inlineStr">
        <is>
          <t>Sim</t>
        </is>
      </c>
      <c r="J53" s="13" t="inlineStr"/>
      <c r="K53" s="13" t="inlineStr"/>
      <c r="L53" s="13" t="inlineStr">
        <is>
          <t>Não</t>
        </is>
      </c>
      <c r="M53" s="15" t="inlineStr">
        <is>
          <t>NOTAS FISCAIS DE COMPRA JANEIRO 2026.pdf - p. 52</t>
        </is>
      </c>
    </row>
    <row r="54">
      <c r="A54" s="13" t="n">
        <v>53</v>
      </c>
      <c r="B54" s="13" t="inlineStr">
        <is>
          <t>JAN26-P053</t>
        </is>
      </c>
      <c r="C54" s="13" t="inlineStr">
        <is>
          <t>NF-e</t>
        </is>
      </c>
      <c r="D54" s="13" t="inlineStr">
        <is>
          <t>2198</t>
        </is>
      </c>
      <c r="E54" s="13" t="inlineStr">
        <is>
          <t>CAIEIRA CANTA GALO EXTRACAO E COMERCIO DE CALCARIO LTDA</t>
        </is>
      </c>
      <c r="F54" s="16" t="n">
        <v>488</v>
      </c>
      <c r="G54" s="13" t="inlineStr">
        <is>
          <t>Produtos</t>
        </is>
      </c>
      <c r="H54" s="13" t="inlineStr">
        <is>
          <t>Alta</t>
        </is>
      </c>
      <c r="I54" s="13" t="inlineStr">
        <is>
          <t>Sim</t>
        </is>
      </c>
      <c r="J54" s="13" t="inlineStr"/>
      <c r="K54" s="13" t="inlineStr"/>
      <c r="L54" s="13" t="inlineStr">
        <is>
          <t>Não</t>
        </is>
      </c>
      <c r="M54" s="15" t="inlineStr">
        <is>
          <t>NOTAS FISCAIS DE COMPRA JANEIRO 2026.pdf - p. 53</t>
        </is>
      </c>
    </row>
    <row r="55">
      <c r="A55" s="13" t="n">
        <v>54</v>
      </c>
      <c r="B55" s="13" t="inlineStr">
        <is>
          <t>JAN26-P054</t>
        </is>
      </c>
      <c r="C55" s="13" t="inlineStr">
        <is>
          <t>NF-e</t>
        </is>
      </c>
      <c r="D55" s="13" t="inlineStr">
        <is>
          <t>2181</t>
        </is>
      </c>
      <c r="E55" s="13" t="inlineStr">
        <is>
          <t>CAIEIRA CANTA GALO EXTRACAO E COMERCIO DE CALCARIO LTDA</t>
        </is>
      </c>
      <c r="F55" s="16" t="n">
        <v>4392</v>
      </c>
      <c r="G55" s="13" t="inlineStr">
        <is>
          <t>Produtos</t>
        </is>
      </c>
      <c r="H55" s="13" t="inlineStr">
        <is>
          <t>Alta</t>
        </is>
      </c>
      <c r="I55" s="13" t="inlineStr">
        <is>
          <t>Sim</t>
        </is>
      </c>
      <c r="J55" s="13" t="inlineStr"/>
      <c r="K55" s="13" t="inlineStr"/>
      <c r="L55" s="13" t="inlineStr">
        <is>
          <t>Não</t>
        </is>
      </c>
      <c r="M55" s="15" t="inlineStr">
        <is>
          <t>NOTAS FISCAIS DE COMPRA JANEIRO 2026.pdf - p. 54</t>
        </is>
      </c>
    </row>
    <row r="56">
      <c r="A56" s="13" t="n">
        <v>55</v>
      </c>
      <c r="B56" s="13" t="inlineStr">
        <is>
          <t>JAN26-P055</t>
        </is>
      </c>
      <c r="C56" s="13" t="inlineStr">
        <is>
          <t>NF-e</t>
        </is>
      </c>
      <c r="D56" s="13" t="inlineStr">
        <is>
          <t>17232</t>
        </is>
      </c>
      <c r="E56" s="13" t="inlineStr">
        <is>
          <t>PLASTER DISTRIBUIDORA LTDA</t>
        </is>
      </c>
      <c r="F56" s="16" t="n">
        <v>43536</v>
      </c>
      <c r="G56" s="13" t="inlineStr">
        <is>
          <t>Produtos</t>
        </is>
      </c>
      <c r="H56" s="13" t="inlineStr">
        <is>
          <t>Alta</t>
        </is>
      </c>
      <c r="I56" s="13" t="inlineStr">
        <is>
          <t>Sim</t>
        </is>
      </c>
      <c r="J56" s="13" t="inlineStr"/>
      <c r="K56" s="13" t="inlineStr"/>
      <c r="L56" s="13" t="inlineStr">
        <is>
          <t>Não</t>
        </is>
      </c>
      <c r="M56" s="15" t="inlineStr">
        <is>
          <t>NOTAS FISCAIS DE COMPRA JANEIRO 2026.pdf - p. 55</t>
        </is>
      </c>
    </row>
    <row r="57">
      <c r="A57" s="13" t="n">
        <v>56</v>
      </c>
      <c r="B57" s="13" t="inlineStr">
        <is>
          <t>JAN26-P056</t>
        </is>
      </c>
      <c r="C57" s="13" t="inlineStr">
        <is>
          <t>NFS-e</t>
        </is>
      </c>
      <c r="D57" s="13" t="inlineStr">
        <is>
          <t>27</t>
        </is>
      </c>
      <c r="E57" s="13" t="inlineStr">
        <is>
          <t>JAILSON DA CONCEICAO PAIVA</t>
        </is>
      </c>
      <c r="F57" s="16" t="n">
        <v>2000</v>
      </c>
      <c r="G57" s="13" t="inlineStr">
        <is>
          <t>Servicos</t>
        </is>
      </c>
      <c r="H57" s="13" t="inlineStr">
        <is>
          <t>Alta</t>
        </is>
      </c>
      <c r="I57" s="13" t="inlineStr">
        <is>
          <t>Sim</t>
        </is>
      </c>
      <c r="J57" s="13" t="inlineStr"/>
      <c r="K57" s="13" t="inlineStr"/>
      <c r="L57" s="13" t="inlineStr">
        <is>
          <t>Não</t>
        </is>
      </c>
      <c r="M57" s="15" t="inlineStr">
        <is>
          <t>NOTAS FISCAIS DE COMPRA JANEIRO 2026.pdf - p. 56</t>
        </is>
      </c>
    </row>
    <row r="58">
      <c r="A58" s="13" t="n">
        <v>57</v>
      </c>
      <c r="B58" s="13" t="inlineStr">
        <is>
          <t>JAN26-P057</t>
        </is>
      </c>
      <c r="C58" s="13" t="inlineStr">
        <is>
          <t>NFS-e</t>
        </is>
      </c>
      <c r="D58" s="13" t="inlineStr">
        <is>
          <t>24</t>
        </is>
      </c>
      <c r="E58" s="13" t="inlineStr">
        <is>
          <t>EMERSON CANDIDO DE AQUINO 56476779320</t>
        </is>
      </c>
      <c r="F58" s="16" t="n">
        <v>2500</v>
      </c>
      <c r="G58" s="13" t="inlineStr">
        <is>
          <t>Servicos</t>
        </is>
      </c>
      <c r="H58" s="13" t="inlineStr">
        <is>
          <t>Alta</t>
        </is>
      </c>
      <c r="I58" s="13" t="inlineStr">
        <is>
          <t>Sim</t>
        </is>
      </c>
      <c r="J58" s="13" t="inlineStr"/>
      <c r="K58" s="13" t="inlineStr"/>
      <c r="L58" s="13" t="inlineStr">
        <is>
          <t>Não</t>
        </is>
      </c>
      <c r="M58" s="15" t="inlineStr">
        <is>
          <t>NOTAS FISCAIS DE COMPRA JANEIRO 2026.pdf - p. 57</t>
        </is>
      </c>
    </row>
    <row r="59">
      <c r="A59" s="13" t="n">
        <v>58</v>
      </c>
      <c r="B59" s="13" t="inlineStr">
        <is>
          <t>JAN26-P058</t>
        </is>
      </c>
      <c r="C59" s="13" t="inlineStr">
        <is>
          <t>NFS-e</t>
        </is>
      </c>
      <c r="D59" s="13" t="inlineStr">
        <is>
          <t>960441</t>
        </is>
      </c>
      <c r="E59" s="13" t="inlineStr">
        <is>
          <t>HOSPITAIS E CLINICAS DO PIAUI S/S LTDA</t>
        </is>
      </c>
      <c r="F59" s="16" t="n">
        <v>5901.18</v>
      </c>
      <c r="G59" s="13" t="inlineStr">
        <is>
          <t>Servicos</t>
        </is>
      </c>
      <c r="H59" s="13" t="inlineStr">
        <is>
          <t>Alta</t>
        </is>
      </c>
      <c r="I59" s="13" t="inlineStr">
        <is>
          <t>Sim</t>
        </is>
      </c>
      <c r="J59" s="13" t="inlineStr"/>
      <c r="K59" s="13" t="inlineStr"/>
      <c r="L59" s="13" t="inlineStr">
        <is>
          <t>Não</t>
        </is>
      </c>
      <c r="M59" s="15" t="inlineStr">
        <is>
          <t>NOTAS FISCAIS DE COMPRA JANEIRO 2026.pdf - p. 58</t>
        </is>
      </c>
    </row>
    <row r="60">
      <c r="A60" s="13" t="n">
        <v>59</v>
      </c>
      <c r="B60" s="13" t="inlineStr">
        <is>
          <t>JAN26-P059</t>
        </is>
      </c>
      <c r="C60" s="13" t="inlineStr">
        <is>
          <t>NF-e</t>
        </is>
      </c>
      <c r="D60" s="13" t="inlineStr">
        <is>
          <t>832</t>
        </is>
      </c>
      <c r="E60" s="13" t="inlineStr">
        <is>
          <t>ROMILSON SILVA DE ASSIS</t>
        </is>
      </c>
      <c r="F60" s="16" t="n">
        <v>350</v>
      </c>
      <c r="G60" s="13" t="inlineStr">
        <is>
          <t>Produtos</t>
        </is>
      </c>
      <c r="H60" s="13" t="inlineStr">
        <is>
          <t>Alta</t>
        </is>
      </c>
      <c r="I60" s="13" t="inlineStr">
        <is>
          <t>Sim</t>
        </is>
      </c>
      <c r="J60" s="13" t="inlineStr"/>
      <c r="K60" s="13" t="inlineStr"/>
      <c r="L60" s="13" t="inlineStr">
        <is>
          <t>Não</t>
        </is>
      </c>
      <c r="M60" s="15" t="inlineStr">
        <is>
          <t>NOTAS FISCAIS DE COMPRA JANEIRO 2026.pdf - p. 59</t>
        </is>
      </c>
    </row>
    <row r="61">
      <c r="A61" s="13" t="n">
        <v>60</v>
      </c>
      <c r="B61" s="13" t="inlineStr">
        <is>
          <t>JAN26-P060</t>
        </is>
      </c>
      <c r="C61" s="13" t="inlineStr">
        <is>
          <t>NFS-e</t>
        </is>
      </c>
      <c r="D61" s="13" t="inlineStr">
        <is>
          <t>36</t>
        </is>
      </c>
      <c r="E61" s="13" t="inlineStr">
        <is>
          <t>MARCOS JOSE FONTANA HANUS</t>
        </is>
      </c>
      <c r="F61" s="16" t="n">
        <v>52</v>
      </c>
      <c r="G61" s="13" t="inlineStr">
        <is>
          <t>Servicos</t>
        </is>
      </c>
      <c r="H61" s="13" t="inlineStr">
        <is>
          <t>Alta</t>
        </is>
      </c>
      <c r="I61" s="13" t="inlineStr">
        <is>
          <t>Sim</t>
        </is>
      </c>
      <c r="J61" s="13" t="inlineStr"/>
      <c r="K61" s="13" t="inlineStr"/>
      <c r="L61" s="13" t="inlineStr">
        <is>
          <t>Não</t>
        </is>
      </c>
      <c r="M61" s="15" t="inlineStr">
        <is>
          <t>NOTAS FISCAIS DE COMPRA JANEIRO 2026.pdf - p. 60</t>
        </is>
      </c>
    </row>
    <row r="62">
      <c r="A62" s="13" t="n">
        <v>61</v>
      </c>
      <c r="B62" s="13" t="inlineStr">
        <is>
          <t>JAN26-P061</t>
        </is>
      </c>
      <c r="C62" s="13" t="inlineStr">
        <is>
          <t>NFS-e</t>
        </is>
      </c>
      <c r="D62" s="13" t="inlineStr">
        <is>
          <t>330</t>
        </is>
      </c>
      <c r="E62" s="13" t="inlineStr">
        <is>
          <t>MINERAR ENGENHARIA E MEIO AMBIENTE LTDA</t>
        </is>
      </c>
      <c r="F62" s="16" t="n">
        <v>759</v>
      </c>
      <c r="G62" s="13" t="inlineStr">
        <is>
          <t>Servicos</t>
        </is>
      </c>
      <c r="H62" s="13" t="inlineStr">
        <is>
          <t>Alta</t>
        </is>
      </c>
      <c r="I62" s="13" t="inlineStr">
        <is>
          <t>Sim</t>
        </is>
      </c>
      <c r="J62" s="13" t="inlineStr"/>
      <c r="K62" s="13" t="inlineStr"/>
      <c r="L62" s="13" t="inlineStr">
        <is>
          <t>Não</t>
        </is>
      </c>
      <c r="M62" s="15" t="inlineStr">
        <is>
          <t>NOTAS FISCAIS DE COMPRA JANEIRO 2026.pdf - p. 61</t>
        </is>
      </c>
    </row>
    <row r="63">
      <c r="A63" s="13" t="n">
        <v>62</v>
      </c>
      <c r="B63" s="13" t="inlineStr">
        <is>
          <t>JAN26-P062</t>
        </is>
      </c>
      <c r="C63" s="13" t="inlineStr">
        <is>
          <t>NFS-e</t>
        </is>
      </c>
      <c r="D63" s="13" t="inlineStr">
        <is>
          <t>53</t>
        </is>
      </c>
      <c r="E63" s="13" t="inlineStr">
        <is>
          <t>KLESIO KENNEDY REPRESENTACAO DE MATERIAL DE CONSTRUCAO LTDA</t>
        </is>
      </c>
      <c r="F63" s="16" t="n">
        <v>14933</v>
      </c>
      <c r="G63" s="13" t="inlineStr">
        <is>
          <t>Servicos</t>
        </is>
      </c>
      <c r="H63" s="13" t="inlineStr">
        <is>
          <t>Alta</t>
        </is>
      </c>
      <c r="I63" s="13" t="inlineStr">
        <is>
          <t>Sim</t>
        </is>
      </c>
      <c r="J63" s="13" t="inlineStr"/>
      <c r="K63" s="13" t="inlineStr"/>
      <c r="L63" s="13" t="inlineStr">
        <is>
          <t>Não</t>
        </is>
      </c>
      <c r="M63" s="15" t="inlineStr">
        <is>
          <t>NOTAS FISCAIS DE COMPRA JANEIRO 2026.pdf - p. 62</t>
        </is>
      </c>
    </row>
    <row r="64">
      <c r="A64" s="13" t="n">
        <v>63</v>
      </c>
      <c r="B64" s="13" t="inlineStr">
        <is>
          <t>JAN26-P063</t>
        </is>
      </c>
      <c r="C64" s="13" t="inlineStr">
        <is>
          <t>NFS-e</t>
        </is>
      </c>
      <c r="D64" s="13" t="inlineStr">
        <is>
          <t>244</t>
        </is>
      </c>
      <c r="E64" s="13" t="inlineStr">
        <is>
          <t>F. ALVES CAMINHA - ME</t>
        </is>
      </c>
      <c r="F64" s="16" t="n">
        <v>797.5599999999999</v>
      </c>
      <c r="G64" s="13" t="inlineStr">
        <is>
          <t>Servicos</t>
        </is>
      </c>
      <c r="H64" s="13" t="inlineStr">
        <is>
          <t>Alta</t>
        </is>
      </c>
      <c r="I64" s="13" t="inlineStr">
        <is>
          <t>Sim</t>
        </is>
      </c>
      <c r="J64" s="13" t="inlineStr"/>
      <c r="K64" s="13" t="inlineStr"/>
      <c r="L64" s="13" t="inlineStr">
        <is>
          <t>Não</t>
        </is>
      </c>
      <c r="M64" s="15" t="inlineStr">
        <is>
          <t>NOTAS FISCAIS DE COMPRA JANEIRO 2026.pdf - p. 63</t>
        </is>
      </c>
    </row>
    <row r="65">
      <c r="A65" s="13" t="n">
        <v>64</v>
      </c>
      <c r="B65" s="13" t="inlineStr">
        <is>
          <t>JAN26-P064</t>
        </is>
      </c>
      <c r="C65" s="13" t="inlineStr">
        <is>
          <t>NFS-e</t>
        </is>
      </c>
      <c r="D65" s="13" t="inlineStr">
        <is>
          <t>221</t>
        </is>
      </c>
      <c r="E65" s="13" t="inlineStr">
        <is>
          <t>E &amp; P SOARES DOS SANTOS LTDA - ME</t>
        </is>
      </c>
      <c r="F65" s="16" t="n">
        <v>35238.7</v>
      </c>
      <c r="G65" s="13" t="inlineStr">
        <is>
          <t>Servicos</t>
        </is>
      </c>
      <c r="H65" s="13" t="inlineStr">
        <is>
          <t>Alta</t>
        </is>
      </c>
      <c r="I65" s="13" t="inlineStr">
        <is>
          <t>Sim</t>
        </is>
      </c>
      <c r="J65" s="13" t="inlineStr"/>
      <c r="K65" s="13" t="inlineStr"/>
      <c r="L65" s="13" t="inlineStr">
        <is>
          <t>Não</t>
        </is>
      </c>
      <c r="M65" s="15" t="inlineStr">
        <is>
          <t>NOTAS FISCAIS DE COMPRA JANEIRO 2026.pdf - p. 64</t>
        </is>
      </c>
    </row>
    <row r="66">
      <c r="A66" s="13" t="n">
        <v>65</v>
      </c>
      <c r="B66" s="13" t="inlineStr">
        <is>
          <t>JAN26-P065</t>
        </is>
      </c>
      <c r="C66" s="13" t="inlineStr">
        <is>
          <t>NFS-e</t>
        </is>
      </c>
      <c r="D66" s="13" t="inlineStr">
        <is>
          <t>57</t>
        </is>
      </c>
      <c r="E66" s="13" t="inlineStr">
        <is>
          <t>F J DE SOUSA REPRESENTACOES</t>
        </is>
      </c>
      <c r="F66" s="16" t="n">
        <v>14232.77</v>
      </c>
      <c r="G66" s="13" t="inlineStr">
        <is>
          <t>Servicos</t>
        </is>
      </c>
      <c r="H66" s="13" t="inlineStr">
        <is>
          <t>Alta</t>
        </is>
      </c>
      <c r="I66" s="13" t="inlineStr">
        <is>
          <t>Sim</t>
        </is>
      </c>
      <c r="J66" s="13" t="inlineStr"/>
      <c r="K66" s="13" t="inlineStr"/>
      <c r="L66" s="13" t="inlineStr">
        <is>
          <t>Não</t>
        </is>
      </c>
      <c r="M66" s="15" t="inlineStr">
        <is>
          <t>NOTAS FISCAIS DE COMPRA JANEIRO 2026.pdf - p. 65</t>
        </is>
      </c>
    </row>
    <row r="67">
      <c r="A67" s="13" t="n">
        <v>66</v>
      </c>
      <c r="B67" s="13" t="inlineStr">
        <is>
          <t>JAN26-P066</t>
        </is>
      </c>
      <c r="C67" s="13" t="inlineStr">
        <is>
          <t>NFS-e</t>
        </is>
      </c>
      <c r="D67" s="13" t="inlineStr">
        <is>
          <t>32</t>
        </is>
      </c>
      <c r="E67" s="13" t="inlineStr">
        <is>
          <t>GRACILENE MARIA BEZERRA DOS SANTOS</t>
        </is>
      </c>
      <c r="F67" s="16" t="n">
        <v>4782.92</v>
      </c>
      <c r="G67" s="13" t="inlineStr">
        <is>
          <t>Servicos</t>
        </is>
      </c>
      <c r="H67" s="13" t="inlineStr">
        <is>
          <t>Alta</t>
        </is>
      </c>
      <c r="I67" s="13" t="inlineStr">
        <is>
          <t>Sim</t>
        </is>
      </c>
      <c r="J67" s="13" t="inlineStr"/>
      <c r="K67" s="13" t="inlineStr"/>
      <c r="L67" s="13" t="inlineStr">
        <is>
          <t>Não</t>
        </is>
      </c>
      <c r="M67" s="15" t="inlineStr">
        <is>
          <t>NOTAS FISCAIS DE COMPRA JANEIRO 2026.pdf - p. 66</t>
        </is>
      </c>
    </row>
    <row r="68">
      <c r="A68" s="13" t="n">
        <v>67</v>
      </c>
      <c r="B68" s="13" t="inlineStr">
        <is>
          <t>JAN26-P067</t>
        </is>
      </c>
      <c r="C68" s="13" t="inlineStr">
        <is>
          <t>Outros/Documento</t>
        </is>
      </c>
      <c r="D68" s="13" t="inlineStr"/>
      <c r="E68" s="13" t="inlineStr">
        <is>
          <t>FRALFIX sao FRANCISCO, 4000, PARQUE JUREMA, TERESINA?</t>
        </is>
      </c>
      <c r="F68" s="16" t="n"/>
      <c r="G68" s="13" t="inlineStr">
        <is>
          <t>Apoio</t>
        </is>
      </c>
      <c r="H68" s="13" t="inlineStr">
        <is>
          <t>Baixa</t>
        </is>
      </c>
      <c r="I68" s="13" t="inlineStr">
        <is>
          <t>Não</t>
        </is>
      </c>
      <c r="J68" s="13" t="inlineStr"/>
      <c r="K68" s="13" t="inlineStr"/>
      <c r="L68" s="13" t="inlineStr">
        <is>
          <t>Sim</t>
        </is>
      </c>
      <c r="M68" s="15" t="inlineStr">
        <is>
          <t>NOTAS FISCAIS DE COMPRA JANEIRO 2026.pdf - p. 67</t>
        </is>
      </c>
    </row>
    <row r="69">
      <c r="A69" s="13" t="n">
        <v>68</v>
      </c>
      <c r="B69" s="13" t="inlineStr">
        <is>
          <t>JAN26-P068</t>
        </is>
      </c>
      <c r="C69" s="13" t="inlineStr">
        <is>
          <t>Boleto/Financeiro</t>
        </is>
      </c>
      <c r="D69" s="13" t="inlineStr"/>
      <c r="E69" s="13" t="inlineStr">
        <is>
          <t>FCK INDUSTRIA E COMERCIO DE MATE</t>
        </is>
      </c>
      <c r="F69" s="16" t="n"/>
      <c r="G69" s="13" t="inlineStr">
        <is>
          <t>Apoio</t>
        </is>
      </c>
      <c r="H69" s="13" t="inlineStr">
        <is>
          <t>Baixa</t>
        </is>
      </c>
      <c r="I69" s="13" t="inlineStr">
        <is>
          <t>Não</t>
        </is>
      </c>
      <c r="J69" s="13" t="inlineStr"/>
      <c r="K69" s="13" t="inlineStr"/>
      <c r="L69" s="13" t="inlineStr">
        <is>
          <t>Sim</t>
        </is>
      </c>
      <c r="M69" s="15" t="inlineStr">
        <is>
          <t>NOTAS FISCAIS DE COMPRA JANEIRO 2026.pdf - p. 68</t>
        </is>
      </c>
    </row>
    <row r="70">
      <c r="A70" s="13" t="n">
        <v>69</v>
      </c>
      <c r="B70" s="13" t="inlineStr">
        <is>
          <t>JAN26-P069</t>
        </is>
      </c>
      <c r="C70" s="13" t="inlineStr">
        <is>
          <t>NFS-e</t>
        </is>
      </c>
      <c r="D70" s="13" t="inlineStr">
        <is>
          <t>4</t>
        </is>
      </c>
      <c r="E70" s="13" t="inlineStr">
        <is>
          <t>JUVENCIO REPRESENTACOES LIMITADA</t>
        </is>
      </c>
      <c r="F70" s="16" t="n">
        <v>15662.93</v>
      </c>
      <c r="G70" s="13" t="inlineStr">
        <is>
          <t>Servicos</t>
        </is>
      </c>
      <c r="H70" s="13" t="inlineStr">
        <is>
          <t>Alta</t>
        </is>
      </c>
      <c r="I70" s="13" t="inlineStr">
        <is>
          <t>Revisar</t>
        </is>
      </c>
      <c r="J70" s="13" t="inlineStr"/>
      <c r="K70" s="13" t="inlineStr">
        <is>
          <t>Possível duplicidade comercial</t>
        </is>
      </c>
      <c r="L70" s="13" t="inlineStr">
        <is>
          <t>Sim</t>
        </is>
      </c>
      <c r="M70" s="15" t="inlineStr">
        <is>
          <t>NOTAS FISCAIS DE COMPRA JANEIRO 2026.pdf - p. 69</t>
        </is>
      </c>
    </row>
    <row r="71">
      <c r="A71" s="13" t="n">
        <v>70</v>
      </c>
      <c r="B71" s="13" t="inlineStr">
        <is>
          <t>JAN26-P070</t>
        </is>
      </c>
      <c r="C71" s="13" t="inlineStr">
        <is>
          <t>NFS-e</t>
        </is>
      </c>
      <c r="D71" s="13" t="inlineStr">
        <is>
          <t>3</t>
        </is>
      </c>
      <c r="E71" s="13" t="inlineStr">
        <is>
          <t>JUVENCIO REPRESENTACOES LIMITADA</t>
        </is>
      </c>
      <c r="F71" s="16" t="n">
        <v>15662.93</v>
      </c>
      <c r="G71" s="13" t="inlineStr">
        <is>
          <t>Servicos</t>
        </is>
      </c>
      <c r="H71" s="13" t="inlineStr">
        <is>
          <t>Alta</t>
        </is>
      </c>
      <c r="I71" s="13" t="inlineStr">
        <is>
          <t>Revisar</t>
        </is>
      </c>
      <c r="J71" s="13" t="inlineStr"/>
      <c r="K71" s="13" t="inlineStr">
        <is>
          <t>Possível duplicidade comercial</t>
        </is>
      </c>
      <c r="L71" s="13" t="inlineStr">
        <is>
          <t>Sim</t>
        </is>
      </c>
      <c r="M71" s="15" t="inlineStr">
        <is>
          <t>NOTAS FISCAIS DE COMPRA JANEIRO 2026.pdf - p. 70</t>
        </is>
      </c>
    </row>
    <row r="72">
      <c r="A72" s="13" t="n">
        <v>71</v>
      </c>
      <c r="B72" s="13" t="inlineStr">
        <is>
          <t>JAN26-P071</t>
        </is>
      </c>
      <c r="C72" s="13" t="inlineStr">
        <is>
          <t>Boleto/Financeiro</t>
        </is>
      </c>
      <c r="D72" s="13" t="inlineStr"/>
      <c r="E72" s="13" t="inlineStr">
        <is>
          <t>{0 POR TIPO DE LIGACAO E SERVICOS EXCEDENTES</t>
        </is>
      </c>
      <c r="F72" s="16" t="n"/>
      <c r="G72" s="13" t="inlineStr">
        <is>
          <t>Apoio</t>
        </is>
      </c>
      <c r="H72" s="13" t="inlineStr">
        <is>
          <t>Baixa</t>
        </is>
      </c>
      <c r="I72" s="13" t="inlineStr">
        <is>
          <t>Não</t>
        </is>
      </c>
      <c r="J72" s="13" t="inlineStr"/>
      <c r="K72" s="13" t="inlineStr"/>
      <c r="L72" s="13" t="inlineStr">
        <is>
          <t>Sim</t>
        </is>
      </c>
      <c r="M72" s="15" t="inlineStr">
        <is>
          <t>NOTAS FISCAIS DE COMPRA JANEIRO 2026.pdf - p. 71</t>
        </is>
      </c>
    </row>
    <row r="73">
      <c r="A73" s="13" t="n">
        <v>72</v>
      </c>
      <c r="B73" s="13" t="inlineStr">
        <is>
          <t>JAN26-P072</t>
        </is>
      </c>
      <c r="C73" s="13" t="inlineStr">
        <is>
          <t>Outros/Documento</t>
        </is>
      </c>
      <c r="D73" s="13" t="inlineStr"/>
      <c r="E73" s="13" t="inlineStr">
        <is>
          <t>\ével: igaces mensais de longa distancia</t>
        </is>
      </c>
      <c r="F73" s="16" t="n"/>
      <c r="G73" s="13" t="inlineStr">
        <is>
          <t>Apoio</t>
        </is>
      </c>
      <c r="H73" s="13" t="inlineStr">
        <is>
          <t>Baixa</t>
        </is>
      </c>
      <c r="I73" s="13" t="inlineStr">
        <is>
          <t>Não</t>
        </is>
      </c>
      <c r="J73" s="13" t="inlineStr"/>
      <c r="K73" s="13" t="inlineStr"/>
      <c r="L73" s="13" t="inlineStr">
        <is>
          <t>Sim</t>
        </is>
      </c>
      <c r="M73" s="15" t="inlineStr">
        <is>
          <t>NOTAS FISCAIS DE COMPRA JANEIRO 2026.pdf - p. 72</t>
        </is>
      </c>
    </row>
    <row r="74">
      <c r="A74" s="13" t="n">
        <v>73</v>
      </c>
      <c r="B74" s="13" t="inlineStr">
        <is>
          <t>JAN26-P073</t>
        </is>
      </c>
      <c r="C74" s="13" t="inlineStr">
        <is>
          <t>Outros/Documento</t>
        </is>
      </c>
      <c r="D74" s="13" t="inlineStr"/>
      <c r="E74" s="13" t="inlineStr">
        <is>
          <t>‘AcabeangadBsardgo deerme pode Sart ate o0hns and osu col PEE ae ee aia wah</t>
        </is>
      </c>
      <c r="F74" s="16" t="n"/>
      <c r="G74" s="13" t="inlineStr">
        <is>
          <t>Apoio</t>
        </is>
      </c>
      <c r="H74" s="13" t="inlineStr">
        <is>
          <t>Baixa</t>
        </is>
      </c>
      <c r="I74" s="13" t="inlineStr">
        <is>
          <t>Não</t>
        </is>
      </c>
      <c r="J74" s="13" t="inlineStr"/>
      <c r="K74" s="13" t="inlineStr"/>
      <c r="L74" s="13" t="inlineStr">
        <is>
          <t>Sim</t>
        </is>
      </c>
      <c r="M74" s="15" t="inlineStr">
        <is>
          <t>NOTAS FISCAIS DE COMPRA JANEIRO 2026.pdf - p. 73</t>
        </is>
      </c>
    </row>
    <row r="75">
      <c r="A75" s="13" t="n">
        <v>74</v>
      </c>
      <c r="B75" s="13" t="inlineStr">
        <is>
          <t>JAN26-P074</t>
        </is>
      </c>
      <c r="C75" s="13" t="inlineStr">
        <is>
          <t>Outros/Documento</t>
        </is>
      </c>
      <c r="D75" s="13" t="inlineStr"/>
      <c r="E75" s="13" t="inlineStr">
        <is>
          <t>DETALHAMENTO DE LIGACOESE SERVICOS DO CELULAR (86) 99 eT get SoM eee" shay</t>
        </is>
      </c>
      <c r="F75" s="16" t="n"/>
      <c r="G75" s="13" t="inlineStr">
        <is>
          <t>Apoio</t>
        </is>
      </c>
      <c r="H75" s="13" t="inlineStr">
        <is>
          <t>Baixa</t>
        </is>
      </c>
      <c r="I75" s="13" t="inlineStr">
        <is>
          <t>Não</t>
        </is>
      </c>
      <c r="J75" s="13" t="inlineStr"/>
      <c r="K75" s="13" t="inlineStr"/>
      <c r="L75" s="13" t="inlineStr">
        <is>
          <t>Sim</t>
        </is>
      </c>
      <c r="M75" s="15" t="inlineStr">
        <is>
          <t>NOTAS FISCAIS DE COMPRA JANEIRO 2026.pdf - p. 74</t>
        </is>
      </c>
    </row>
    <row r="76">
      <c r="A76" s="13" t="n">
        <v>75</v>
      </c>
      <c r="B76" s="13" t="inlineStr">
        <is>
          <t>JAN26-P075</t>
        </is>
      </c>
      <c r="C76" s="13" t="inlineStr">
        <is>
          <t>Outros/Documento</t>
        </is>
      </c>
      <c r="D76" s="13" t="inlineStr"/>
      <c r="E76" s="13" t="inlineStr">
        <is>
          <t>me Maenymainages 7 A Boe taattom saauer Conse 200d 20 ee oak</t>
        </is>
      </c>
      <c r="F76" s="16" t="n"/>
      <c r="G76" s="13" t="inlineStr">
        <is>
          <t>Apoio</t>
        </is>
      </c>
      <c r="H76" s="13" t="inlineStr">
        <is>
          <t>Baixa</t>
        </is>
      </c>
      <c r="I76" s="13" t="inlineStr">
        <is>
          <t>Não</t>
        </is>
      </c>
      <c r="J76" s="13" t="inlineStr"/>
      <c r="K76" s="13" t="inlineStr"/>
      <c r="L76" s="13" t="inlineStr">
        <is>
          <t>Sim</t>
        </is>
      </c>
      <c r="M76" s="15" t="inlineStr">
        <is>
          <t>NOTAS FISCAIS DE COMPRA JANEIRO 2026.pdf - p. 75</t>
        </is>
      </c>
    </row>
    <row r="77">
      <c r="A77" s="13" t="n">
        <v>76</v>
      </c>
      <c r="B77" s="13" t="inlineStr">
        <is>
          <t>JAN26-P076</t>
        </is>
      </c>
      <c r="C77" s="13" t="inlineStr">
        <is>
          <t>Outros/Documento</t>
        </is>
      </c>
      <c r="D77" s="13" t="inlineStr"/>
      <c r="E77" s="13" t="inlineStr">
        <is>
          <t>thes a internet move</t>
        </is>
      </c>
      <c r="F77" s="16" t="n"/>
      <c r="G77" s="13" t="inlineStr">
        <is>
          <t>Apoio</t>
        </is>
      </c>
      <c r="H77" s="13" t="inlineStr">
        <is>
          <t>Baixa</t>
        </is>
      </c>
      <c r="I77" s="13" t="inlineStr">
        <is>
          <t>Não</t>
        </is>
      </c>
      <c r="J77" s="13" t="inlineStr"/>
      <c r="K77" s="13" t="inlineStr"/>
      <c r="L77" s="13" t="inlineStr">
        <is>
          <t>Sim</t>
        </is>
      </c>
      <c r="M77" s="15" t="inlineStr">
        <is>
          <t>NOTAS FISCAIS DE COMPRA JANEIRO 2026.pdf - p. 76</t>
        </is>
      </c>
    </row>
    <row r="78">
      <c r="A78" s="13" t="n">
        <v>77</v>
      </c>
      <c r="B78" s="13" t="inlineStr">
        <is>
          <t>JAN26-P077</t>
        </is>
      </c>
      <c r="C78" s="13" t="inlineStr">
        <is>
          <t>NF-e</t>
        </is>
      </c>
      <c r="D78" s="13" t="inlineStr">
        <is>
          <t>535011</t>
        </is>
      </c>
      <c r="E78" s="13" t="inlineStr">
        <is>
          <t>COMPANHIA INDUSTRIAL DE CIMENTO APODI</t>
        </is>
      </c>
      <c r="F78" s="16" t="n">
        <v>15797.5</v>
      </c>
      <c r="G78" s="13" t="inlineStr">
        <is>
          <t>Produtos</t>
        </is>
      </c>
      <c r="H78" s="13" t="inlineStr">
        <is>
          <t>Alta</t>
        </is>
      </c>
      <c r="I78" s="13" t="inlineStr">
        <is>
          <t>Sim</t>
        </is>
      </c>
      <c r="J78" s="13" t="inlineStr"/>
      <c r="K78" s="13" t="inlineStr"/>
      <c r="L78" s="13" t="inlineStr">
        <is>
          <t>Não</t>
        </is>
      </c>
      <c r="M78" s="15" t="inlineStr">
        <is>
          <t>NOTAS FISCAIS DE COMPRA JANEIRO 2026.pdf - p. 77</t>
        </is>
      </c>
    </row>
    <row r="79">
      <c r="A79" s="13" t="n">
        <v>78</v>
      </c>
      <c r="B79" s="13" t="inlineStr">
        <is>
          <t>JAN26-P078</t>
        </is>
      </c>
      <c r="C79" s="13" t="inlineStr">
        <is>
          <t>NF-e</t>
        </is>
      </c>
      <c r="D79" s="13" t="inlineStr">
        <is>
          <t>861</t>
        </is>
      </c>
      <c r="E79" s="13" t="inlineStr">
        <is>
          <t>INOVE SOLUCOES EM PRODUTOS E EQUIPAMENTOS PARA LABORATORIOS</t>
        </is>
      </c>
      <c r="F79" s="16" t="n">
        <v>27000</v>
      </c>
      <c r="G79" s="13" t="inlineStr">
        <is>
          <t>Produtos</t>
        </is>
      </c>
      <c r="H79" s="13" t="inlineStr">
        <is>
          <t>Alta</t>
        </is>
      </c>
      <c r="I79" s="13" t="inlineStr">
        <is>
          <t>Sim</t>
        </is>
      </c>
      <c r="J79" s="13" t="inlineStr"/>
      <c r="K79" s="13" t="inlineStr"/>
      <c r="L79" s="13" t="inlineStr">
        <is>
          <t>Não</t>
        </is>
      </c>
      <c r="M79" s="15" t="inlineStr">
        <is>
          <t>NOTAS FISCAIS DE COMPRA JANEIRO 2026.pdf - p. 78</t>
        </is>
      </c>
    </row>
    <row r="80">
      <c r="A80" s="13" t="n">
        <v>79</v>
      </c>
      <c r="B80" s="13" t="inlineStr">
        <is>
          <t>JAN26-P079</t>
        </is>
      </c>
      <c r="C80" s="13" t="inlineStr">
        <is>
          <t>NF-e</t>
        </is>
      </c>
      <c r="D80" s="13" t="inlineStr">
        <is>
          <t>100000086</t>
        </is>
      </c>
      <c r="E80" s="13" t="inlineStr">
        <is>
          <t>es, vimos por meio des</t>
        </is>
      </c>
      <c r="F80" s="16" t="n"/>
      <c r="G80" s="13" t="inlineStr">
        <is>
          <t>Produtos</t>
        </is>
      </c>
      <c r="H80" s="13" t="inlineStr">
        <is>
          <t>Alta</t>
        </is>
      </c>
      <c r="I80" s="13" t="inlineStr">
        <is>
          <t>Revisar</t>
        </is>
      </c>
      <c r="J80" s="13" t="inlineStr"/>
      <c r="K80" s="13" t="inlineStr"/>
      <c r="L80" s="13" t="inlineStr">
        <is>
          <t>Sim</t>
        </is>
      </c>
      <c r="M80" s="15" t="inlineStr">
        <is>
          <t>NOTAS FISCAIS DE COMPRA JANEIRO 2026.pdf - p. 79</t>
        </is>
      </c>
    </row>
    <row r="81">
      <c r="A81" s="13" t="n">
        <v>80</v>
      </c>
      <c r="B81" s="13" t="inlineStr">
        <is>
          <t>JAN26-P080</t>
        </is>
      </c>
      <c r="C81" s="13" t="inlineStr">
        <is>
          <t>NFCom</t>
        </is>
      </c>
      <c r="D81" s="13" t="inlineStr">
        <is>
          <t>5011</t>
        </is>
      </c>
      <c r="E81" s="13" t="inlineStr">
        <is>
          <t>J R C DE ANDRADES LTDA</t>
        </is>
      </c>
      <c r="F81" s="16" t="n">
        <v>139.9</v>
      </c>
      <c r="G81" s="13" t="inlineStr">
        <is>
          <t>Servicos</t>
        </is>
      </c>
      <c r="H81" s="13" t="inlineStr">
        <is>
          <t>Alta</t>
        </is>
      </c>
      <c r="I81" s="13" t="inlineStr">
        <is>
          <t>Sim</t>
        </is>
      </c>
      <c r="J81" s="13" t="inlineStr"/>
      <c r="K81" s="13" t="inlineStr"/>
      <c r="L81" s="13" t="inlineStr">
        <is>
          <t>Não</t>
        </is>
      </c>
      <c r="M81" s="15" t="inlineStr">
        <is>
          <t>NOTAS FISCAIS DE COMPRA JANEIRO 2026.pdf - p. 80</t>
        </is>
      </c>
    </row>
    <row r="82">
      <c r="A82" s="13" t="n">
        <v>81</v>
      </c>
      <c r="B82" s="13" t="inlineStr">
        <is>
          <t>JAN26-P081</t>
        </is>
      </c>
      <c r="C82" s="13" t="inlineStr">
        <is>
          <t>NF-e</t>
        </is>
      </c>
      <c r="D82" s="13" t="inlineStr">
        <is>
          <t>60587</t>
        </is>
      </c>
      <c r="E82" s="13" t="inlineStr">
        <is>
          <t>DISTRIBUICAO DE ALIMENTOS VANGUARDA S/A</t>
        </is>
      </c>
      <c r="F82" s="16" t="n">
        <v>800</v>
      </c>
      <c r="G82" s="13" t="inlineStr">
        <is>
          <t>Produtos</t>
        </is>
      </c>
      <c r="H82" s="13" t="inlineStr">
        <is>
          <t>Alta</t>
        </is>
      </c>
      <c r="I82" s="13" t="inlineStr">
        <is>
          <t>Sim</t>
        </is>
      </c>
      <c r="J82" s="13" t="inlineStr"/>
      <c r="K82" s="13" t="inlineStr"/>
      <c r="L82" s="13" t="inlineStr">
        <is>
          <t>Não</t>
        </is>
      </c>
      <c r="M82" s="15" t="inlineStr">
        <is>
          <t>NOTAS FISCAIS DE COMPRA JANEIRO 2026.pdf - p. 81</t>
        </is>
      </c>
    </row>
    <row r="83">
      <c r="A83" s="13" t="n">
        <v>82</v>
      </c>
      <c r="B83" s="13" t="inlineStr">
        <is>
          <t>JAN26-P082</t>
        </is>
      </c>
      <c r="C83" s="13" t="inlineStr">
        <is>
          <t>NFS-e</t>
        </is>
      </c>
      <c r="D83" s="13" t="inlineStr">
        <is>
          <t>767</t>
        </is>
      </c>
      <c r="E83" s="13" t="inlineStr">
        <is>
          <t>EDWARD MOURA SOCIEDADE INDIVIDUAL DE ADVOCACIA</t>
        </is>
      </c>
      <c r="F83" s="16" t="n">
        <v>4075</v>
      </c>
      <c r="G83" s="13" t="inlineStr">
        <is>
          <t>Servicos</t>
        </is>
      </c>
      <c r="H83" s="13" t="inlineStr">
        <is>
          <t>Alta</t>
        </is>
      </c>
      <c r="I83" s="13" t="inlineStr">
        <is>
          <t>Sim</t>
        </is>
      </c>
      <c r="J83" s="13" t="inlineStr"/>
      <c r="K83" s="13" t="inlineStr"/>
      <c r="L83" s="13" t="inlineStr">
        <is>
          <t>Não</t>
        </is>
      </c>
      <c r="M83" s="15" t="inlineStr">
        <is>
          <t>NOTAS FISCAIS DE COMPRA JANEIRO 2026.pdf - p. 82</t>
        </is>
      </c>
    </row>
    <row r="84">
      <c r="A84" s="13" t="n">
        <v>83</v>
      </c>
      <c r="B84" s="13" t="inlineStr">
        <is>
          <t>JAN26-P083</t>
        </is>
      </c>
      <c r="C84" s="13" t="inlineStr">
        <is>
          <t>NFS-e</t>
        </is>
      </c>
      <c r="D84" s="13" t="inlineStr">
        <is>
          <t>3331</t>
        </is>
      </c>
      <c r="E84" s="13" t="inlineStr">
        <is>
          <t>LCM CONSULTING AND INFORMATION SERVICES LTDA</t>
        </is>
      </c>
      <c r="F84" s="16" t="n">
        <v>9689.33</v>
      </c>
      <c r="G84" s="13" t="inlineStr">
        <is>
          <t>Servicos</t>
        </is>
      </c>
      <c r="H84" s="13" t="inlineStr">
        <is>
          <t>Alta</t>
        </is>
      </c>
      <c r="I84" s="13" t="inlineStr">
        <is>
          <t>Sim</t>
        </is>
      </c>
      <c r="J84" s="13" t="inlineStr"/>
      <c r="K84" s="13" t="inlineStr"/>
      <c r="L84" s="13" t="inlineStr">
        <is>
          <t>Não</t>
        </is>
      </c>
      <c r="M84" s="15" t="inlineStr">
        <is>
          <t>NOTAS FISCAIS DE COMPRA JANEIRO 2026.pdf - p. 83</t>
        </is>
      </c>
    </row>
    <row r="85">
      <c r="A85" s="13" t="n">
        <v>84</v>
      </c>
      <c r="B85" s="13" t="inlineStr">
        <is>
          <t>JAN26-P084</t>
        </is>
      </c>
      <c r="C85" s="13" t="inlineStr">
        <is>
          <t>NF-e</t>
        </is>
      </c>
      <c r="D85" s="13" t="inlineStr">
        <is>
          <t>232676</t>
        </is>
      </c>
      <c r="E85" s="13" t="inlineStr">
        <is>
          <t>INDUMAK MAQUINAS LTDA</t>
        </is>
      </c>
      <c r="F85" s="16" t="n">
        <v>1587.23</v>
      </c>
      <c r="G85" s="13" t="inlineStr">
        <is>
          <t>Produtos</t>
        </is>
      </c>
      <c r="H85" s="13" t="inlineStr">
        <is>
          <t>Alta</t>
        </is>
      </c>
      <c r="I85" s="13" t="inlineStr">
        <is>
          <t>Sim</t>
        </is>
      </c>
      <c r="J85" s="13" t="inlineStr"/>
      <c r="K85" s="13" t="inlineStr"/>
      <c r="L85" s="13" t="inlineStr">
        <is>
          <t>Não</t>
        </is>
      </c>
      <c r="M85" s="15" t="inlineStr">
        <is>
          <t>NOTAS FISCAIS DE COMPRA JANEIRO 2026.pdf - p. 84</t>
        </is>
      </c>
    </row>
    <row r="86">
      <c r="A86" s="13" t="n">
        <v>85</v>
      </c>
      <c r="B86" s="13" t="inlineStr">
        <is>
          <t>JAN26-P085</t>
        </is>
      </c>
      <c r="C86" s="13" t="inlineStr">
        <is>
          <t>Outros/Documento</t>
        </is>
      </c>
      <c r="D86" s="13" t="inlineStr"/>
      <c r="E86" s="13" t="inlineStr">
        <is>
          <t>\VENIDA SAO FRANCISCO 4000/D - EXTREMA</t>
        </is>
      </c>
      <c r="F86" s="16" t="n"/>
      <c r="G86" s="13" t="inlineStr">
        <is>
          <t>Apoio</t>
        </is>
      </c>
      <c r="H86" s="13" t="inlineStr">
        <is>
          <t>Media</t>
        </is>
      </c>
      <c r="I86" s="13" t="inlineStr">
        <is>
          <t>Não</t>
        </is>
      </c>
      <c r="J86" s="13" t="inlineStr"/>
      <c r="K86" s="13" t="inlineStr"/>
      <c r="L86" s="13" t="inlineStr">
        <is>
          <t>Sim</t>
        </is>
      </c>
      <c r="M86" s="15" t="inlineStr">
        <is>
          <t>NOTAS FISCAIS DE COMPRA JANEIRO 2026.pdf - p. 85</t>
        </is>
      </c>
    </row>
    <row r="87">
      <c r="A87" s="13" t="n">
        <v>86</v>
      </c>
      <c r="B87" s="13" t="inlineStr">
        <is>
          <t>JAN26-P086</t>
        </is>
      </c>
      <c r="C87" s="13" t="inlineStr">
        <is>
          <t>Outros/Documento</t>
        </is>
      </c>
      <c r="D87" s="13" t="inlineStr"/>
      <c r="E87" s="13" t="inlineStr">
        <is>
          <t>quantidades e condigées comerciais acordadas por intermédio deste. Em caso de pecas de linha, a</t>
        </is>
      </c>
      <c r="F87" s="16" t="n"/>
      <c r="G87" s="13" t="inlineStr">
        <is>
          <t>Apoio</t>
        </is>
      </c>
      <c r="H87" s="13" t="inlineStr">
        <is>
          <t>Baixa</t>
        </is>
      </c>
      <c r="I87" s="13" t="inlineStr">
        <is>
          <t>Não</t>
        </is>
      </c>
      <c r="J87" s="13" t="inlineStr"/>
      <c r="K87" s="13" t="inlineStr"/>
      <c r="L87" s="13" t="inlineStr">
        <is>
          <t>Sim</t>
        </is>
      </c>
      <c r="M87" s="15" t="inlineStr">
        <is>
          <t>NOTAS FISCAIS DE COMPRA JANEIRO 2026.pdf - p. 86</t>
        </is>
      </c>
    </row>
    <row r="88">
      <c r="A88" s="13" t="n">
        <v>87</v>
      </c>
      <c r="B88" s="13" t="inlineStr">
        <is>
          <t>JAN26-P087</t>
        </is>
      </c>
      <c r="C88" s="13" t="inlineStr">
        <is>
          <t>CT-e</t>
        </is>
      </c>
      <c r="D88" s="13" t="inlineStr">
        <is>
          <t>409</t>
        </is>
      </c>
      <c r="E88" s="13" t="inlineStr">
        <is>
          <t>F G INTELIGENCIA EM LOGISTICA LTDA</t>
        </is>
      </c>
      <c r="F88" s="16" t="n">
        <v>11683.9</v>
      </c>
      <c r="G88" s="13" t="inlineStr">
        <is>
          <t>Fretes</t>
        </is>
      </c>
      <c r="H88" s="13" t="inlineStr">
        <is>
          <t>Alta</t>
        </is>
      </c>
      <c r="I88" s="13" t="inlineStr">
        <is>
          <t>Sim</t>
        </is>
      </c>
      <c r="J88" s="13" t="inlineStr"/>
      <c r="K88" s="13" t="inlineStr"/>
      <c r="L88" s="13" t="inlineStr">
        <is>
          <t>Não</t>
        </is>
      </c>
      <c r="M88" s="15" t="inlineStr">
        <is>
          <t>NOTAS FISCAIS DE COMPRA JANEIRO 2026.pdf - p. 87</t>
        </is>
      </c>
    </row>
    <row r="89">
      <c r="A89" s="13" t="n">
        <v>88</v>
      </c>
      <c r="B89" s="13" t="inlineStr">
        <is>
          <t>JAN26-P088</t>
        </is>
      </c>
      <c r="C89" s="13" t="inlineStr">
        <is>
          <t>CT-e</t>
        </is>
      </c>
      <c r="D89" s="13" t="inlineStr">
        <is>
          <t>408</t>
        </is>
      </c>
      <c r="E89" s="13" t="inlineStr">
        <is>
          <t>F G INTELIGENCIA EM LOGISTICA LTDA</t>
        </is>
      </c>
      <c r="F89" s="16" t="n">
        <v>11776.9</v>
      </c>
      <c r="G89" s="13" t="inlineStr">
        <is>
          <t>Fretes</t>
        </is>
      </c>
      <c r="H89" s="13" t="inlineStr">
        <is>
          <t>Alta</t>
        </is>
      </c>
      <c r="I89" s="13" t="inlineStr">
        <is>
          <t>Sim</t>
        </is>
      </c>
      <c r="J89" s="13" t="inlineStr"/>
      <c r="K89" s="13" t="inlineStr"/>
      <c r="L89" s="13" t="inlineStr">
        <is>
          <t>Não</t>
        </is>
      </c>
      <c r="M89" s="15" t="inlineStr">
        <is>
          <t>NOTAS FISCAIS DE COMPRA JANEIRO 2026.pdf - p. 88</t>
        </is>
      </c>
    </row>
    <row r="90">
      <c r="A90" s="13" t="n">
        <v>89</v>
      </c>
      <c r="B90" s="13" t="inlineStr">
        <is>
          <t>JAN26-P089</t>
        </is>
      </c>
      <c r="C90" s="13" t="inlineStr">
        <is>
          <t>CT-e</t>
        </is>
      </c>
      <c r="D90" s="13" t="inlineStr">
        <is>
          <t>407</t>
        </is>
      </c>
      <c r="E90" s="13" t="inlineStr">
        <is>
          <t>F G INTELIGENCIA EM LOGISTICA LTDA</t>
        </is>
      </c>
      <c r="F90" s="16" t="n">
        <v>2307.5</v>
      </c>
      <c r="G90" s="13" t="inlineStr">
        <is>
          <t>Fretes</t>
        </is>
      </c>
      <c r="H90" s="13" t="inlineStr">
        <is>
          <t>Alta</t>
        </is>
      </c>
      <c r="I90" s="13" t="inlineStr">
        <is>
          <t>Sim</t>
        </is>
      </c>
      <c r="J90" s="13" t="inlineStr"/>
      <c r="K90" s="13" t="inlineStr"/>
      <c r="L90" s="13" t="inlineStr">
        <is>
          <t>Não</t>
        </is>
      </c>
      <c r="M90" s="15" t="inlineStr">
        <is>
          <t>NOTAS FISCAIS DE COMPRA JANEIRO 2026.pdf - p. 89</t>
        </is>
      </c>
    </row>
    <row r="91">
      <c r="A91" s="13" t="n">
        <v>90</v>
      </c>
      <c r="B91" s="13" t="inlineStr">
        <is>
          <t>JAN26-P090</t>
        </is>
      </c>
      <c r="C91" s="13" t="inlineStr">
        <is>
          <t>CT-e</t>
        </is>
      </c>
      <c r="D91" s="13" t="inlineStr">
        <is>
          <t>405</t>
        </is>
      </c>
      <c r="E91" s="13" t="inlineStr">
        <is>
          <t>F G INTELIGENCIA EM LOGISTICA LTDA</t>
        </is>
      </c>
      <c r="F91" s="16" t="n">
        <v>11711.8</v>
      </c>
      <c r="G91" s="13" t="inlineStr">
        <is>
          <t>Fretes</t>
        </is>
      </c>
      <c r="H91" s="13" t="inlineStr">
        <is>
          <t>Baixa</t>
        </is>
      </c>
      <c r="I91" s="13" t="inlineStr">
        <is>
          <t>Sim</t>
        </is>
      </c>
      <c r="J91" s="13" t="inlineStr"/>
      <c r="K91" s="13" t="inlineStr"/>
      <c r="L91" s="13" t="inlineStr">
        <is>
          <t>Sim</t>
        </is>
      </c>
      <c r="M91" s="15" t="inlineStr">
        <is>
          <t>NOTAS FISCAIS DE COMPRA JANEIRO 2026.pdf - p. 90</t>
        </is>
      </c>
    </row>
    <row r="92">
      <c r="A92" s="13" t="n">
        <v>91</v>
      </c>
      <c r="B92" s="13" t="inlineStr">
        <is>
          <t>JAN26-P091</t>
        </is>
      </c>
      <c r="C92" s="13" t="inlineStr">
        <is>
          <t>CT-e</t>
        </is>
      </c>
      <c r="D92" s="13" t="inlineStr">
        <is>
          <t>401</t>
        </is>
      </c>
      <c r="E92" s="13" t="inlineStr">
        <is>
          <t>F G INTELIGENCIA EM LOGISTICA LTDA</t>
        </is>
      </c>
      <c r="F92" s="16" t="n">
        <v>11764.5</v>
      </c>
      <c r="G92" s="13" t="inlineStr">
        <is>
          <t>Fretes</t>
        </is>
      </c>
      <c r="H92" s="13" t="inlineStr">
        <is>
          <t>Alta</t>
        </is>
      </c>
      <c r="I92" s="13" t="inlineStr">
        <is>
          <t>Sim</t>
        </is>
      </c>
      <c r="J92" s="13" t="inlineStr"/>
      <c r="K92" s="13" t="inlineStr"/>
      <c r="L92" s="13" t="inlineStr">
        <is>
          <t>Não</t>
        </is>
      </c>
      <c r="M92" s="15" t="inlineStr">
        <is>
          <t>NOTAS FISCAIS DE COMPRA JANEIRO 2026.pdf - p. 91</t>
        </is>
      </c>
    </row>
    <row r="93">
      <c r="A93" s="13" t="n">
        <v>92</v>
      </c>
      <c r="B93" s="13" t="inlineStr">
        <is>
          <t>JAN26-P092</t>
        </is>
      </c>
      <c r="C93" s="13" t="inlineStr">
        <is>
          <t>NF-e</t>
        </is>
      </c>
      <c r="D93" s="13" t="inlineStr">
        <is>
          <t>535504</t>
        </is>
      </c>
      <c r="E93" s="13" t="inlineStr">
        <is>
          <t>COMPANHIA INDUSTRIAL DE CIMENTO APODI</t>
        </is>
      </c>
      <c r="F93" s="16" t="n">
        <v>18676.35</v>
      </c>
      <c r="G93" s="13" t="inlineStr">
        <is>
          <t>Produtos</t>
        </is>
      </c>
      <c r="H93" s="13" t="inlineStr">
        <is>
          <t>Baixa</t>
        </is>
      </c>
      <c r="I93" s="13" t="inlineStr">
        <is>
          <t>Sim</t>
        </is>
      </c>
      <c r="J93" s="13" t="inlineStr"/>
      <c r="K93" s="13" t="inlineStr"/>
      <c r="L93" s="13" t="inlineStr">
        <is>
          <t>Sim</t>
        </is>
      </c>
      <c r="M93" s="15" t="inlineStr">
        <is>
          <t>NOTAS FISCAIS DE COMPRA JANEIRO 2026.pdf - p. 92</t>
        </is>
      </c>
    </row>
    <row r="94">
      <c r="A94" s="13" t="n">
        <v>93</v>
      </c>
      <c r="B94" s="13" t="inlineStr">
        <is>
          <t>JAN26-P093</t>
        </is>
      </c>
      <c r="C94" s="13" t="inlineStr">
        <is>
          <t>NF-e</t>
        </is>
      </c>
      <c r="D94" s="13" t="inlineStr">
        <is>
          <t>535252</t>
        </is>
      </c>
      <c r="E94" s="13" t="inlineStr">
        <is>
          <t>COMPANHIA INDUSTRIAL DE CIMENTO APODI</t>
        </is>
      </c>
      <c r="F94" s="16" t="n">
        <v>18720.9</v>
      </c>
      <c r="G94" s="13" t="inlineStr">
        <is>
          <t>Produtos</t>
        </is>
      </c>
      <c r="H94" s="13" t="inlineStr">
        <is>
          <t>Baixa</t>
        </is>
      </c>
      <c r="I94" s="13" t="inlineStr">
        <is>
          <t>Sim</t>
        </is>
      </c>
      <c r="J94" s="13" t="inlineStr"/>
      <c r="K94" s="13" t="inlineStr"/>
      <c r="L94" s="13" t="inlineStr">
        <is>
          <t>Sim</t>
        </is>
      </c>
      <c r="M94" s="15" t="inlineStr">
        <is>
          <t>NOTAS FISCAIS DE COMPRA JANEIRO 2026.pdf - p. 93</t>
        </is>
      </c>
    </row>
    <row r="95">
      <c r="A95" s="13" t="n">
        <v>94</v>
      </c>
      <c r="B95" s="13" t="inlineStr">
        <is>
          <t>JAN26-P094</t>
        </is>
      </c>
      <c r="C95" s="13" t="inlineStr">
        <is>
          <t>NF-e</t>
        </is>
      </c>
      <c r="D95" s="13" t="inlineStr">
        <is>
          <t>535128</t>
        </is>
      </c>
      <c r="E95" s="13" t="inlineStr">
        <is>
          <t>COMPANHIA INDUSTRIAL DE CIMENTO APODI</t>
        </is>
      </c>
      <c r="F95" s="16" t="n">
        <v>18656.55</v>
      </c>
      <c r="G95" s="13" t="inlineStr">
        <is>
          <t>Produtos</t>
        </is>
      </c>
      <c r="H95" s="13" t="inlineStr">
        <is>
          <t>Baixa</t>
        </is>
      </c>
      <c r="I95" s="13" t="inlineStr">
        <is>
          <t>Sim</t>
        </is>
      </c>
      <c r="J95" s="13" t="inlineStr"/>
      <c r="K95" s="13" t="inlineStr"/>
      <c r="L95" s="13" t="inlineStr">
        <is>
          <t>Sim</t>
        </is>
      </c>
      <c r="M95" s="15" t="inlineStr">
        <is>
          <t>NOTAS FISCAIS DE COMPRA JANEIRO 2026.pdf - p. 94</t>
        </is>
      </c>
    </row>
    <row r="96">
      <c r="A96" s="13" t="n">
        <v>95</v>
      </c>
      <c r="B96" s="13" t="inlineStr">
        <is>
          <t>JAN26-P095</t>
        </is>
      </c>
      <c r="C96" s="13" t="inlineStr">
        <is>
          <t>Outros/Documento</t>
        </is>
      </c>
      <c r="D96" s="13" t="inlineStr"/>
      <c r="E96" s="13" t="inlineStr">
        <is>
          <t>© transporadorimotorista, cima Wdenticado, assume intera 9 irtatita rasponsabildade pela salda do Estado do Ceard das mercedorias deserias</t>
        </is>
      </c>
      <c r="F96" s="16" t="n"/>
      <c r="G96" s="13" t="inlineStr">
        <is>
          <t>Apoio</t>
        </is>
      </c>
      <c r="H96" s="13" t="inlineStr">
        <is>
          <t>Baixa</t>
        </is>
      </c>
      <c r="I96" s="13" t="inlineStr">
        <is>
          <t>Não</t>
        </is>
      </c>
      <c r="J96" s="13" t="inlineStr"/>
      <c r="K96" s="13" t="inlineStr"/>
      <c r="L96" s="13" t="inlineStr">
        <is>
          <t>Sim</t>
        </is>
      </c>
      <c r="M96" s="15" t="inlineStr">
        <is>
          <t>NOTAS FISCAIS DE COMPRA JANEIRO 2026.pdf - p. 95</t>
        </is>
      </c>
    </row>
    <row r="97">
      <c r="A97" s="13" t="n">
        <v>96</v>
      </c>
      <c r="B97" s="13" t="inlineStr">
        <is>
          <t>JAN26-P096</t>
        </is>
      </c>
      <c r="C97" s="13" t="inlineStr">
        <is>
          <t>NF-e</t>
        </is>
      </c>
      <c r="D97" s="13" t="inlineStr">
        <is>
          <t>534870</t>
        </is>
      </c>
      <c r="E97" s="13" t="inlineStr">
        <is>
          <t>COMPANHIA INDUSTRIAL DE CIMENTO APODI</t>
        </is>
      </c>
      <c r="F97" s="16" t="n">
        <v>18701.1</v>
      </c>
      <c r="G97" s="13" t="inlineStr">
        <is>
          <t>Produtos</t>
        </is>
      </c>
      <c r="H97" s="13" t="inlineStr">
        <is>
          <t>Baixa</t>
        </is>
      </c>
      <c r="I97" s="13" t="inlineStr">
        <is>
          <t>Sim</t>
        </is>
      </c>
      <c r="J97" s="13" t="inlineStr"/>
      <c r="K97" s="13" t="inlineStr"/>
      <c r="L97" s="13" t="inlineStr">
        <is>
          <t>Sim</t>
        </is>
      </c>
      <c r="M97" s="15" t="inlineStr">
        <is>
          <t>NOTAS FISCAIS DE COMPRA JANEIRO 2026.pdf - p. 96</t>
        </is>
      </c>
    </row>
    <row r="98">
      <c r="A98" s="13" t="n">
        <v>97</v>
      </c>
      <c r="B98" s="13" t="inlineStr">
        <is>
          <t>JAN26-P097</t>
        </is>
      </c>
      <c r="C98" s="13" t="inlineStr">
        <is>
          <t>NF-e</t>
        </is>
      </c>
      <c r="D98" s="13" t="inlineStr">
        <is>
          <t>534761</t>
        </is>
      </c>
      <c r="E98" s="13" t="inlineStr">
        <is>
          <t>COMPANHIA INDUSTRIAL DE CIMENTO APODI</t>
        </is>
      </c>
      <c r="F98" s="16" t="n">
        <v>18785.25</v>
      </c>
      <c r="G98" s="13" t="inlineStr">
        <is>
          <t>Produtos</t>
        </is>
      </c>
      <c r="H98" s="13" t="inlineStr">
        <is>
          <t>Baixa</t>
        </is>
      </c>
      <c r="I98" s="13" t="inlineStr">
        <is>
          <t>Sim</t>
        </is>
      </c>
      <c r="J98" s="13" t="inlineStr"/>
      <c r="K98" s="13" t="inlineStr"/>
      <c r="L98" s="13" t="inlineStr">
        <is>
          <t>Sim</t>
        </is>
      </c>
      <c r="M98" s="15" t="inlineStr">
        <is>
          <t>NOTAS FISCAIS DE COMPRA JANEIRO 2026.pdf - p. 97</t>
        </is>
      </c>
    </row>
    <row r="99">
      <c r="A99" s="13" t="n">
        <v>98</v>
      </c>
      <c r="B99" s="13" t="inlineStr">
        <is>
          <t>JAN26-P098</t>
        </is>
      </c>
      <c r="C99" s="13" t="inlineStr">
        <is>
          <t>CT-e</t>
        </is>
      </c>
      <c r="D99" s="13" t="inlineStr">
        <is>
          <t>373</t>
        </is>
      </c>
      <c r="E99" s="13" t="inlineStr">
        <is>
          <t>F G INTELIGENCIA EM LOGISTICA LTDA</t>
        </is>
      </c>
      <c r="F99" s="16" t="n">
        <v>11795.5</v>
      </c>
      <c r="G99" s="13" t="inlineStr">
        <is>
          <t>Fretes</t>
        </is>
      </c>
      <c r="H99" s="13" t="inlineStr">
        <is>
          <t>Alta</t>
        </is>
      </c>
      <c r="I99" s="13" t="inlineStr">
        <is>
          <t>Sim</t>
        </is>
      </c>
      <c r="J99" s="13" t="inlineStr"/>
      <c r="K99" s="13" t="inlineStr"/>
      <c r="L99" s="13" t="inlineStr">
        <is>
          <t>Não</t>
        </is>
      </c>
      <c r="M99" s="15" t="inlineStr">
        <is>
          <t>NOTAS FISCAIS DE COMPRA JANEIRO 2026.pdf - p. 98</t>
        </is>
      </c>
    </row>
    <row r="100">
      <c r="A100" s="13" t="n">
        <v>99</v>
      </c>
      <c r="B100" s="13" t="inlineStr">
        <is>
          <t>JAN26-P099</t>
        </is>
      </c>
      <c r="C100" s="13" t="inlineStr">
        <is>
          <t>MDF-e</t>
        </is>
      </c>
      <c r="D100" s="13" t="inlineStr">
        <is>
          <t>356</t>
        </is>
      </c>
      <c r="E100" s="13" t="inlineStr">
        <is>
          <t>comm Mes Tro Wwe SEOURADORAS A Ce: 3164 seo sagoourza</t>
        </is>
      </c>
      <c r="F100" s="16" t="n"/>
      <c r="G100" s="13" t="inlineStr">
        <is>
          <t>Apoio</t>
        </is>
      </c>
      <c r="H100" s="13" t="inlineStr">
        <is>
          <t>Alta</t>
        </is>
      </c>
      <c r="I100" s="13" t="inlineStr">
        <is>
          <t>Não</t>
        </is>
      </c>
      <c r="J100" s="13" t="inlineStr"/>
      <c r="K100" s="13" t="inlineStr"/>
      <c r="L100" s="13" t="inlineStr">
        <is>
          <t>Não</t>
        </is>
      </c>
      <c r="M100" s="15" t="inlineStr">
        <is>
          <t>NOTAS FISCAIS DE COMPRA JANEIRO 2026.pdf - p. 99</t>
        </is>
      </c>
    </row>
    <row r="101">
      <c r="A101" s="13" t="n">
        <v>100</v>
      </c>
      <c r="B101" s="13" t="inlineStr">
        <is>
          <t>JAN26-P100</t>
        </is>
      </c>
      <c r="C101" s="13" t="inlineStr">
        <is>
          <t>CT-e</t>
        </is>
      </c>
      <c r="D101" s="13" t="inlineStr">
        <is>
          <t>376</t>
        </is>
      </c>
      <c r="E101" s="13" t="inlineStr">
        <is>
          <t>F G INTELIGENCIA EM LOGISTICA LTDA</t>
        </is>
      </c>
      <c r="F101" s="16" t="n">
        <v>11687</v>
      </c>
      <c r="G101" s="13" t="inlineStr">
        <is>
          <t>Fretes</t>
        </is>
      </c>
      <c r="H101" s="13" t="inlineStr">
        <is>
          <t>Baixa</t>
        </is>
      </c>
      <c r="I101" s="13" t="inlineStr">
        <is>
          <t>Sim</t>
        </is>
      </c>
      <c r="J101" s="13" t="inlineStr"/>
      <c r="K101" s="13" t="inlineStr"/>
      <c r="L101" s="13" t="inlineStr">
        <is>
          <t>Sim</t>
        </is>
      </c>
      <c r="M101" s="15" t="inlineStr">
        <is>
          <t>NOTAS FISCAIS DE COMPRA JANEIRO 2026.pdf - p. 100</t>
        </is>
      </c>
    </row>
    <row r="102">
      <c r="A102" s="13" t="n">
        <v>101</v>
      </c>
      <c r="B102" s="13" t="inlineStr">
        <is>
          <t>JAN26-P101</t>
        </is>
      </c>
      <c r="C102" s="13" t="inlineStr">
        <is>
          <t>MDF-e</t>
        </is>
      </c>
      <c r="D102" s="13" t="inlineStr">
        <is>
          <t>359</t>
        </is>
      </c>
      <c r="E102" s="13" t="inlineStr">
        <is>
          <t>It B7700.0 Ke IRS 18.66),50 [paszaeoesedsoet sae Di nto</t>
        </is>
      </c>
      <c r="F102" s="16" t="n"/>
      <c r="G102" s="13" t="inlineStr">
        <is>
          <t>Apoio</t>
        </is>
      </c>
      <c r="H102" s="13" t="inlineStr">
        <is>
          <t>Alta</t>
        </is>
      </c>
      <c r="I102" s="13" t="inlineStr">
        <is>
          <t>Não</t>
        </is>
      </c>
      <c r="J102" s="13" t="inlineStr"/>
      <c r="K102" s="13" t="inlineStr"/>
      <c r="L102" s="13" t="inlineStr">
        <is>
          <t>Não</t>
        </is>
      </c>
      <c r="M102" s="15" t="inlineStr">
        <is>
          <t>NOTAS FISCAIS DE COMPRA JANEIRO 2026.pdf - p. 101</t>
        </is>
      </c>
    </row>
    <row r="103">
      <c r="A103" s="13" t="n">
        <v>102</v>
      </c>
      <c r="B103" s="13" t="inlineStr">
        <is>
          <t>JAN26-P102</t>
        </is>
      </c>
      <c r="C103" s="13" t="inlineStr">
        <is>
          <t>CT-e</t>
        </is>
      </c>
      <c r="D103" s="13" t="inlineStr">
        <is>
          <t>381</t>
        </is>
      </c>
      <c r="E103" s="13" t="inlineStr">
        <is>
          <t>F G INTELIGENCIA EM LOGISTICA LTDA</t>
        </is>
      </c>
      <c r="F103" s="16" t="n">
        <v>11780</v>
      </c>
      <c r="G103" s="13" t="inlineStr">
        <is>
          <t>Fretes</t>
        </is>
      </c>
      <c r="H103" s="13" t="inlineStr">
        <is>
          <t>Baixa</t>
        </is>
      </c>
      <c r="I103" s="13" t="inlineStr">
        <is>
          <t>Sim</t>
        </is>
      </c>
      <c r="J103" s="13" t="inlineStr"/>
      <c r="K103" s="13" t="inlineStr"/>
      <c r="L103" s="13" t="inlineStr">
        <is>
          <t>Sim</t>
        </is>
      </c>
      <c r="M103" s="15" t="inlineStr">
        <is>
          <t>NOTAS FISCAIS DE COMPRA JANEIRO 2026.pdf - p. 102</t>
        </is>
      </c>
    </row>
    <row r="104">
      <c r="A104" s="13" t="n">
        <v>103</v>
      </c>
      <c r="B104" s="13" t="inlineStr">
        <is>
          <t>JAN26-P103</t>
        </is>
      </c>
      <c r="C104" s="13" t="inlineStr">
        <is>
          <t>MDF-e</t>
        </is>
      </c>
      <c r="D104" s="13" t="inlineStr">
        <is>
          <t>364</t>
        </is>
      </c>
      <c r="E104" s="13" t="inlineStr">
        <is>
          <t>A PG INTELIGENCIA ELALOGISTICA LTDA ”</t>
        </is>
      </c>
      <c r="F104" s="16" t="n"/>
      <c r="G104" s="13" t="inlineStr">
        <is>
          <t>Apoio</t>
        </is>
      </c>
      <c r="H104" s="13" t="inlineStr">
        <is>
          <t>Alta</t>
        </is>
      </c>
      <c r="I104" s="13" t="inlineStr">
        <is>
          <t>Não</t>
        </is>
      </c>
      <c r="J104" s="13" t="inlineStr"/>
      <c r="K104" s="13" t="inlineStr"/>
      <c r="L104" s="13" t="inlineStr">
        <is>
          <t>Não</t>
        </is>
      </c>
      <c r="M104" s="15" t="inlineStr">
        <is>
          <t>NOTAS FISCAIS DE COMPRA JANEIRO 2026.pdf - p. 103</t>
        </is>
      </c>
    </row>
    <row r="105">
      <c r="A105" s="13" t="n">
        <v>104</v>
      </c>
      <c r="B105" s="13" t="inlineStr">
        <is>
          <t>JAN26-P104</t>
        </is>
      </c>
      <c r="C105" s="13" t="inlineStr">
        <is>
          <t>CT-e</t>
        </is>
      </c>
      <c r="D105" s="13" t="inlineStr">
        <is>
          <t>383</t>
        </is>
      </c>
      <c r="E105" s="13" t="inlineStr">
        <is>
          <t>F G INTELIGENCIA EM LOGISTICA LTDA</t>
        </is>
      </c>
      <c r="F105" s="16" t="n">
        <v>11383.2</v>
      </c>
      <c r="G105" s="13" t="inlineStr">
        <is>
          <t>Fretes</t>
        </is>
      </c>
      <c r="H105" s="13" t="inlineStr">
        <is>
          <t>Alta</t>
        </is>
      </c>
      <c r="I105" s="13" t="inlineStr">
        <is>
          <t>Sim</t>
        </is>
      </c>
      <c r="J105" s="13" t="inlineStr"/>
      <c r="K105" s="13" t="inlineStr"/>
      <c r="L105" s="13" t="inlineStr">
        <is>
          <t>Não</t>
        </is>
      </c>
      <c r="M105" s="15" t="inlineStr">
        <is>
          <t>NOTAS FISCAIS DE COMPRA JANEIRO 2026.pdf - p. 104</t>
        </is>
      </c>
    </row>
    <row r="106">
      <c r="A106" s="13" t="n">
        <v>105</v>
      </c>
      <c r="B106" s="13" t="inlineStr">
        <is>
          <t>JAN26-P105</t>
        </is>
      </c>
      <c r="C106" s="13" t="inlineStr">
        <is>
          <t>MDF-e</t>
        </is>
      </c>
      <c r="D106" s="13" t="inlineStr">
        <is>
          <t>366</t>
        </is>
      </c>
      <c r="E106" s="13" t="inlineStr">
        <is>
          <t>"Che de scenue para connate de eutectic 70 uh me-ponantax gor br Cu 09 SNE</t>
        </is>
      </c>
      <c r="F106" s="16" t="n"/>
      <c r="G106" s="13" t="inlineStr">
        <is>
          <t>Apoio</t>
        </is>
      </c>
      <c r="H106" s="13" t="inlineStr">
        <is>
          <t>Alta</t>
        </is>
      </c>
      <c r="I106" s="13" t="inlineStr">
        <is>
          <t>Não</t>
        </is>
      </c>
      <c r="J106" s="13" t="inlineStr"/>
      <c r="K106" s="13" t="inlineStr"/>
      <c r="L106" s="13" t="inlineStr">
        <is>
          <t>Não</t>
        </is>
      </c>
      <c r="M106" s="15" t="inlineStr">
        <is>
          <t>NOTAS FISCAIS DE COMPRA JANEIRO 2026.pdf - p. 105</t>
        </is>
      </c>
    </row>
    <row r="107">
      <c r="A107" s="13" t="n">
        <v>106</v>
      </c>
      <c r="B107" s="13" t="inlineStr">
        <is>
          <t>JAN26-P106</t>
        </is>
      </c>
      <c r="C107" s="13" t="inlineStr">
        <is>
          <t>CT-e</t>
        </is>
      </c>
      <c r="D107" s="13" t="inlineStr">
        <is>
          <t>385</t>
        </is>
      </c>
      <c r="E107" s="13" t="inlineStr">
        <is>
          <t>F G INTELIGENCIA EM LOGISTICA LTDA</t>
        </is>
      </c>
      <c r="F107" s="16" t="n">
        <v>11727.3</v>
      </c>
      <c r="G107" s="13" t="inlineStr">
        <is>
          <t>Fretes</t>
        </is>
      </c>
      <c r="H107" s="13" t="inlineStr">
        <is>
          <t>Baixa</t>
        </is>
      </c>
      <c r="I107" s="13" t="inlineStr">
        <is>
          <t>Sim</t>
        </is>
      </c>
      <c r="J107" s="13" t="inlineStr"/>
      <c r="K107" s="13" t="inlineStr"/>
      <c r="L107" s="13" t="inlineStr">
        <is>
          <t>Sim</t>
        </is>
      </c>
      <c r="M107" s="15" t="inlineStr">
        <is>
          <t>NOTAS FISCAIS DE COMPRA JANEIRO 2026.pdf - p. 106</t>
        </is>
      </c>
    </row>
    <row r="108">
      <c r="A108" s="13" t="n">
        <v>107</v>
      </c>
      <c r="B108" s="13" t="inlineStr">
        <is>
          <t>JAN26-P107</t>
        </is>
      </c>
      <c r="C108" s="13" t="inlineStr">
        <is>
          <t>MDF-e</t>
        </is>
      </c>
      <c r="D108" s="13" t="inlineStr">
        <is>
          <t>368</t>
        </is>
      </c>
      <c r="E108" s="13" t="inlineStr">
        <is>
          <t>"Shave te Snes nate aarti mea ata ac 4 gGn i a Slek</t>
        </is>
      </c>
      <c r="F108" s="16" t="n"/>
      <c r="G108" s="13" t="inlineStr">
        <is>
          <t>Apoio</t>
        </is>
      </c>
      <c r="H108" s="13" t="inlineStr">
        <is>
          <t>Alta</t>
        </is>
      </c>
      <c r="I108" s="13" t="inlineStr">
        <is>
          <t>Não</t>
        </is>
      </c>
      <c r="J108" s="13" t="inlineStr"/>
      <c r="K108" s="13" t="inlineStr"/>
      <c r="L108" s="13" t="inlineStr">
        <is>
          <t>Não</t>
        </is>
      </c>
      <c r="M108" s="15" t="inlineStr">
        <is>
          <t>NOTAS FISCAIS DE COMPRA JANEIRO 2026.pdf - p. 107</t>
        </is>
      </c>
    </row>
    <row r="109">
      <c r="A109" s="13" t="n">
        <v>108</v>
      </c>
      <c r="B109" s="13" t="inlineStr">
        <is>
          <t>JAN26-P108</t>
        </is>
      </c>
      <c r="C109" s="13" t="inlineStr">
        <is>
          <t>CT-e</t>
        </is>
      </c>
      <c r="D109" s="13" t="inlineStr">
        <is>
          <t>389</t>
        </is>
      </c>
      <c r="E109" s="13" t="inlineStr">
        <is>
          <t>F G INTELIGENCIA EM LOGISTICA LTDA</t>
        </is>
      </c>
      <c r="F109" s="16" t="n">
        <v>11612.6</v>
      </c>
      <c r="G109" s="13" t="inlineStr">
        <is>
          <t>Fretes</t>
        </is>
      </c>
      <c r="H109" s="13" t="inlineStr">
        <is>
          <t>Alta</t>
        </is>
      </c>
      <c r="I109" s="13" t="inlineStr">
        <is>
          <t>Sim</t>
        </is>
      </c>
      <c r="J109" s="13" t="inlineStr"/>
      <c r="K109" s="13" t="inlineStr"/>
      <c r="L109" s="13" t="inlineStr">
        <is>
          <t>Não</t>
        </is>
      </c>
      <c r="M109" s="15" t="inlineStr">
        <is>
          <t>NOTAS FISCAIS DE COMPRA JANEIRO 2026.pdf - p. 108</t>
        </is>
      </c>
    </row>
    <row r="110">
      <c r="A110" s="13" t="n">
        <v>109</v>
      </c>
      <c r="B110" s="13" t="inlineStr">
        <is>
          <t>JAN26-P109</t>
        </is>
      </c>
      <c r="C110" s="13" t="inlineStr">
        <is>
          <t>MDF-e</t>
        </is>
      </c>
      <c r="D110" s="13" t="inlineStr">
        <is>
          <t>371</t>
        </is>
      </c>
      <c r="E110" s="13" t="inlineStr">
        <is>
          <t>‘Phat anewe me comm ew nev en pot are nrr oE</t>
        </is>
      </c>
      <c r="F110" s="16" t="n"/>
      <c r="G110" s="13" t="inlineStr">
        <is>
          <t>Apoio</t>
        </is>
      </c>
      <c r="H110" s="13" t="inlineStr">
        <is>
          <t>Alta</t>
        </is>
      </c>
      <c r="I110" s="13" t="inlineStr">
        <is>
          <t>Não</t>
        </is>
      </c>
      <c r="J110" s="13" t="inlineStr"/>
      <c r="K110" s="13" t="inlineStr"/>
      <c r="L110" s="13" t="inlineStr">
        <is>
          <t>Não</t>
        </is>
      </c>
      <c r="M110" s="15" t="inlineStr">
        <is>
          <t>NOTAS FISCAIS DE COMPRA JANEIRO 2026.pdf - p. 109</t>
        </is>
      </c>
    </row>
    <row r="111">
      <c r="A111" s="13" t="n">
        <v>110</v>
      </c>
      <c r="B111" s="13" t="inlineStr">
        <is>
          <t>JAN26-P110</t>
        </is>
      </c>
      <c r="C111" s="13" t="inlineStr">
        <is>
          <t>Outros/Documento</t>
        </is>
      </c>
      <c r="D111" s="13" t="inlineStr"/>
      <c r="E111" s="13" t="inlineStr">
        <is>
          <t>© traneportsdorimotorsta,acima identcado, assume inter resis responsabidade pela selva do Estado do Card das mercadorias descrias</t>
        </is>
      </c>
      <c r="F111" s="16" t="n"/>
      <c r="G111" s="13" t="inlineStr">
        <is>
          <t>Apoio</t>
        </is>
      </c>
      <c r="H111" s="13" t="inlineStr">
        <is>
          <t>Baixa</t>
        </is>
      </c>
      <c r="I111" s="13" t="inlineStr">
        <is>
          <t>Não</t>
        </is>
      </c>
      <c r="J111" s="13" t="inlineStr"/>
      <c r="K111" s="13" t="inlineStr"/>
      <c r="L111" s="13" t="inlineStr">
        <is>
          <t>Sim</t>
        </is>
      </c>
      <c r="M111" s="15" t="inlineStr">
        <is>
          <t>NOTAS FISCAIS DE COMPRA JANEIRO 2026.pdf - p. 110</t>
        </is>
      </c>
    </row>
    <row r="112">
      <c r="A112" s="13" t="n">
        <v>111</v>
      </c>
      <c r="B112" s="13" t="inlineStr">
        <is>
          <t>JAN26-P111</t>
        </is>
      </c>
      <c r="C112" s="13" t="inlineStr">
        <is>
          <t>NFS-e</t>
        </is>
      </c>
      <c r="D112" s="13" t="inlineStr">
        <is>
          <t>536943</t>
        </is>
      </c>
      <c r="E112" s="13" t="inlineStr">
        <is>
          <t>CONNECT INFORMACOES E TECNOLOGIA SA</t>
        </is>
      </c>
      <c r="F112" s="16" t="n">
        <v>460</v>
      </c>
      <c r="G112" s="13" t="inlineStr">
        <is>
          <t>Servicos</t>
        </is>
      </c>
      <c r="H112" s="13" t="inlineStr">
        <is>
          <t>Alta</t>
        </is>
      </c>
      <c r="I112" s="13" t="inlineStr">
        <is>
          <t>Sim</t>
        </is>
      </c>
      <c r="J112" s="13" t="inlineStr"/>
      <c r="K112" s="13" t="inlineStr"/>
      <c r="L112" s="13" t="inlineStr">
        <is>
          <t>Não</t>
        </is>
      </c>
      <c r="M112" s="15" t="inlineStr">
        <is>
          <t>NOTAS FISCAIS DE COMPRA JANEIRO 2026.pdf - p. 111</t>
        </is>
      </c>
    </row>
    <row r="113">
      <c r="A113" s="13" t="n">
        <v>112</v>
      </c>
      <c r="B113" s="13" t="inlineStr">
        <is>
          <t>JAN26-P112</t>
        </is>
      </c>
      <c r="C113" s="13" t="inlineStr">
        <is>
          <t>NF-e</t>
        </is>
      </c>
      <c r="D113" s="13" t="inlineStr">
        <is>
          <t>402080</t>
        </is>
      </c>
      <c r="E113" s="13" t="inlineStr">
        <is>
          <t>APODI DISTRIBUICAO E LOGISTICA LTDA</t>
        </is>
      </c>
      <c r="F113" s="16" t="n">
        <v>1820</v>
      </c>
      <c r="G113" s="13" t="inlineStr">
        <is>
          <t>Produtos</t>
        </is>
      </c>
      <c r="H113" s="13" t="inlineStr">
        <is>
          <t>Alta</t>
        </is>
      </c>
      <c r="I113" s="13" t="inlineStr">
        <is>
          <t>Sim</t>
        </is>
      </c>
      <c r="J113" s="13" t="inlineStr"/>
      <c r="K113" s="13" t="inlineStr"/>
      <c r="L113" s="13" t="inlineStr">
        <is>
          <t>Não</t>
        </is>
      </c>
      <c r="M113" s="15" t="inlineStr">
        <is>
          <t>NOTAS FISCAIS DE COMPRA JANEIRO 2026.pdf - p. 112</t>
        </is>
      </c>
    </row>
    <row r="114">
      <c r="A114" s="13" t="n">
        <v>113</v>
      </c>
      <c r="B114" s="13" t="inlineStr">
        <is>
          <t>JAN26-P113</t>
        </is>
      </c>
      <c r="C114" s="13" t="inlineStr">
        <is>
          <t>NFS-e</t>
        </is>
      </c>
      <c r="D114" s="13" t="inlineStr">
        <is>
          <t>22</t>
        </is>
      </c>
      <c r="E114" s="13" t="inlineStr">
        <is>
          <t>JORGE GUILHERME COSTA FERREIRA</t>
        </is>
      </c>
      <c r="F114" s="16" t="n">
        <v>500</v>
      </c>
      <c r="G114" s="13" t="inlineStr">
        <is>
          <t>Servicos</t>
        </is>
      </c>
      <c r="H114" s="13" t="inlineStr">
        <is>
          <t>Alta</t>
        </is>
      </c>
      <c r="I114" s="13" t="inlineStr">
        <is>
          <t>Sim</t>
        </is>
      </c>
      <c r="J114" s="13" t="inlineStr"/>
      <c r="K114" s="13" t="inlineStr"/>
      <c r="L114" s="13" t="inlineStr">
        <is>
          <t>Não</t>
        </is>
      </c>
      <c r="M114" s="15" t="inlineStr">
        <is>
          <t>NOTAS FISCAIS DE COMPRA JANEIRO 2026.pdf - p. 113</t>
        </is>
      </c>
    </row>
    <row r="115">
      <c r="A115" s="13" t="n">
        <v>114</v>
      </c>
      <c r="B115" s="13" t="inlineStr">
        <is>
          <t>JAN26-P114</t>
        </is>
      </c>
      <c r="C115" s="13" t="inlineStr">
        <is>
          <t>NF-e</t>
        </is>
      </c>
      <c r="D115" s="13" t="inlineStr">
        <is>
          <t>20113</t>
        </is>
      </c>
      <c r="E115" s="13" t="inlineStr">
        <is>
          <t>DISTRIBUIDORA DE BEBIDAS ATACADAO DA GELA</t>
        </is>
      </c>
      <c r="F115" s="16" t="n">
        <v>3600</v>
      </c>
      <c r="G115" s="13" t="inlineStr">
        <is>
          <t>Produtos</t>
        </is>
      </c>
      <c r="H115" s="13" t="inlineStr">
        <is>
          <t>Alta</t>
        </is>
      </c>
      <c r="I115" s="13" t="inlineStr">
        <is>
          <t>Sim</t>
        </is>
      </c>
      <c r="J115" s="13" t="inlineStr"/>
      <c r="K115" s="13" t="inlineStr"/>
      <c r="L115" s="13" t="inlineStr">
        <is>
          <t>Não</t>
        </is>
      </c>
      <c r="M115" s="15" t="inlineStr">
        <is>
          <t>NOTAS FISCAIS DE COMPRA JANEIRO 2026.pdf - p. 114</t>
        </is>
      </c>
    </row>
    <row r="116">
      <c r="A116" s="13" t="n">
        <v>115</v>
      </c>
      <c r="B116" s="13" t="inlineStr">
        <is>
          <t>JAN26-P115</t>
        </is>
      </c>
      <c r="C116" s="13" t="inlineStr">
        <is>
          <t>Separador/Anotacao</t>
        </is>
      </c>
      <c r="D116" s="13" t="inlineStr"/>
      <c r="E116" s="13" t="inlineStr"/>
      <c r="F116" s="16" t="n"/>
      <c r="G116" s="13" t="inlineStr">
        <is>
          <t>Apoio</t>
        </is>
      </c>
      <c r="H116" s="13" t="inlineStr">
        <is>
          <t>Baixa</t>
        </is>
      </c>
      <c r="I116" s="13" t="inlineStr">
        <is>
          <t>Não</t>
        </is>
      </c>
      <c r="J116" s="13" t="inlineStr"/>
      <c r="K116" s="13" t="inlineStr"/>
      <c r="L116" s="13" t="inlineStr">
        <is>
          <t>Sim</t>
        </is>
      </c>
      <c r="M116" s="15" t="inlineStr">
        <is>
          <t>NOTAS FISCAIS DE COMPRA JANEIRO 2026.pdf - p. 115</t>
        </is>
      </c>
    </row>
    <row r="117">
      <c r="A117" s="13" t="n">
        <v>116</v>
      </c>
      <c r="B117" s="13" t="inlineStr">
        <is>
          <t>JAN26-P116</t>
        </is>
      </c>
      <c r="C117" s="13" t="inlineStr">
        <is>
          <t>NF-e</t>
        </is>
      </c>
      <c r="D117" s="13" t="inlineStr">
        <is>
          <t>172</t>
        </is>
      </c>
      <c r="E117" s="13" t="inlineStr">
        <is>
          <t>EVERARDO SILVA DO NASCIMENTO</t>
        </is>
      </c>
      <c r="F117" s="16" t="n">
        <v>8238</v>
      </c>
      <c r="G117" s="13" t="inlineStr">
        <is>
          <t>Produtos</t>
        </is>
      </c>
      <c r="H117" s="13" t="inlineStr">
        <is>
          <t>Alta</t>
        </is>
      </c>
      <c r="I117" s="13" t="inlineStr">
        <is>
          <t>Sim</t>
        </is>
      </c>
      <c r="J117" s="13" t="inlineStr"/>
      <c r="K117" s="13" t="inlineStr"/>
      <c r="L117" s="13" t="inlineStr">
        <is>
          <t>Não</t>
        </is>
      </c>
      <c r="M117" s="15" t="inlineStr">
        <is>
          <t>NOTAS FISCAIS DE COMPRA JANEIRO 2026.pdf - p. 116</t>
        </is>
      </c>
    </row>
    <row r="118">
      <c r="A118" s="13" t="n">
        <v>117</v>
      </c>
      <c r="B118" s="13" t="inlineStr">
        <is>
          <t>JAN26-P117</t>
        </is>
      </c>
      <c r="C118" s="13" t="inlineStr">
        <is>
          <t>CT-e</t>
        </is>
      </c>
      <c r="D118" s="13" t="inlineStr">
        <is>
          <t>417</t>
        </is>
      </c>
      <c r="E118" s="13" t="inlineStr">
        <is>
          <t>F G INTELIGENCIA EM LOGISTICA LTDA</t>
        </is>
      </c>
      <c r="F118" s="16" t="n">
        <v>11696.3</v>
      </c>
      <c r="G118" s="13" t="inlineStr">
        <is>
          <t>Fretes</t>
        </is>
      </c>
      <c r="H118" s="13" t="inlineStr">
        <is>
          <t>Alta</t>
        </is>
      </c>
      <c r="I118" s="13" t="inlineStr">
        <is>
          <t>Sim</t>
        </is>
      </c>
      <c r="J118" s="13" t="inlineStr"/>
      <c r="K118" s="13" t="inlineStr"/>
      <c r="L118" s="13" t="inlineStr">
        <is>
          <t>Não</t>
        </is>
      </c>
      <c r="M118" s="15" t="inlineStr">
        <is>
          <t>NOTAS FISCAIS DE COMPRA JANEIRO 2026.pdf - p. 117</t>
        </is>
      </c>
    </row>
    <row r="119">
      <c r="A119" s="13" t="n">
        <v>118</v>
      </c>
      <c r="B119" s="13" t="inlineStr">
        <is>
          <t>JAN26-P118</t>
        </is>
      </c>
      <c r="C119" s="13" t="inlineStr">
        <is>
          <t>CT-e</t>
        </is>
      </c>
      <c r="D119" s="13" t="inlineStr">
        <is>
          <t>411</t>
        </is>
      </c>
      <c r="E119" s="13" t="inlineStr">
        <is>
          <t>F G INTELIGENCIA EM LOGISTICA LTDA</t>
        </is>
      </c>
      <c r="F119" s="16" t="n">
        <v>11724.2</v>
      </c>
      <c r="G119" s="13" t="inlineStr">
        <is>
          <t>Fretes</t>
        </is>
      </c>
      <c r="H119" s="13" t="inlineStr">
        <is>
          <t>Alta</t>
        </is>
      </c>
      <c r="I119" s="13" t="inlineStr">
        <is>
          <t>Sim</t>
        </is>
      </c>
      <c r="J119" s="13" t="inlineStr"/>
      <c r="K119" s="13" t="inlineStr"/>
      <c r="L119" s="13" t="inlineStr">
        <is>
          <t>Não</t>
        </is>
      </c>
      <c r="M119" s="15" t="inlineStr">
        <is>
          <t>NOTAS FISCAIS DE COMPRA JANEIRO 2026.pdf - p. 118</t>
        </is>
      </c>
    </row>
    <row r="120">
      <c r="A120" s="13" t="n">
        <v>119</v>
      </c>
      <c r="B120" s="13" t="inlineStr">
        <is>
          <t>JAN26-P119</t>
        </is>
      </c>
      <c r="C120" s="13" t="inlineStr">
        <is>
          <t>NF-e</t>
        </is>
      </c>
      <c r="D120" s="13" t="inlineStr">
        <is>
          <t>77338</t>
        </is>
      </c>
      <c r="E120" s="13" t="inlineStr">
        <is>
          <t>POLI-GYN EMBALAGENS LTDA</t>
        </is>
      </c>
      <c r="F120" s="16" t="n">
        <v>32443.09</v>
      </c>
      <c r="G120" s="13" t="inlineStr">
        <is>
          <t>Produtos</t>
        </is>
      </c>
      <c r="H120" s="13" t="inlineStr">
        <is>
          <t>Alta</t>
        </is>
      </c>
      <c r="I120" s="13" t="inlineStr">
        <is>
          <t>Sim</t>
        </is>
      </c>
      <c r="J120" s="13" t="inlineStr"/>
      <c r="K120" s="13" t="inlineStr"/>
      <c r="L120" s="13" t="inlineStr">
        <is>
          <t>Não</t>
        </is>
      </c>
      <c r="M120" s="15" t="inlineStr">
        <is>
          <t>NOTAS FISCAIS DE COMPRA JANEIRO 2026.pdf - p. 119</t>
        </is>
      </c>
    </row>
    <row r="121">
      <c r="A121" s="13" t="n">
        <v>120</v>
      </c>
      <c r="B121" s="13" t="inlineStr">
        <is>
          <t>JAN26-P120</t>
        </is>
      </c>
      <c r="C121" s="13" t="inlineStr">
        <is>
          <t>NF-e</t>
        </is>
      </c>
      <c r="D121" s="13" t="inlineStr">
        <is>
          <t>535055</t>
        </is>
      </c>
      <c r="E121" s="13" t="inlineStr">
        <is>
          <t>COMPANHIA INDUSTRIAL DE CIMENTO APODI</t>
        </is>
      </c>
      <c r="F121" s="16" t="n">
        <v>18805.05</v>
      </c>
      <c r="G121" s="13" t="inlineStr">
        <is>
          <t>Produtos</t>
        </is>
      </c>
      <c r="H121" s="13" t="inlineStr">
        <is>
          <t>Alta</t>
        </is>
      </c>
      <c r="I121" s="13" t="inlineStr">
        <is>
          <t>Sim</t>
        </is>
      </c>
      <c r="J121" s="13" t="inlineStr"/>
      <c r="K121" s="13" t="inlineStr"/>
      <c r="L121" s="13" t="inlineStr">
        <is>
          <t>Não</t>
        </is>
      </c>
      <c r="M121" s="15" t="inlineStr">
        <is>
          <t>NOTAS FISCAIS DE COMPRA JANEIRO 2026.pdf - p. 120</t>
        </is>
      </c>
    </row>
    <row r="122">
      <c r="A122" s="13" t="n">
        <v>121</v>
      </c>
      <c r="B122" s="13" t="inlineStr">
        <is>
          <t>JAN26-P121</t>
        </is>
      </c>
      <c r="C122" s="13" t="inlineStr">
        <is>
          <t>CT-e</t>
        </is>
      </c>
      <c r="D122" s="13" t="inlineStr">
        <is>
          <t>392</t>
        </is>
      </c>
      <c r="E122" s="13" t="inlineStr">
        <is>
          <t>F G INTELIGENCIA EM LOGISTICA LTDA</t>
        </is>
      </c>
      <c r="F122" s="16" t="n">
        <v>11625</v>
      </c>
      <c r="G122" s="13" t="inlineStr">
        <is>
          <t>Fretes</t>
        </is>
      </c>
      <c r="H122" s="13" t="inlineStr">
        <is>
          <t>Alta</t>
        </is>
      </c>
      <c r="I122" s="13" t="inlineStr">
        <is>
          <t>Sim</t>
        </is>
      </c>
      <c r="J122" s="13" t="inlineStr"/>
      <c r="K122" s="13" t="inlineStr"/>
      <c r="L122" s="13" t="inlineStr">
        <is>
          <t>Não</t>
        </is>
      </c>
      <c r="M122" s="15" t="inlineStr">
        <is>
          <t>NOTAS FISCAIS DE COMPRA JANEIRO 2026.pdf - p. 121</t>
        </is>
      </c>
    </row>
    <row r="123">
      <c r="A123" s="13" t="n">
        <v>122</v>
      </c>
      <c r="B123" s="13" t="inlineStr">
        <is>
          <t>JAN26-P122</t>
        </is>
      </c>
      <c r="C123" s="13" t="inlineStr">
        <is>
          <t>MDF-e</t>
        </is>
      </c>
      <c r="D123" s="13" t="inlineStr">
        <is>
          <t>374</t>
        </is>
      </c>
      <c r="E123" s="13" t="inlineStr">
        <is>
          <t>+ 4 FG (STELIFENCIA EM LOGISTICA LTDA, ”</t>
        </is>
      </c>
      <c r="F123" s="16" t="n"/>
      <c r="G123" s="13" t="inlineStr">
        <is>
          <t>Apoio</t>
        </is>
      </c>
      <c r="H123" s="13" t="inlineStr">
        <is>
          <t>Alta</t>
        </is>
      </c>
      <c r="I123" s="13" t="inlineStr">
        <is>
          <t>Não</t>
        </is>
      </c>
      <c r="J123" s="13" t="inlineStr"/>
      <c r="K123" s="13" t="inlineStr"/>
      <c r="L123" s="13" t="inlineStr">
        <is>
          <t>Não</t>
        </is>
      </c>
      <c r="M123" s="15" t="inlineStr">
        <is>
          <t>NOTAS FISCAIS DE COMPRA JANEIRO 2026.pdf - p. 122</t>
        </is>
      </c>
    </row>
    <row r="124">
      <c r="A124" s="13" t="n">
        <v>123</v>
      </c>
      <c r="B124" s="13" t="inlineStr">
        <is>
          <t>JAN26-P123</t>
        </is>
      </c>
      <c r="C124" s="13" t="inlineStr">
        <is>
          <t>CT-e</t>
        </is>
      </c>
      <c r="D124" s="13" t="inlineStr">
        <is>
          <t>393</t>
        </is>
      </c>
      <c r="E124" s="13" t="inlineStr">
        <is>
          <t>F G INTELIGENCIA EM LOGISTICA LTDA</t>
        </is>
      </c>
      <c r="F124" s="16" t="n">
        <v>11770.7</v>
      </c>
      <c r="G124" s="13" t="inlineStr">
        <is>
          <t>Fretes</t>
        </is>
      </c>
      <c r="H124" s="13" t="inlineStr">
        <is>
          <t>Alta</t>
        </is>
      </c>
      <c r="I124" s="13" t="inlineStr">
        <is>
          <t>Sim</t>
        </is>
      </c>
      <c r="J124" s="13" t="inlineStr"/>
      <c r="K124" s="13" t="inlineStr"/>
      <c r="L124" s="13" t="inlineStr">
        <is>
          <t>Não</t>
        </is>
      </c>
      <c r="M124" s="15" t="inlineStr">
        <is>
          <t>NOTAS FISCAIS DE COMPRA JANEIRO 2026.pdf - p. 123</t>
        </is>
      </c>
    </row>
    <row r="125">
      <c r="A125" s="13" t="n">
        <v>124</v>
      </c>
      <c r="B125" s="13" t="inlineStr">
        <is>
          <t>JAN26-P124</t>
        </is>
      </c>
      <c r="C125" s="13" t="inlineStr">
        <is>
          <t>MDF-e</t>
        </is>
      </c>
      <c r="D125" s="13" t="inlineStr">
        <is>
          <t>375</t>
        </is>
      </c>
      <c r="E125" s="13" t="inlineStr">
        <is>
          <t>FOINTELAGENCIA EM LOOISTICA LTDA 7"</t>
        </is>
      </c>
      <c r="F125" s="16" t="n"/>
      <c r="G125" s="13" t="inlineStr">
        <is>
          <t>Apoio</t>
        </is>
      </c>
      <c r="H125" s="13" t="inlineStr">
        <is>
          <t>Alta</t>
        </is>
      </c>
      <c r="I125" s="13" t="inlineStr">
        <is>
          <t>Não</t>
        </is>
      </c>
      <c r="J125" s="13" t="inlineStr"/>
      <c r="K125" s="13" t="inlineStr"/>
      <c r="L125" s="13" t="inlineStr">
        <is>
          <t>Não</t>
        </is>
      </c>
      <c r="M125" s="15" t="inlineStr">
        <is>
          <t>NOTAS FISCAIS DE COMPRA JANEIRO 2026.pdf - p. 124</t>
        </is>
      </c>
    </row>
    <row r="126">
      <c r="A126" s="13" t="n">
        <v>125</v>
      </c>
      <c r="B126" s="13" t="inlineStr">
        <is>
          <t>JAN26-P125</t>
        </is>
      </c>
      <c r="C126" s="13" t="inlineStr">
        <is>
          <t>Outros/Documento</t>
        </is>
      </c>
      <c r="D126" s="13" t="inlineStr"/>
      <c r="E126" s="13" t="inlineStr">
        <is>
          <t>Dados do Transportador</t>
        </is>
      </c>
      <c r="F126" s="16" t="n"/>
      <c r="G126" s="13" t="inlineStr">
        <is>
          <t>Apoio</t>
        </is>
      </c>
      <c r="H126" s="13" t="inlineStr">
        <is>
          <t>Baixa</t>
        </is>
      </c>
      <c r="I126" s="13" t="inlineStr">
        <is>
          <t>Não</t>
        </is>
      </c>
      <c r="J126" s="13" t="inlineStr"/>
      <c r="K126" s="13" t="inlineStr"/>
      <c r="L126" s="13" t="inlineStr">
        <is>
          <t>Sim</t>
        </is>
      </c>
      <c r="M126" s="15" t="inlineStr">
        <is>
          <t>NOTAS FISCAIS DE COMPRA JANEIRO 2026.pdf - p. 125</t>
        </is>
      </c>
    </row>
    <row r="127">
      <c r="A127" s="13" t="n">
        <v>126</v>
      </c>
      <c r="B127" s="13" t="inlineStr">
        <is>
          <t>JAN26-P126</t>
        </is>
      </c>
      <c r="C127" s="13" t="inlineStr">
        <is>
          <t>CT-e</t>
        </is>
      </c>
      <c r="D127" s="13" t="inlineStr">
        <is>
          <t>394</t>
        </is>
      </c>
      <c r="E127" s="13" t="inlineStr">
        <is>
          <t>F G INTELIGENCIA EM LOGISTICA LTDA</t>
        </is>
      </c>
      <c r="F127" s="16" t="n">
        <v>11745.9</v>
      </c>
      <c r="G127" s="13" t="inlineStr">
        <is>
          <t>Fretes</t>
        </is>
      </c>
      <c r="H127" s="13" t="inlineStr">
        <is>
          <t>Alta</t>
        </is>
      </c>
      <c r="I127" s="13" t="inlineStr">
        <is>
          <t>Sim</t>
        </is>
      </c>
      <c r="J127" s="13" t="inlineStr"/>
      <c r="K127" s="13" t="inlineStr"/>
      <c r="L127" s="13" t="inlineStr">
        <is>
          <t>Não</t>
        </is>
      </c>
      <c r="M127" s="15" t="inlineStr">
        <is>
          <t>NOTAS FISCAIS DE COMPRA JANEIRO 2026.pdf - p. 126</t>
        </is>
      </c>
    </row>
    <row r="128">
      <c r="A128" s="13" t="n">
        <v>127</v>
      </c>
      <c r="B128" s="13" t="inlineStr">
        <is>
          <t>JAN26-P127</t>
        </is>
      </c>
      <c r="C128" s="13" t="inlineStr">
        <is>
          <t>MDF-e</t>
        </is>
      </c>
      <c r="D128" s="13" t="inlineStr">
        <is>
          <t>376</t>
        </is>
      </c>
      <c r="E128" s="13" t="inlineStr">
        <is>
          <t>Kran [rrapion dos Tara Fagus Uren ao Hardee [Muni [forage ds Des, Fre nodes no Mansons |</t>
        </is>
      </c>
      <c r="F128" s="16" t="n"/>
      <c r="G128" s="13" t="inlineStr">
        <is>
          <t>Apoio</t>
        </is>
      </c>
      <c r="H128" s="13" t="inlineStr">
        <is>
          <t>Alta</t>
        </is>
      </c>
      <c r="I128" s="13" t="inlineStr">
        <is>
          <t>Não</t>
        </is>
      </c>
      <c r="J128" s="13" t="inlineStr"/>
      <c r="K128" s="13" t="inlineStr"/>
      <c r="L128" s="13" t="inlineStr">
        <is>
          <t>Não</t>
        </is>
      </c>
      <c r="M128" s="15" t="inlineStr">
        <is>
          <t>NOTAS FISCAIS DE COMPRA JANEIRO 2026.pdf - p. 127</t>
        </is>
      </c>
    </row>
    <row r="129">
      <c r="A129" s="13" t="n">
        <v>128</v>
      </c>
      <c r="B129" s="13" t="inlineStr">
        <is>
          <t>JAN26-P128</t>
        </is>
      </c>
      <c r="C129" s="13" t="inlineStr">
        <is>
          <t>CT-e</t>
        </is>
      </c>
      <c r="D129" s="13" t="inlineStr">
        <is>
          <t>396</t>
        </is>
      </c>
      <c r="E129" s="13" t="inlineStr">
        <is>
          <t>F G INTELIGENCIA EM LOGISTICA LTDA</t>
        </is>
      </c>
      <c r="F129" s="16" t="n">
        <v>11804.8</v>
      </c>
      <c r="G129" s="13" t="inlineStr">
        <is>
          <t>Fretes</t>
        </is>
      </c>
      <c r="H129" s="13" t="inlineStr">
        <is>
          <t>Baixa</t>
        </is>
      </c>
      <c r="I129" s="13" t="inlineStr">
        <is>
          <t>Sim</t>
        </is>
      </c>
      <c r="J129" s="13" t="inlineStr"/>
      <c r="K129" s="13" t="inlineStr"/>
      <c r="L129" s="13" t="inlineStr">
        <is>
          <t>Sim</t>
        </is>
      </c>
      <c r="M129" s="15" t="inlineStr">
        <is>
          <t>NOTAS FISCAIS DE COMPRA JANEIRO 2026.pdf - p. 128</t>
        </is>
      </c>
    </row>
    <row r="130">
      <c r="A130" s="13" t="n">
        <v>129</v>
      </c>
      <c r="B130" s="13" t="inlineStr">
        <is>
          <t>JAN26-P129</t>
        </is>
      </c>
      <c r="C130" s="13" t="inlineStr">
        <is>
          <t>CT-e</t>
        </is>
      </c>
      <c r="D130" s="13" t="inlineStr">
        <is>
          <t>397</t>
        </is>
      </c>
      <c r="E130" s="13" t="inlineStr">
        <is>
          <t>F G INTELIGENCIA EM LOGISTICA LTDA</t>
        </is>
      </c>
      <c r="F130" s="16" t="n">
        <v>11699.4</v>
      </c>
      <c r="G130" s="13" t="inlineStr">
        <is>
          <t>Fretes</t>
        </is>
      </c>
      <c r="H130" s="13" t="inlineStr">
        <is>
          <t>Alta</t>
        </is>
      </c>
      <c r="I130" s="13" t="inlineStr">
        <is>
          <t>Sim</t>
        </is>
      </c>
      <c r="J130" s="13" t="inlineStr"/>
      <c r="K130" s="13" t="inlineStr"/>
      <c r="L130" s="13" t="inlineStr">
        <is>
          <t>Não</t>
        </is>
      </c>
      <c r="M130" s="15" t="inlineStr">
        <is>
          <t>NOTAS FISCAIS DE COMPRA JANEIRO 2026.pdf - p. 129</t>
        </is>
      </c>
    </row>
    <row r="131">
      <c r="A131" s="13" t="n">
        <v>130</v>
      </c>
      <c r="B131" s="13" t="inlineStr">
        <is>
          <t>JAN26-P130</t>
        </is>
      </c>
      <c r="C131" s="13" t="inlineStr">
        <is>
          <t>Fatura/Locacao</t>
        </is>
      </c>
      <c r="D131" s="13" t="inlineStr">
        <is>
          <t>003260</t>
        </is>
      </c>
      <c r="E131" s="13" t="inlineStr">
        <is>
          <t>PAZ &amp; SAMPAIO LTDA - MM LOCACOES</t>
        </is>
      </c>
      <c r="F131" s="16" t="n">
        <v>265</v>
      </c>
      <c r="G131" s="13" t="inlineStr">
        <is>
          <t>Servicos</t>
        </is>
      </c>
      <c r="H131" s="13" t="inlineStr">
        <is>
          <t>Alta</t>
        </is>
      </c>
      <c r="I131" s="13" t="inlineStr">
        <is>
          <t>Sim</t>
        </is>
      </c>
      <c r="J131" s="13" t="inlineStr"/>
      <c r="K131" s="13" t="inlineStr"/>
      <c r="L131" s="13" t="inlineStr">
        <is>
          <t>Não</t>
        </is>
      </c>
      <c r="M131" s="15" t="inlineStr">
        <is>
          <t>NOTAS FISCAIS DE COMPRA JANEIRO 2026.pdf - p. 130</t>
        </is>
      </c>
    </row>
    <row r="132">
      <c r="A132" s="13" t="n">
        <v>131</v>
      </c>
      <c r="B132" s="13" t="inlineStr">
        <is>
          <t>JAN26-P131</t>
        </is>
      </c>
      <c r="C132" s="13" t="inlineStr">
        <is>
          <t>NFS-e</t>
        </is>
      </c>
      <c r="D132" s="13" t="inlineStr">
        <is>
          <t>167</t>
        </is>
      </c>
      <c r="E132" s="13" t="inlineStr">
        <is>
          <t>FENIX PRESTADORA DE SERVICOS LTDA</t>
        </is>
      </c>
      <c r="F132" s="16" t="n">
        <v>8175</v>
      </c>
      <c r="G132" s="13" t="inlineStr">
        <is>
          <t>Servicos</t>
        </is>
      </c>
      <c r="H132" s="13" t="inlineStr">
        <is>
          <t>Alta</t>
        </is>
      </c>
      <c r="I132" s="13" t="inlineStr">
        <is>
          <t>Sim</t>
        </is>
      </c>
      <c r="J132" s="13" t="inlineStr"/>
      <c r="K132" s="13" t="inlineStr"/>
      <c r="L132" s="13" t="inlineStr">
        <is>
          <t>Não</t>
        </is>
      </c>
      <c r="M132" s="15" t="inlineStr">
        <is>
          <t>NOTAS FISCAIS DE COMPRA JANEIRO 2026.pdf - p. 131</t>
        </is>
      </c>
    </row>
    <row r="133">
      <c r="A133" s="13" t="n">
        <v>132</v>
      </c>
      <c r="B133" s="13" t="inlineStr">
        <is>
          <t>JAN26-P132</t>
        </is>
      </c>
      <c r="C133" s="13" t="inlineStr">
        <is>
          <t>NFS-e</t>
        </is>
      </c>
      <c r="D133" s="13" t="inlineStr">
        <is>
          <t>166</t>
        </is>
      </c>
      <c r="E133" s="13" t="inlineStr">
        <is>
          <t>FENIX PRESTADORA DE SERVICOS LTDA</t>
        </is>
      </c>
      <c r="F133" s="16" t="n">
        <v>8175</v>
      </c>
      <c r="G133" s="13" t="inlineStr">
        <is>
          <t>Servicos</t>
        </is>
      </c>
      <c r="H133" s="13" t="inlineStr">
        <is>
          <t>Alta</t>
        </is>
      </c>
      <c r="I133" s="13" t="inlineStr">
        <is>
          <t>Sim</t>
        </is>
      </c>
      <c r="J133" s="13" t="inlineStr"/>
      <c r="K133" s="13" t="inlineStr"/>
      <c r="L133" s="13" t="inlineStr">
        <is>
          <t>Não</t>
        </is>
      </c>
      <c r="M133" s="15" t="inlineStr">
        <is>
          <t>NOTAS FISCAIS DE COMPRA JANEIRO 2026.pdf - p. 132</t>
        </is>
      </c>
    </row>
    <row r="134">
      <c r="A134" s="13" t="n">
        <v>133</v>
      </c>
      <c r="B134" s="13" t="inlineStr">
        <is>
          <t>JAN26-P133</t>
        </is>
      </c>
      <c r="C134" s="13" t="inlineStr">
        <is>
          <t>NFS-e</t>
        </is>
      </c>
      <c r="D134" s="13" t="inlineStr">
        <is>
          <t>22</t>
        </is>
      </c>
      <c r="E134" s="13" t="inlineStr">
        <is>
          <t>EMERSON CANDIDO DE AQUINO 56476779320</t>
        </is>
      </c>
      <c r="F134" s="16" t="n">
        <v>2000</v>
      </c>
      <c r="G134" s="13" t="inlineStr">
        <is>
          <t>Servicos</t>
        </is>
      </c>
      <c r="H134" s="13" t="inlineStr">
        <is>
          <t>Alta</t>
        </is>
      </c>
      <c r="I134" s="13" t="inlineStr">
        <is>
          <t>Sim</t>
        </is>
      </c>
      <c r="J134" s="13" t="inlineStr"/>
      <c r="K134" s="13" t="inlineStr"/>
      <c r="L134" s="13" t="inlineStr">
        <is>
          <t>Não</t>
        </is>
      </c>
      <c r="M134" s="15" t="inlineStr">
        <is>
          <t>NOTAS FISCAIS DE COMPRA JANEIRO 2026.pdf - p. 133</t>
        </is>
      </c>
    </row>
    <row r="135">
      <c r="A135" s="13" t="n">
        <v>134</v>
      </c>
      <c r="B135" s="13" t="inlineStr">
        <is>
          <t>JAN26-P134</t>
        </is>
      </c>
      <c r="C135" s="13" t="inlineStr">
        <is>
          <t>NFS-e</t>
        </is>
      </c>
      <c r="D135" s="13" t="inlineStr">
        <is>
          <t>767</t>
        </is>
      </c>
      <c r="E135" s="13" t="inlineStr">
        <is>
          <t>EDWARD MOURA SOCIEDADE INDIVIDUAL DE ADVOCACIA</t>
        </is>
      </c>
      <c r="F135" s="16" t="n">
        <v>4075</v>
      </c>
      <c r="G135" s="13" t="inlineStr">
        <is>
          <t>Servicos</t>
        </is>
      </c>
      <c r="H135" s="13" t="inlineStr">
        <is>
          <t>Alta</t>
        </is>
      </c>
      <c r="I135" s="13" t="inlineStr">
        <is>
          <t>Não</t>
        </is>
      </c>
      <c r="J135" s="13" t="inlineStr">
        <is>
          <t>P82</t>
        </is>
      </c>
      <c r="K135" s="13" t="inlineStr">
        <is>
          <t>Duplicado exato</t>
        </is>
      </c>
      <c r="L135" s="13" t="inlineStr">
        <is>
          <t>Não</t>
        </is>
      </c>
      <c r="M135" s="15" t="inlineStr">
        <is>
          <t>NOTAS FISCAIS DE COMPRA JANEIRO 2026.pdf - p. 134</t>
        </is>
      </c>
    </row>
    <row r="136">
      <c r="A136" s="13" t="n">
        <v>135</v>
      </c>
      <c r="B136" s="13" t="inlineStr">
        <is>
          <t>JAN26-P135</t>
        </is>
      </c>
      <c r="C136" s="13" t="inlineStr">
        <is>
          <t>NFS-e</t>
        </is>
      </c>
      <c r="D136" s="13" t="inlineStr">
        <is>
          <t>16004</t>
        </is>
      </c>
      <c r="E136" s="13" t="inlineStr">
        <is>
          <t>LENCO CENTRO DE CONTROLE TECNOLOGICO LTDA</t>
        </is>
      </c>
      <c r="F136" s="16" t="n">
        <v>750</v>
      </c>
      <c r="G136" s="13" t="inlineStr">
        <is>
          <t>Servicos</t>
        </is>
      </c>
      <c r="H136" s="13" t="inlineStr">
        <is>
          <t>Alta</t>
        </is>
      </c>
      <c r="I136" s="13" t="inlineStr">
        <is>
          <t>Sim</t>
        </is>
      </c>
      <c r="J136" s="13" t="inlineStr"/>
      <c r="K136" s="13" t="inlineStr"/>
      <c r="L136" s="13" t="inlineStr">
        <is>
          <t>Não</t>
        </is>
      </c>
      <c r="M136" s="15" t="inlineStr">
        <is>
          <t>NOTAS FISCAIS DE COMPRA JANEIRO 2026.pdf - p. 135</t>
        </is>
      </c>
    </row>
    <row r="137">
      <c r="A137" s="13" t="n">
        <v>136</v>
      </c>
      <c r="B137" s="13" t="inlineStr">
        <is>
          <t>JAN26-P136</t>
        </is>
      </c>
      <c r="C137" s="13" t="inlineStr">
        <is>
          <t>NFS-e</t>
        </is>
      </c>
      <c r="D137" s="13" t="inlineStr">
        <is>
          <t>3320</t>
        </is>
      </c>
      <c r="E137" s="13" t="inlineStr">
        <is>
          <t>LCM CONSULTING AND INFORMATION SERVICES LTDA</t>
        </is>
      </c>
      <c r="F137" s="16" t="n">
        <v>1788.75</v>
      </c>
      <c r="G137" s="13" t="inlineStr">
        <is>
          <t>Servicos</t>
        </is>
      </c>
      <c r="H137" s="13" t="inlineStr">
        <is>
          <t>Alta</t>
        </is>
      </c>
      <c r="I137" s="13" t="inlineStr">
        <is>
          <t>Sim</t>
        </is>
      </c>
      <c r="J137" s="13" t="inlineStr"/>
      <c r="K137" s="13" t="inlineStr"/>
      <c r="L137" s="13" t="inlineStr">
        <is>
          <t>Não</t>
        </is>
      </c>
      <c r="M137" s="15" t="inlineStr">
        <is>
          <t>NOTAS FISCAIS DE COMPRA JANEIRO 2026.pdf - p. 136</t>
        </is>
      </c>
    </row>
    <row r="138">
      <c r="A138" s="13" t="n">
        <v>137</v>
      </c>
      <c r="B138" s="13" t="inlineStr">
        <is>
          <t>JAN26-P137</t>
        </is>
      </c>
      <c r="C138" s="13" t="inlineStr">
        <is>
          <t>Outros/Documento</t>
        </is>
      </c>
      <c r="D138" s="13" t="inlineStr"/>
      <c r="E138" s="13" t="inlineStr">
        <is>
          <t>reT06é - RAYAR ESTEFANT BEZERRA TTALTANO unite Meade Sect hie ‘SRL ENGENHARIA INDUSTRIA E COM LTDA</t>
        </is>
      </c>
      <c r="F138" s="16" t="n"/>
      <c r="G138" s="13" t="inlineStr">
        <is>
          <t>Apoio</t>
        </is>
      </c>
      <c r="H138" s="13" t="inlineStr">
        <is>
          <t>Baixa</t>
        </is>
      </c>
      <c r="I138" s="13" t="inlineStr">
        <is>
          <t>Não</t>
        </is>
      </c>
      <c r="J138" s="13" t="inlineStr"/>
      <c r="K138" s="13" t="inlineStr"/>
      <c r="L138" s="13" t="inlineStr">
        <is>
          <t>Sim</t>
        </is>
      </c>
      <c r="M138" s="15" t="inlineStr">
        <is>
          <t>NOTAS FISCAIS DE COMPRA JANEIRO 2026.pdf - p. 137</t>
        </is>
      </c>
    </row>
    <row r="139">
      <c r="A139" s="13" t="n">
        <v>138</v>
      </c>
      <c r="B139" s="13" t="inlineStr">
        <is>
          <t>JAN26-P138</t>
        </is>
      </c>
      <c r="C139" s="13" t="inlineStr">
        <is>
          <t>Ordem de Servico</t>
        </is>
      </c>
      <c r="D139" s="13" t="inlineStr"/>
      <c r="E139" s="13" t="inlineStr">
        <is>
          <t>Eventuais restighes quanto ao contevdo, apontamentos ou outros dadas contidos nas Ordens da Services aqui fistadas,</t>
        </is>
      </c>
      <c r="F139" s="16" t="n"/>
      <c r="G139" s="13" t="inlineStr">
        <is>
          <t>Apoio</t>
        </is>
      </c>
      <c r="H139" s="13" t="inlineStr">
        <is>
          <t>Media</t>
        </is>
      </c>
      <c r="I139" s="13" t="inlineStr">
        <is>
          <t>Não</t>
        </is>
      </c>
      <c r="J139" s="13" t="inlineStr"/>
      <c r="K139" s="13" t="inlineStr"/>
      <c r="L139" s="13" t="inlineStr">
        <is>
          <t>Sim</t>
        </is>
      </c>
      <c r="M139" s="15" t="inlineStr">
        <is>
          <t>NOTAS FISCAIS DE COMPRA JANEIRO 2026.pdf - p. 138</t>
        </is>
      </c>
    </row>
    <row r="140">
      <c r="A140" s="13" t="n">
        <v>139</v>
      </c>
      <c r="B140" s="13" t="inlineStr">
        <is>
          <t>JAN26-P139</t>
        </is>
      </c>
      <c r="C140" s="13" t="inlineStr">
        <is>
          <t>Ordem de Servico</t>
        </is>
      </c>
      <c r="D140" s="13" t="inlineStr"/>
      <c r="E140" s="13" t="inlineStr">
        <is>
          <t>Eventuals restrigdes quanto ao contaddo, apontamentos ou outros dados contidos nas Ordens de Servicos aqui listadas</t>
        </is>
      </c>
      <c r="F140" s="16" t="n"/>
      <c r="G140" s="13" t="inlineStr">
        <is>
          <t>Apoio</t>
        </is>
      </c>
      <c r="H140" s="13" t="inlineStr">
        <is>
          <t>Baixa</t>
        </is>
      </c>
      <c r="I140" s="13" t="inlineStr">
        <is>
          <t>Não</t>
        </is>
      </c>
      <c r="J140" s="13" t="inlineStr"/>
      <c r="K140" s="13" t="inlineStr"/>
      <c r="L140" s="13" t="inlineStr">
        <is>
          <t>Sim</t>
        </is>
      </c>
      <c r="M140" s="15" t="inlineStr">
        <is>
          <t>NOTAS FISCAIS DE COMPRA JANEIRO 2026.pdf - p. 139</t>
        </is>
      </c>
    </row>
    <row r="141">
      <c r="A141" s="13" t="n">
        <v>140</v>
      </c>
      <c r="B141" s="13" t="inlineStr">
        <is>
          <t>JAN26-P140</t>
        </is>
      </c>
      <c r="C141" s="13" t="inlineStr">
        <is>
          <t>Boleto/Financeiro</t>
        </is>
      </c>
      <c r="D141" s="13" t="inlineStr"/>
      <c r="E141" s="13" t="inlineStr">
        <is>
          <t>veTOO¢ = RAYRA CSTEPANI BEZERRA ETALIANO vorsli - atin Nan Se Kea tha TNDUSTRIA E COM LTDA</t>
        </is>
      </c>
      <c r="F141" s="16" t="n"/>
      <c r="G141" s="13" t="inlineStr">
        <is>
          <t>Apoio</t>
        </is>
      </c>
      <c r="H141" s="13" t="inlineStr">
        <is>
          <t>Baixa</t>
        </is>
      </c>
      <c r="I141" s="13" t="inlineStr">
        <is>
          <t>Não</t>
        </is>
      </c>
      <c r="J141" s="13" t="inlineStr"/>
      <c r="K141" s="13" t="inlineStr"/>
      <c r="L141" s="13" t="inlineStr">
        <is>
          <t>Sim</t>
        </is>
      </c>
      <c r="M141" s="15" t="inlineStr">
        <is>
          <t>NOTAS FISCAIS DE COMPRA JANEIRO 2026.pdf - p. 140</t>
        </is>
      </c>
    </row>
    <row r="142">
      <c r="A142" s="13" t="n">
        <v>141</v>
      </c>
      <c r="B142" s="13" t="inlineStr">
        <is>
          <t>JAN26-P141</t>
        </is>
      </c>
      <c r="C142" s="13" t="inlineStr">
        <is>
          <t>Ordem de Servico</t>
        </is>
      </c>
      <c r="D142" s="13" t="inlineStr"/>
      <c r="E142" s="13" t="inlineStr">
        <is>
          <t>Ay, dove dos Santos e Siva, 2659 - Pigarra - 64017045 - Teresina (Pl)</t>
        </is>
      </c>
      <c r="F142" s="16" t="n"/>
      <c r="G142" s="13" t="inlineStr">
        <is>
          <t>Apoio</t>
        </is>
      </c>
      <c r="H142" s="13" t="inlineStr">
        <is>
          <t>Baixa</t>
        </is>
      </c>
      <c r="I142" s="13" t="inlineStr">
        <is>
          <t>Não</t>
        </is>
      </c>
      <c r="J142" s="13" t="inlineStr"/>
      <c r="K142" s="13" t="inlineStr"/>
      <c r="L142" s="13" t="inlineStr">
        <is>
          <t>Sim</t>
        </is>
      </c>
      <c r="M142" s="15" t="inlineStr">
        <is>
          <t>NOTAS FISCAIS DE COMPRA JANEIRO 2026.pdf - p. 141</t>
        </is>
      </c>
    </row>
    <row r="143">
      <c r="A143" s="13" t="n">
        <v>142</v>
      </c>
      <c r="B143" s="13" t="inlineStr">
        <is>
          <t>JAN26-P142</t>
        </is>
      </c>
      <c r="C143" s="13" t="inlineStr">
        <is>
          <t>Ordem de Servico</t>
        </is>
      </c>
      <c r="D143" s="13" t="inlineStr"/>
      <c r="E143" s="13" t="inlineStr">
        <is>
          <t>Congultor,: TPI070 ~ MARCO VINECIO MARTINS DE OLIVEIRA MELO / Central de Recursos</t>
        </is>
      </c>
      <c r="F143" s="16" t="n"/>
      <c r="G143" s="13" t="inlineStr">
        <is>
          <t>Apoio</t>
        </is>
      </c>
      <c r="H143" s="13" t="inlineStr">
        <is>
          <t>Baixa</t>
        </is>
      </c>
      <c r="I143" s="13" t="inlineStr">
        <is>
          <t>Não</t>
        </is>
      </c>
      <c r="J143" s="13" t="inlineStr"/>
      <c r="K143" s="13" t="inlineStr"/>
      <c r="L143" s="13" t="inlineStr">
        <is>
          <t>Sim</t>
        </is>
      </c>
      <c r="M143" s="15" t="inlineStr">
        <is>
          <t>NOTAS FISCAIS DE COMPRA JANEIRO 2026.pdf - p. 142</t>
        </is>
      </c>
    </row>
    <row r="144">
      <c r="A144" s="13" t="n">
        <v>143</v>
      </c>
      <c r="B144" s="13" t="inlineStr">
        <is>
          <t>JAN26-P143</t>
        </is>
      </c>
      <c r="C144" s="13" t="inlineStr">
        <is>
          <t>NFS-e</t>
        </is>
      </c>
      <c r="D144" s="13" t="inlineStr">
        <is>
          <t>3</t>
        </is>
      </c>
      <c r="E144" s="13" t="inlineStr">
        <is>
          <t>MICHELA MEDEIROS FRANCO</t>
        </is>
      </c>
      <c r="F144" s="16" t="n">
        <v>4800</v>
      </c>
      <c r="G144" s="13" t="inlineStr">
        <is>
          <t>Servicos</t>
        </is>
      </c>
      <c r="H144" s="13" t="inlineStr">
        <is>
          <t>Alta</t>
        </is>
      </c>
      <c r="I144" s="13" t="inlineStr">
        <is>
          <t>Sim</t>
        </is>
      </c>
      <c r="J144" s="13" t="inlineStr"/>
      <c r="K144" s="13" t="inlineStr"/>
      <c r="L144" s="13" t="inlineStr">
        <is>
          <t>Não</t>
        </is>
      </c>
      <c r="M144" s="15" t="inlineStr">
        <is>
          <t>NOTAS FISCAIS DE COMPRA JANEIRO 2026.pdf - p. 143</t>
        </is>
      </c>
    </row>
    <row r="145">
      <c r="A145" s="13" t="n">
        <v>144</v>
      </c>
      <c r="B145" s="13" t="inlineStr">
        <is>
          <t>JAN26-P144</t>
        </is>
      </c>
      <c r="C145" s="13" t="inlineStr">
        <is>
          <t>NFS-e</t>
        </is>
      </c>
      <c r="D145" s="13" t="inlineStr">
        <is>
          <t>18513</t>
        </is>
      </c>
      <c r="E145" s="13" t="inlineStr">
        <is>
          <t>VANGUARD PECAS E SERVICOS AUTOMOTIVOS LTDA</t>
        </is>
      </c>
      <c r="F145" s="16" t="n">
        <v>270</v>
      </c>
      <c r="G145" s="13" t="inlineStr">
        <is>
          <t>Servicos</t>
        </is>
      </c>
      <c r="H145" s="13" t="inlineStr">
        <is>
          <t>Alta</t>
        </is>
      </c>
      <c r="I145" s="13" t="inlineStr">
        <is>
          <t>Sim</t>
        </is>
      </c>
      <c r="J145" s="13" t="inlineStr"/>
      <c r="K145" s="13" t="inlineStr"/>
      <c r="L145" s="13" t="inlineStr">
        <is>
          <t>Não</t>
        </is>
      </c>
      <c r="M145" s="15" t="inlineStr">
        <is>
          <t>NOTAS FISCAIS DE COMPRA JANEIRO 2026.pdf - p. 144</t>
        </is>
      </c>
    </row>
    <row r="146">
      <c r="A146" s="13" t="n">
        <v>145</v>
      </c>
      <c r="B146" s="13" t="inlineStr">
        <is>
          <t>JAN26-P145</t>
        </is>
      </c>
      <c r="C146" s="13" t="inlineStr">
        <is>
          <t>NFS-e</t>
        </is>
      </c>
      <c r="D146" s="13" t="inlineStr">
        <is>
          <t>9</t>
        </is>
      </c>
      <c r="E146" s="13" t="inlineStr">
        <is>
          <t>MARCEL DE MOURA GOMES LTDA</t>
        </is>
      </c>
      <c r="F146" s="16" t="n">
        <v>3000</v>
      </c>
      <c r="G146" s="13" t="inlineStr">
        <is>
          <t>Servicos</t>
        </is>
      </c>
      <c r="H146" s="13" t="inlineStr">
        <is>
          <t>Alta</t>
        </is>
      </c>
      <c r="I146" s="13" t="inlineStr">
        <is>
          <t>Sim</t>
        </is>
      </c>
      <c r="J146" s="13" t="inlineStr"/>
      <c r="K146" s="13" t="inlineStr"/>
      <c r="L146" s="13" t="inlineStr">
        <is>
          <t>Não</t>
        </is>
      </c>
      <c r="M146" s="15" t="inlineStr">
        <is>
          <t>NOTAS FISCAIS DE COMPRA JANEIRO 2026.pdf - p. 145</t>
        </is>
      </c>
    </row>
    <row r="147">
      <c r="A147" s="13" t="n">
        <v>146</v>
      </c>
      <c r="B147" s="13" t="inlineStr">
        <is>
          <t>JAN26-P146</t>
        </is>
      </c>
      <c r="C147" s="13" t="inlineStr">
        <is>
          <t>Fatura/Reembolso</t>
        </is>
      </c>
      <c r="D147" s="13" t="inlineStr">
        <is>
          <t>67178532</t>
        </is>
      </c>
      <c r="E147" s="13" t="inlineStr">
        <is>
          <t>TICKET LOG / EDENRED SOLUCOES INSTITUICAO DE PAGAMENTO HA S.A.</t>
        </is>
      </c>
      <c r="F147" s="16" t="n">
        <v>358.58</v>
      </c>
      <c r="G147" s="13" t="inlineStr">
        <is>
          <t>Apoio</t>
        </is>
      </c>
      <c r="H147" s="13" t="inlineStr">
        <is>
          <t>Alta</t>
        </is>
      </c>
      <c r="I147" s="13" t="inlineStr">
        <is>
          <t>Revisar</t>
        </is>
      </c>
      <c r="J147" s="13" t="inlineStr"/>
      <c r="K147" s="13" t="inlineStr"/>
      <c r="L147" s="13" t="inlineStr">
        <is>
          <t>Sim</t>
        </is>
      </c>
      <c r="M147" s="15" t="inlineStr">
        <is>
          <t>NOTAS FISCAIS DE COMPRA JANEIRO 2026.pdf - p. 146</t>
        </is>
      </c>
    </row>
    <row r="148">
      <c r="A148" s="13" t="n">
        <v>147</v>
      </c>
      <c r="B148" s="13" t="inlineStr">
        <is>
          <t>JAN26-P147</t>
        </is>
      </c>
      <c r="C148" s="13" t="inlineStr">
        <is>
          <t>NF-e</t>
        </is>
      </c>
      <c r="D148" s="13" t="inlineStr">
        <is>
          <t>3520</t>
        </is>
      </c>
      <c r="E148" s="13" t="inlineStr">
        <is>
          <t>BORGES &amp; CAMURCA RESTAURANTES LTDA</t>
        </is>
      </c>
      <c r="F148" s="16" t="n">
        <v>819</v>
      </c>
      <c r="G148" s="13" t="inlineStr">
        <is>
          <t>Produtos</t>
        </is>
      </c>
      <c r="H148" s="13" t="inlineStr">
        <is>
          <t>Alta</t>
        </is>
      </c>
      <c r="I148" s="13" t="inlineStr">
        <is>
          <t>Sim</t>
        </is>
      </c>
      <c r="J148" s="13" t="inlineStr"/>
      <c r="K148" s="13" t="inlineStr"/>
      <c r="L148" s="13" t="inlineStr">
        <is>
          <t>Não</t>
        </is>
      </c>
      <c r="M148" s="15" t="inlineStr">
        <is>
          <t>NOTAS FISCAIS DE COMPRA JANEIRO 2026.pdf - p. 147</t>
        </is>
      </c>
    </row>
    <row r="149">
      <c r="A149" s="13" t="n">
        <v>148</v>
      </c>
      <c r="B149" s="13" t="inlineStr">
        <is>
          <t>JAN26-P148</t>
        </is>
      </c>
      <c r="C149" s="13" t="inlineStr">
        <is>
          <t>NF-e</t>
        </is>
      </c>
      <c r="D149" s="13" t="inlineStr">
        <is>
          <t>16028</t>
        </is>
      </c>
      <c r="E149" s="13" t="inlineStr">
        <is>
          <t>RENOVAR INDUSTRIA E COMERCIO DE EMBALAGENS EIRELI</t>
        </is>
      </c>
      <c r="F149" s="16" t="n">
        <v>29892.54</v>
      </c>
      <c r="G149" s="13" t="inlineStr">
        <is>
          <t>Produtos</t>
        </is>
      </c>
      <c r="H149" s="13" t="inlineStr">
        <is>
          <t>Alta</t>
        </is>
      </c>
      <c r="I149" s="13" t="inlineStr">
        <is>
          <t>Sim</t>
        </is>
      </c>
      <c r="J149" s="13" t="inlineStr"/>
      <c r="K149" s="13" t="inlineStr"/>
      <c r="L149" s="13" t="inlineStr">
        <is>
          <t>Não</t>
        </is>
      </c>
      <c r="M149" s="15" t="inlineStr">
        <is>
          <t>NOTAS FISCAIS DE COMPRA JANEIRO 2026.pdf - p. 148</t>
        </is>
      </c>
    </row>
    <row r="150">
      <c r="A150" s="13" t="n">
        <v>149</v>
      </c>
      <c r="B150" s="13" t="inlineStr">
        <is>
          <t>JAN26-P149</t>
        </is>
      </c>
      <c r="C150" s="13" t="inlineStr">
        <is>
          <t>NFCom</t>
        </is>
      </c>
      <c r="D150" s="13" t="inlineStr">
        <is>
          <t>213</t>
        </is>
      </c>
      <c r="E150" s="13" t="inlineStr">
        <is>
          <t>DUO TELECOM LTDA</t>
        </is>
      </c>
      <c r="F150" s="16" t="n">
        <v>300</v>
      </c>
      <c r="G150" s="13" t="inlineStr">
        <is>
          <t>Servicos</t>
        </is>
      </c>
      <c r="H150" s="13" t="inlineStr">
        <is>
          <t>Alta</t>
        </is>
      </c>
      <c r="I150" s="13" t="inlineStr">
        <is>
          <t>Sim</t>
        </is>
      </c>
      <c r="J150" s="13" t="inlineStr"/>
      <c r="K150" s="13" t="inlineStr"/>
      <c r="L150" s="13" t="inlineStr">
        <is>
          <t>Não</t>
        </is>
      </c>
      <c r="M150" s="15" t="inlineStr">
        <is>
          <t>NOTAS FISCAIS DE COMPRA JANEIRO 2026.pdf - p. 149</t>
        </is>
      </c>
    </row>
    <row r="151">
      <c r="A151" s="13" t="n">
        <v>150</v>
      </c>
      <c r="B151" s="13" t="inlineStr">
        <is>
          <t>JAN26-P150</t>
        </is>
      </c>
      <c r="C151" s="13" t="inlineStr">
        <is>
          <t>NF-e</t>
        </is>
      </c>
      <c r="D151" s="13" t="inlineStr">
        <is>
          <t>4834</t>
        </is>
      </c>
      <c r="E151" s="13" t="inlineStr">
        <is>
          <t>ELITE PECAS E MAQUINAS LTDA</t>
        </is>
      </c>
      <c r="F151" s="16" t="n">
        <v>1016.4</v>
      </c>
      <c r="G151" s="13" t="inlineStr">
        <is>
          <t>Produtos</t>
        </is>
      </c>
      <c r="H151" s="13" t="inlineStr">
        <is>
          <t>Alta</t>
        </is>
      </c>
      <c r="I151" s="13" t="inlineStr">
        <is>
          <t>Sim</t>
        </is>
      </c>
      <c r="J151" s="13" t="inlineStr"/>
      <c r="K151" s="13" t="inlineStr"/>
      <c r="L151" s="13" t="inlineStr">
        <is>
          <t>Não</t>
        </is>
      </c>
      <c r="M151" s="15" t="inlineStr">
        <is>
          <t>NOTAS FISCAIS DE COMPRA JANEIRO 2026.pdf - p. 150</t>
        </is>
      </c>
    </row>
    <row r="152">
      <c r="A152" s="13" t="n">
        <v>151</v>
      </c>
      <c r="B152" s="13" t="inlineStr">
        <is>
          <t>JAN26-P151</t>
        </is>
      </c>
      <c r="C152" s="13" t="inlineStr">
        <is>
          <t>Outros/Documento</t>
        </is>
      </c>
      <c r="D152" s="13" t="inlineStr"/>
      <c r="E152" s="13" t="inlineStr">
        <is>
          <t>[lacie rsrr CIAL DE'TRBUTACAG- Ret sa a ontestnas, gh CARGA</t>
        </is>
      </c>
      <c r="F152" s="16" t="n"/>
      <c r="G152" s="13" t="inlineStr">
        <is>
          <t>Apoio</t>
        </is>
      </c>
      <c r="H152" s="13" t="inlineStr">
        <is>
          <t>Baixa</t>
        </is>
      </c>
      <c r="I152" s="13" t="inlineStr">
        <is>
          <t>Não</t>
        </is>
      </c>
      <c r="J152" s="13" t="inlineStr"/>
      <c r="K152" s="13" t="inlineStr"/>
      <c r="L152" s="13" t="inlineStr">
        <is>
          <t>Sim</t>
        </is>
      </c>
      <c r="M152" s="15" t="inlineStr">
        <is>
          <t>NOTAS FISCAIS DE COMPRA JANEIRO 2026.pdf - p. 151</t>
        </is>
      </c>
    </row>
    <row r="153">
      <c r="A153" s="13" t="n">
        <v>152</v>
      </c>
      <c r="B153" s="13" t="inlineStr">
        <is>
          <t>JAN26-P152</t>
        </is>
      </c>
      <c r="C153" s="13" t="inlineStr">
        <is>
          <t>Outros/Documento</t>
        </is>
      </c>
      <c r="D153" s="13" t="inlineStr"/>
      <c r="E153" s="13" t="inlineStr">
        <is>
          <t>| eecomeaciooecaieamouron” | itteca samoue’ | .</t>
        </is>
      </c>
      <c r="F153" s="16" t="n"/>
      <c r="G153" s="13" t="inlineStr">
        <is>
          <t>Apoio</t>
        </is>
      </c>
      <c r="H153" s="13" t="inlineStr">
        <is>
          <t>Baixa</t>
        </is>
      </c>
      <c r="I153" s="13" t="inlineStr">
        <is>
          <t>Não</t>
        </is>
      </c>
      <c r="J153" s="13" t="inlineStr"/>
      <c r="K153" s="13" t="inlineStr"/>
      <c r="L153" s="13" t="inlineStr">
        <is>
          <t>Sim</t>
        </is>
      </c>
      <c r="M153" s="15" t="inlineStr">
        <is>
          <t>NOTAS FISCAIS DE COMPRA JANEIRO 2026.pdf - p. 152</t>
        </is>
      </c>
    </row>
    <row r="154">
      <c r="A154" s="13" t="n">
        <v>153</v>
      </c>
      <c r="B154" s="13" t="inlineStr">
        <is>
          <t>JAN26-P153</t>
        </is>
      </c>
      <c r="C154" s="13" t="inlineStr">
        <is>
          <t>NFS-e</t>
        </is>
      </c>
      <c r="D154" s="13" t="inlineStr">
        <is>
          <t>221</t>
        </is>
      </c>
      <c r="E154" s="13" t="inlineStr">
        <is>
          <t>Valortoiica MEERA) —_Tolabes.cacigtes 3) Deas. Rcandicloando (RH Gune de chieul do MEGN RS) Ally. (hk) Valor do HOON RS)</t>
        </is>
      </c>
      <c r="F154" s="16" t="n">
        <v>35238.7</v>
      </c>
      <c r="G154" s="13" t="inlineStr">
        <is>
          <t>Servicos</t>
        </is>
      </c>
      <c r="H154" s="13" t="inlineStr">
        <is>
          <t>Media</t>
        </is>
      </c>
      <c r="I154" s="13" t="inlineStr">
        <is>
          <t>Não</t>
        </is>
      </c>
      <c r="J154" s="13" t="inlineStr">
        <is>
          <t>P64</t>
        </is>
      </c>
      <c r="K154" s="13" t="inlineStr">
        <is>
          <t>Duplicado exato</t>
        </is>
      </c>
      <c r="L154" s="13" t="inlineStr">
        <is>
          <t>Sim</t>
        </is>
      </c>
      <c r="M154" s="15" t="inlineStr">
        <is>
          <t>NOTAS FISCAIS DE COMPRA JANEIRO 2026.pdf - p. 153</t>
        </is>
      </c>
    </row>
    <row r="155">
      <c r="A155" s="13" t="n">
        <v>154</v>
      </c>
      <c r="B155" s="13" t="inlineStr">
        <is>
          <t>JAN26-P154</t>
        </is>
      </c>
      <c r="C155" s="13" t="inlineStr">
        <is>
          <t>NFS-e</t>
        </is>
      </c>
      <c r="D155" s="13" t="inlineStr">
        <is>
          <t>3992/U</t>
        </is>
      </c>
      <c r="E155" s="13" t="inlineStr">
        <is>
          <t>R F DAS B LEMOS - ME</t>
        </is>
      </c>
      <c r="F155" s="16" t="n">
        <v>751.47</v>
      </c>
      <c r="G155" s="13" t="inlineStr">
        <is>
          <t>Serviços</t>
        </is>
      </c>
      <c r="H155" s="13" t="inlineStr">
        <is>
          <t>Media</t>
        </is>
      </c>
      <c r="I155" s="13" t="inlineStr">
        <is>
          <t>Sim</t>
        </is>
      </c>
      <c r="J155" s="13" t="inlineStr"/>
      <c r="K155" s="13" t="inlineStr"/>
      <c r="L155" s="13" t="inlineStr">
        <is>
          <t>Sim</t>
        </is>
      </c>
      <c r="M155" s="15" t="inlineStr">
        <is>
          <t>NOTAS FISCAIS DE COMPRA JANEIRO 2026.pdf - p. 154</t>
        </is>
      </c>
    </row>
    <row r="156">
      <c r="A156" s="13" t="n">
        <v>155</v>
      </c>
      <c r="B156" s="13" t="inlineStr">
        <is>
          <t>JAN26-P155</t>
        </is>
      </c>
      <c r="C156" s="13" t="inlineStr">
        <is>
          <t>NFS-e</t>
        </is>
      </c>
      <c r="D156" s="13" t="inlineStr"/>
      <c r="E156" s="13" t="inlineStr">
        <is>
          <t>snessonaonene3 ‘KAL ENGENHARIA NUSTRIAE COMERCIOLTOA</t>
        </is>
      </c>
      <c r="F156" s="16" t="n"/>
      <c r="G156" s="13" t="inlineStr">
        <is>
          <t>Servicos</t>
        </is>
      </c>
      <c r="H156" s="13" t="inlineStr">
        <is>
          <t>Baixa</t>
        </is>
      </c>
      <c r="I156" s="13" t="inlineStr">
        <is>
          <t>Revisar</t>
        </is>
      </c>
      <c r="J156" s="13" t="inlineStr"/>
      <c r="K156" s="13" t="inlineStr"/>
      <c r="L156" s="13" t="inlineStr">
        <is>
          <t>Sim</t>
        </is>
      </c>
      <c r="M156" s="15" t="inlineStr">
        <is>
          <t>NOTAS FISCAIS DE COMPRA JANEIRO 2026.pdf - p. 155</t>
        </is>
      </c>
    </row>
    <row r="157">
      <c r="A157" s="13" t="n">
        <v>156</v>
      </c>
      <c r="B157" s="13" t="inlineStr">
        <is>
          <t>JAN26-P156</t>
        </is>
      </c>
      <c r="C157" s="13" t="inlineStr">
        <is>
          <t>NFS-e</t>
        </is>
      </c>
      <c r="D157" s="13" t="inlineStr">
        <is>
          <t>3992/U</t>
        </is>
      </c>
      <c r="E157" s="13" t="inlineStr">
        <is>
          <t>BEER wo reves oro moo PAROLE MHRUNZOUDRAMLOTE AAR meal TREEAPrORASE oa077.60</t>
        </is>
      </c>
      <c r="F157" s="16" t="n">
        <v>751.47</v>
      </c>
      <c r="G157" s="13" t="inlineStr">
        <is>
          <t>Servicos</t>
        </is>
      </c>
      <c r="H157" s="13" t="inlineStr">
        <is>
          <t>Baixa</t>
        </is>
      </c>
      <c r="I157" s="13" t="inlineStr">
        <is>
          <t>Não</t>
        </is>
      </c>
      <c r="J157" s="13" t="inlineStr">
        <is>
          <t>P154</t>
        </is>
      </c>
      <c r="K157" s="13" t="inlineStr">
        <is>
          <t>Duplicado exato</t>
        </is>
      </c>
      <c r="L157" s="13" t="inlineStr">
        <is>
          <t>Sim</t>
        </is>
      </c>
      <c r="M157" s="15" t="inlineStr">
        <is>
          <t>NOTAS FISCAIS DE COMPRA JANEIRO 2026.pdf - p. 156</t>
        </is>
      </c>
    </row>
    <row r="158">
      <c r="A158" s="13" t="n">
        <v>157</v>
      </c>
      <c r="B158" s="13" t="inlineStr">
        <is>
          <t>JAN26-P157</t>
        </is>
      </c>
      <c r="C158" s="13" t="inlineStr">
        <is>
          <t>NFS-e</t>
        </is>
      </c>
      <c r="D158" s="13" t="inlineStr">
        <is>
          <t>154628/U</t>
        </is>
      </c>
      <c r="E158" s="13" t="inlineStr">
        <is>
          <t>NATUS AMBIENTAL LTDA</t>
        </is>
      </c>
      <c r="F158" s="16" t="n">
        <v>1265.53</v>
      </c>
      <c r="G158" s="13" t="inlineStr">
        <is>
          <t>Serviços</t>
        </is>
      </c>
      <c r="H158" s="13" t="inlineStr">
        <is>
          <t>Baixa</t>
        </is>
      </c>
      <c r="I158" s="13" t="inlineStr">
        <is>
          <t>Sim</t>
        </is>
      </c>
      <c r="J158" s="13" t="inlineStr"/>
      <c r="K158" s="13" t="inlineStr"/>
      <c r="L158" s="13" t="inlineStr">
        <is>
          <t>Sim</t>
        </is>
      </c>
      <c r="M158" s="15" t="inlineStr">
        <is>
          <t>NOTAS FISCAIS DE COMPRA JANEIRO 2026.pdf - p. 157</t>
        </is>
      </c>
    </row>
    <row r="159">
      <c r="A159" s="13" t="n">
        <v>158</v>
      </c>
      <c r="B159" s="13" t="inlineStr">
        <is>
          <t>JAN26-P158</t>
        </is>
      </c>
      <c r="C159" s="13" t="inlineStr">
        <is>
          <t>NFS-e</t>
        </is>
      </c>
      <c r="D159" s="13" t="inlineStr">
        <is>
          <t>154627/U</t>
        </is>
      </c>
      <c r="E159" s="13" t="inlineStr">
        <is>
          <t>NATUS AMBIENTAL LTDA</t>
        </is>
      </c>
      <c r="F159" s="16" t="n">
        <v>250.57</v>
      </c>
      <c r="G159" s="13" t="inlineStr">
        <is>
          <t>Serviços</t>
        </is>
      </c>
      <c r="H159" s="13" t="inlineStr">
        <is>
          <t>Media</t>
        </is>
      </c>
      <c r="I159" s="13" t="inlineStr">
        <is>
          <t>Sim</t>
        </is>
      </c>
      <c r="J159" s="13" t="inlineStr"/>
      <c r="K159" s="13" t="inlineStr"/>
      <c r="L159" s="13" t="inlineStr">
        <is>
          <t>Sim</t>
        </is>
      </c>
      <c r="M159" s="15" t="inlineStr">
        <is>
          <t>NOTAS FISCAIS DE COMPRA JANEIRO 2026.pdf - p. 158</t>
        </is>
      </c>
    </row>
    <row r="160">
      <c r="A160" s="13" t="n">
        <v>159</v>
      </c>
      <c r="B160" s="13" t="inlineStr">
        <is>
          <t>JAN26-P159</t>
        </is>
      </c>
      <c r="C160" s="13" t="inlineStr">
        <is>
          <t>NFS-e</t>
        </is>
      </c>
      <c r="D160" s="13" t="inlineStr">
        <is>
          <t>21</t>
        </is>
      </c>
      <c r="E160" s="13" t="inlineStr">
        <is>
          <t>24.870.571 JORGE GUILHERME COSTA FERREIRA</t>
        </is>
      </c>
      <c r="F160" s="16" t="n">
        <v>7000</v>
      </c>
      <c r="G160" s="13" t="inlineStr">
        <is>
          <t>Serviços</t>
        </is>
      </c>
      <c r="H160" s="13" t="inlineStr">
        <is>
          <t>Baixa</t>
        </is>
      </c>
      <c r="I160" s="13" t="inlineStr">
        <is>
          <t>Sim</t>
        </is>
      </c>
      <c r="J160" s="13" t="inlineStr"/>
      <c r="K160" s="13" t="inlineStr"/>
      <c r="L160" s="13" t="inlineStr">
        <is>
          <t>Sim</t>
        </is>
      </c>
      <c r="M160" s="15" t="inlineStr">
        <is>
          <t>NOTAS FISCAIS DE COMPRA JANEIRO 2026.pdf - p. 159</t>
        </is>
      </c>
    </row>
    <row r="161">
      <c r="A161" s="13" t="n">
        <v>160</v>
      </c>
      <c r="B161" s="13" t="inlineStr">
        <is>
          <t>JAN26-P160</t>
        </is>
      </c>
      <c r="C161" s="13" t="inlineStr">
        <is>
          <t>Boleto/Financeiro</t>
        </is>
      </c>
      <c r="D161" s="13" t="inlineStr"/>
      <c r="E161" s="13" t="inlineStr">
        <is>
          <t>petctinte mentors Aas ergnn tote Hheoo Documenio Valor RS So</t>
        </is>
      </c>
      <c r="F161" s="16" t="n"/>
      <c r="G161" s="13" t="inlineStr">
        <is>
          <t>Apoio</t>
        </is>
      </c>
      <c r="H161" s="13" t="inlineStr">
        <is>
          <t>Baixa</t>
        </is>
      </c>
      <c r="I161" s="13" t="inlineStr">
        <is>
          <t>Não</t>
        </is>
      </c>
      <c r="J161" s="13" t="inlineStr"/>
      <c r="K161" s="13" t="inlineStr"/>
      <c r="L161" s="13" t="inlineStr">
        <is>
          <t>Sim</t>
        </is>
      </c>
      <c r="M161" s="15" t="inlineStr">
        <is>
          <t>NOTAS FISCAIS DE COMPRA JANEIRO 2026.pdf - p. 160</t>
        </is>
      </c>
    </row>
    <row r="162">
      <c r="A162" s="13" t="n">
        <v>161</v>
      </c>
      <c r="B162" s="13" t="inlineStr">
        <is>
          <t>JAN26-P161</t>
        </is>
      </c>
      <c r="C162" s="13" t="inlineStr">
        <is>
          <t>NFCom</t>
        </is>
      </c>
      <c r="D162" s="13" t="inlineStr">
        <is>
          <t>21</t>
        </is>
      </c>
      <c r="E162" s="13" t="inlineStr">
        <is>
          <t>AREA CONTRIBUTENTE: MENSAGENS PRIORITARIAS / AVISOS AO CONSUMIDOR .</t>
        </is>
      </c>
      <c r="F162" s="16" t="n">
        <v>900</v>
      </c>
      <c r="G162" s="13" t="inlineStr">
        <is>
          <t>Servicos</t>
        </is>
      </c>
      <c r="H162" s="13" t="inlineStr">
        <is>
          <t>Alta</t>
        </is>
      </c>
      <c r="I162" s="13" t="inlineStr">
        <is>
          <t>Sim</t>
        </is>
      </c>
      <c r="J162" s="13" t="inlineStr"/>
      <c r="K162" s="13" t="inlineStr"/>
      <c r="L162" s="13" t="inlineStr">
        <is>
          <t>Não</t>
        </is>
      </c>
      <c r="M162" s="15" t="inlineStr">
        <is>
          <t>NOTAS FISCAIS DE COMPRA JANEIRO 2026.pdf - p. 161</t>
        </is>
      </c>
    </row>
    <row r="163">
      <c r="A163" s="13" t="n">
        <v>162</v>
      </c>
      <c r="B163" s="13" t="inlineStr">
        <is>
          <t>JAN26-P162</t>
        </is>
      </c>
      <c r="C163" s="13" t="inlineStr">
        <is>
          <t>NFS-e</t>
        </is>
      </c>
      <c r="D163" s="13" t="inlineStr"/>
      <c r="E163" s="13" t="inlineStr">
        <is>
          <t>[:-Xasmceac cons has anspor car seiniano om moet uaa cupwbr ma eka cusp ovo</t>
        </is>
      </c>
      <c r="F163" s="16" t="n"/>
      <c r="G163" s="13" t="inlineStr">
        <is>
          <t>Servicos</t>
        </is>
      </c>
      <c r="H163" s="13" t="inlineStr">
        <is>
          <t>Baixa</t>
        </is>
      </c>
      <c r="I163" s="13" t="inlineStr">
        <is>
          <t>Revisar</t>
        </is>
      </c>
      <c r="J163" s="13" t="inlineStr"/>
      <c r="K163" s="13" t="inlineStr"/>
      <c r="L163" s="13" t="inlineStr">
        <is>
          <t>Sim</t>
        </is>
      </c>
      <c r="M163" s="15" t="inlineStr">
        <is>
          <t>NOTAS FISCAIS DE COMPRA JANEIRO 2026.pdf - p. 162</t>
        </is>
      </c>
    </row>
    <row r="164">
      <c r="A164" s="13" t="n">
        <v>163</v>
      </c>
      <c r="B164" s="13" t="inlineStr">
        <is>
          <t>JAN26-P163</t>
        </is>
      </c>
      <c r="C164" s="13" t="inlineStr">
        <is>
          <t>NFS-e</t>
        </is>
      </c>
      <c r="D164" s="13" t="inlineStr"/>
      <c r="E164" s="13" t="inlineStr">
        <is>
          <t>PORTARIA HOMES DE OEZEMBRO DE 2026, LOCADOS EM TERESINA,</t>
        </is>
      </c>
      <c r="F164" s="16" t="n"/>
      <c r="G164" s="13" t="inlineStr">
        <is>
          <t>Servicos</t>
        </is>
      </c>
      <c r="H164" s="13" t="inlineStr">
        <is>
          <t>Baixa</t>
        </is>
      </c>
      <c r="I164" s="13" t="inlineStr">
        <is>
          <t>Revisar</t>
        </is>
      </c>
      <c r="J164" s="13" t="inlineStr"/>
      <c r="K164" s="13" t="inlineStr"/>
      <c r="L164" s="13" t="inlineStr">
        <is>
          <t>Sim</t>
        </is>
      </c>
      <c r="M164" s="15" t="inlineStr">
        <is>
          <t>NOTAS FISCAIS DE COMPRA JANEIRO 2026.pdf - p. 163</t>
        </is>
      </c>
    </row>
    <row r="165">
      <c r="A165" s="13" t="n">
        <v>164</v>
      </c>
      <c r="B165" s="13" t="inlineStr">
        <is>
          <t>JAN26-P164</t>
        </is>
      </c>
      <c r="C165" s="13" t="inlineStr">
        <is>
          <t>NFS-e</t>
        </is>
      </c>
      <c r="D165" s="13" t="inlineStr"/>
      <c r="E165" s="13" t="inlineStr">
        <is>
          <t>[FRESTAGKO DE SERVICO FINAIS DE SEMANA E FERIADOS REFERENTE AO UES DE DEZENGRO OF 725, LOCADOS EM TERI Sar |</t>
        </is>
      </c>
      <c r="F165" s="16" t="n"/>
      <c r="G165" s="13" t="inlineStr">
        <is>
          <t>Servicos</t>
        </is>
      </c>
      <c r="H165" s="13" t="inlineStr">
        <is>
          <t>Baixa</t>
        </is>
      </c>
      <c r="I165" s="13" t="inlineStr">
        <is>
          <t>Revisar</t>
        </is>
      </c>
      <c r="J165" s="13" t="inlineStr"/>
      <c r="K165" s="13" t="inlineStr"/>
      <c r="L165" s="13" t="inlineStr">
        <is>
          <t>Sim</t>
        </is>
      </c>
      <c r="M165" s="15" t="inlineStr">
        <is>
          <t>NOTAS FISCAIS DE COMPRA JANEIRO 2026.pdf - p. 164</t>
        </is>
      </c>
    </row>
    <row r="166">
      <c r="A166" s="13" t="n">
        <v>165</v>
      </c>
      <c r="B166" s="13" t="inlineStr">
        <is>
          <t>JAN26-P165</t>
        </is>
      </c>
      <c r="C166" s="13" t="inlineStr">
        <is>
          <t>NFS-e</t>
        </is>
      </c>
      <c r="D166" s="13" t="inlineStr">
        <is>
          <t>167</t>
        </is>
      </c>
      <c r="E166" s="13" t="inlineStr">
        <is>
          <t>fixengiodo 650M Stage do preetador do sani pera o SimelenHecisnm ein copia do bibwigbe do OS</t>
        </is>
      </c>
      <c r="F166" s="16" t="n">
        <v>8175</v>
      </c>
      <c r="G166" s="13" t="inlineStr">
        <is>
          <t>Servicos</t>
        </is>
      </c>
      <c r="H166" s="13" t="inlineStr">
        <is>
          <t>Media</t>
        </is>
      </c>
      <c r="I166" s="13" t="inlineStr">
        <is>
          <t>Não</t>
        </is>
      </c>
      <c r="J166" s="13" t="inlineStr">
        <is>
          <t>P131</t>
        </is>
      </c>
      <c r="K166" s="13" t="inlineStr">
        <is>
          <t>Duplicado exato</t>
        </is>
      </c>
      <c r="L166" s="13" t="inlineStr">
        <is>
          <t>Sim</t>
        </is>
      </c>
      <c r="M166" s="15" t="inlineStr">
        <is>
          <t>NOTAS FISCAIS DE COMPRA JANEIRO 2026.pdf - p. 165</t>
        </is>
      </c>
    </row>
    <row r="167">
      <c r="A167" s="13" t="n">
        <v>166</v>
      </c>
      <c r="B167" s="13" t="inlineStr">
        <is>
          <t>JAN26-P166</t>
        </is>
      </c>
      <c r="C167" s="13" t="inlineStr">
        <is>
          <t>NFS-e</t>
        </is>
      </c>
      <c r="D167" s="13" t="inlineStr">
        <is>
          <t>166</t>
        </is>
      </c>
      <c r="E167" s="13" t="inlineStr">
        <is>
          <t>DalzedoredeenisaBo — Compettincts = Mimoroférit ‘Sseenac Sa os pond</t>
        </is>
      </c>
      <c r="F167" s="16" t="n">
        <v>8175</v>
      </c>
      <c r="G167" s="13" t="inlineStr">
        <is>
          <t>Servicos</t>
        </is>
      </c>
      <c r="H167" s="13" t="inlineStr">
        <is>
          <t>Baixa</t>
        </is>
      </c>
      <c r="I167" s="13" t="inlineStr">
        <is>
          <t>Não</t>
        </is>
      </c>
      <c r="J167" s="13" t="inlineStr">
        <is>
          <t>P132</t>
        </is>
      </c>
      <c r="K167" s="13" t="inlineStr">
        <is>
          <t>Duplicado exato</t>
        </is>
      </c>
      <c r="L167" s="13" t="inlineStr">
        <is>
          <t>Sim</t>
        </is>
      </c>
      <c r="M167" s="15" t="inlineStr">
        <is>
          <t>NOTAS FISCAIS DE COMPRA JANEIRO 2026.pdf - p. 166</t>
        </is>
      </c>
    </row>
    <row r="168">
      <c r="A168" s="13" t="n">
        <v>167</v>
      </c>
      <c r="B168" s="13" t="inlineStr">
        <is>
          <t>JAN26-P167</t>
        </is>
      </c>
      <c r="C168" s="13" t="inlineStr">
        <is>
          <t>NF-e</t>
        </is>
      </c>
      <c r="D168" s="13" t="inlineStr"/>
      <c r="E168" s="13" t="inlineStr">
        <is>
          <t>TERESINA MANGUEIRAS E PARAFUSOS LTDA Emernde: @ (2226 OLST 9764 7780 0124 5508 100N ONST 9515 2IBE E846</t>
        </is>
      </c>
      <c r="F168" s="16" t="n"/>
      <c r="G168" s="13" t="inlineStr">
        <is>
          <t>Produtos</t>
        </is>
      </c>
      <c r="H168" s="13" t="inlineStr">
        <is>
          <t>Baixa</t>
        </is>
      </c>
      <c r="I168" s="13" t="inlineStr">
        <is>
          <t>Revisar</t>
        </is>
      </c>
      <c r="J168" s="13" t="inlineStr"/>
      <c r="K168" s="13" t="inlineStr"/>
      <c r="L168" s="13" t="inlineStr">
        <is>
          <t>Sim</t>
        </is>
      </c>
      <c r="M168" s="15" t="inlineStr">
        <is>
          <t>NOTAS FISCAIS DE COMPRA JANEIRO 2026.pdf - p. 167</t>
        </is>
      </c>
    </row>
    <row r="169">
      <c r="A169" s="13" t="n">
        <v>168</v>
      </c>
      <c r="B169" s="13" t="inlineStr">
        <is>
          <t>JAN26-P168</t>
        </is>
      </c>
      <c r="C169" s="13" t="inlineStr">
        <is>
          <t>Outros/Documento</t>
        </is>
      </c>
      <c r="D169" s="13" t="inlineStr"/>
      <c r="E169" s="13" t="inlineStr">
        <is>
          <t>Pre cians ag EE gf IEE ggg [NBR [ MeO |</t>
        </is>
      </c>
      <c r="F169" s="16" t="n"/>
      <c r="G169" s="13" t="inlineStr">
        <is>
          <t>Apoio</t>
        </is>
      </c>
      <c r="H169" s="13" t="inlineStr">
        <is>
          <t>Baixa</t>
        </is>
      </c>
      <c r="I169" s="13" t="inlineStr">
        <is>
          <t>Não</t>
        </is>
      </c>
      <c r="J169" s="13" t="inlineStr"/>
      <c r="K169" s="13" t="inlineStr"/>
      <c r="L169" s="13" t="inlineStr">
        <is>
          <t>Sim</t>
        </is>
      </c>
      <c r="M169" s="15" t="inlineStr">
        <is>
          <t>NOTAS FISCAIS DE COMPRA JANEIRO 2026.pdf - p. 168</t>
        </is>
      </c>
    </row>
    <row r="170">
      <c r="A170" s="13" t="n">
        <v>169</v>
      </c>
      <c r="B170" s="13" t="inlineStr">
        <is>
          <t>JAN26-P169</t>
        </is>
      </c>
      <c r="C170" s="13" t="inlineStr">
        <is>
          <t>NFS-e</t>
        </is>
      </c>
      <c r="D170" s="13" t="inlineStr"/>
      <c r="E170" s="13" t="inlineStr">
        <is>
          <t>IV WHISOM ROSADO DE SA, 9, KM 412. BALA0S, AEROPORTO —-MOBSORO. RN 50607-260</t>
        </is>
      </c>
      <c r="F170" s="16" t="n"/>
      <c r="G170" s="13" t="inlineStr">
        <is>
          <t>Servicos</t>
        </is>
      </c>
      <c r="H170" s="13" t="inlineStr">
        <is>
          <t>Baixa</t>
        </is>
      </c>
      <c r="I170" s="13" t="inlineStr">
        <is>
          <t>Revisar</t>
        </is>
      </c>
      <c r="J170" s="13" t="inlineStr"/>
      <c r="K170" s="13" t="inlineStr"/>
      <c r="L170" s="13" t="inlineStr">
        <is>
          <t>Sim</t>
        </is>
      </c>
      <c r="M170" s="15" t="inlineStr">
        <is>
          <t>NOTAS FISCAIS DE COMPRA JANEIRO 2026.pdf - p. 169</t>
        </is>
      </c>
    </row>
    <row r="171">
      <c r="A171" s="13" t="n">
        <v>170</v>
      </c>
      <c r="B171" s="13" t="inlineStr">
        <is>
          <t>JAN26-P170</t>
        </is>
      </c>
      <c r="C171" s="13" t="inlineStr">
        <is>
          <t>Outros/Documento</t>
        </is>
      </c>
      <c r="D171" s="13" t="inlineStr"/>
      <c r="E171" s="13" t="inlineStr">
        <is>
          <t>PSOE PRES BUSTA DE GOMEREID LTDA care anon</t>
        </is>
      </c>
      <c r="F171" s="16" t="n"/>
      <c r="G171" s="13" t="inlineStr">
        <is>
          <t>Apoio</t>
        </is>
      </c>
      <c r="H171" s="13" t="inlineStr">
        <is>
          <t>Baixa</t>
        </is>
      </c>
      <c r="I171" s="13" t="inlineStr">
        <is>
          <t>Não</t>
        </is>
      </c>
      <c r="J171" s="13" t="inlineStr"/>
      <c r="K171" s="13" t="inlineStr"/>
      <c r="L171" s="13" t="inlineStr">
        <is>
          <t>Sim</t>
        </is>
      </c>
      <c r="M171" s="15" t="inlineStr">
        <is>
          <t>NOTAS FISCAIS DE COMPRA JANEIRO 2026.pdf - p. 170</t>
        </is>
      </c>
    </row>
    <row r="172">
      <c r="A172" s="13" t="n">
        <v>171</v>
      </c>
      <c r="B172" s="13" t="inlineStr">
        <is>
          <t>JAN26-P171</t>
        </is>
      </c>
      <c r="C172" s="13" t="inlineStr">
        <is>
          <t>Outros/Documento</t>
        </is>
      </c>
      <c r="D172" s="13" t="inlineStr"/>
      <c r="E172" s="13" t="inlineStr">
        <is>
          <t>Sica ENGENIIARIA IND E COMERCIO LTDA [Fissenssooon.sy [Su 1aae</t>
        </is>
      </c>
      <c r="F172" s="16" t="n"/>
      <c r="G172" s="13" t="inlineStr">
        <is>
          <t>Apoio</t>
        </is>
      </c>
      <c r="H172" s="13" t="inlineStr">
        <is>
          <t>Baixa</t>
        </is>
      </c>
      <c r="I172" s="13" t="inlineStr">
        <is>
          <t>Não</t>
        </is>
      </c>
      <c r="J172" s="13" t="inlineStr"/>
      <c r="K172" s="13" t="inlineStr"/>
      <c r="L172" s="13" t="inlineStr">
        <is>
          <t>Sim</t>
        </is>
      </c>
      <c r="M172" s="15" t="inlineStr">
        <is>
          <t>NOTAS FISCAIS DE COMPRA JANEIRO 2026.pdf - p. 171</t>
        </is>
      </c>
    </row>
    <row r="173">
      <c r="A173" s="13" t="n">
        <v>172</v>
      </c>
      <c r="B173" s="13" t="inlineStr">
        <is>
          <t>JAN26-P172</t>
        </is>
      </c>
      <c r="C173" s="13" t="inlineStr">
        <is>
          <t>Outros/Documento</t>
        </is>
      </c>
      <c r="D173" s="13" t="inlineStr"/>
      <c r="E173" s="13" t="inlineStr">
        <is>
          <t>VENDA DE MERCADORIA ABOUIRIDA SrzeOnLteI28 FDINET TRIES</t>
        </is>
      </c>
      <c r="F173" s="16" t="n"/>
      <c r="G173" s="13" t="inlineStr">
        <is>
          <t>Apoio</t>
        </is>
      </c>
      <c r="H173" s="13" t="inlineStr">
        <is>
          <t>Media</t>
        </is>
      </c>
      <c r="I173" s="13" t="inlineStr">
        <is>
          <t>Não</t>
        </is>
      </c>
      <c r="J173" s="13" t="inlineStr"/>
      <c r="K173" s="13" t="inlineStr"/>
      <c r="L173" s="13" t="inlineStr">
        <is>
          <t>Sim</t>
        </is>
      </c>
      <c r="M173" s="15" t="inlineStr">
        <is>
          <t>NOTAS FISCAIS DE COMPRA JANEIRO 2026.pdf - p. 172</t>
        </is>
      </c>
    </row>
    <row r="174">
      <c r="A174" s="13" t="n">
        <v>173</v>
      </c>
      <c r="B174" s="13" t="inlineStr">
        <is>
          <t>JAN26-P173</t>
        </is>
      </c>
      <c r="C174" s="13" t="inlineStr">
        <is>
          <t>Outros/Documento</t>
        </is>
      </c>
      <c r="D174" s="13" t="inlineStr"/>
      <c r="E174" s="13" t="inlineStr">
        <is>
          <t>[FNOERECL AVENIDA SAO FRANCISCO, 4000/D - EXTREMA- TERESINA - PI - 64076-450</t>
        </is>
      </c>
      <c r="F174" s="16" t="n"/>
      <c r="G174" s="13" t="inlineStr">
        <is>
          <t>Apoio</t>
        </is>
      </c>
      <c r="H174" s="13" t="inlineStr">
        <is>
          <t>Baixa</t>
        </is>
      </c>
      <c r="I174" s="13" t="inlineStr">
        <is>
          <t>Não</t>
        </is>
      </c>
      <c r="J174" s="13" t="inlineStr"/>
      <c r="K174" s="13" t="inlineStr"/>
      <c r="L174" s="13" t="inlineStr">
        <is>
          <t>Sim</t>
        </is>
      </c>
      <c r="M174" s="15" t="inlineStr">
        <is>
          <t>NOTAS FISCAIS DE COMPRA JANEIRO 2026.pdf - p. 173</t>
        </is>
      </c>
    </row>
    <row r="175">
      <c r="A175" s="13" t="n">
        <v>174</v>
      </c>
      <c r="B175" s="13" t="inlineStr">
        <is>
          <t>JAN26-P174</t>
        </is>
      </c>
      <c r="C175" s="13" t="inlineStr">
        <is>
          <t>NFS-e</t>
        </is>
      </c>
      <c r="D175" s="13" t="inlineStr">
        <is>
          <t>242/U</t>
        </is>
      </c>
      <c r="E175" s="13" t="inlineStr">
        <is>
          <t>BOA VISTA AUTO ELETRICA LTDA</t>
        </is>
      </c>
      <c r="F175" s="16" t="n">
        <v>1426</v>
      </c>
      <c r="G175" s="13" t="inlineStr">
        <is>
          <t>Serviços</t>
        </is>
      </c>
      <c r="H175" s="13" t="inlineStr">
        <is>
          <t>Baixa</t>
        </is>
      </c>
      <c r="I175" s="13" t="inlineStr">
        <is>
          <t>Sim</t>
        </is>
      </c>
      <c r="J175" s="13" t="inlineStr"/>
      <c r="K175" s="13" t="inlineStr"/>
      <c r="L175" s="13" t="inlineStr">
        <is>
          <t>Sim</t>
        </is>
      </c>
      <c r="M175" s="15" t="inlineStr">
        <is>
          <t>NOTAS FISCAIS DE COMPRA JANEIRO 2026.pdf - p. 174</t>
        </is>
      </c>
    </row>
    <row r="176">
      <c r="A176" s="13" t="n">
        <v>175</v>
      </c>
      <c r="B176" s="13" t="inlineStr">
        <is>
          <t>JAN26-P175</t>
        </is>
      </c>
      <c r="C176" s="13" t="inlineStr">
        <is>
          <t>NFS-e</t>
        </is>
      </c>
      <c r="D176" s="13" t="inlineStr"/>
      <c r="E176" s="13" t="inlineStr">
        <is>
          <t>£620-008-00- SERVICOS DE MANUTENCAQ E REPARACAD ELETRICA OE VENCULOS AUTOMOTORES.</t>
        </is>
      </c>
      <c r="F176" s="16" t="n"/>
      <c r="G176" s="13" t="inlineStr">
        <is>
          <t>Servicos</t>
        </is>
      </c>
      <c r="H176" s="13" t="inlineStr">
        <is>
          <t>Baixa</t>
        </is>
      </c>
      <c r="I176" s="13" t="inlineStr">
        <is>
          <t>Revisar</t>
        </is>
      </c>
      <c r="J176" s="13" t="inlineStr"/>
      <c r="K176" s="13" t="inlineStr"/>
      <c r="L176" s="13" t="inlineStr">
        <is>
          <t>Sim</t>
        </is>
      </c>
      <c r="M176" s="15" t="inlineStr">
        <is>
          <t>NOTAS FISCAIS DE COMPRA JANEIRO 2026.pdf - p. 175</t>
        </is>
      </c>
    </row>
    <row r="177">
      <c r="A177" s="13" t="n">
        <v>176</v>
      </c>
      <c r="B177" s="13" t="inlineStr">
        <is>
          <t>JAN26-P176</t>
        </is>
      </c>
      <c r="C177" s="13" t="inlineStr">
        <is>
          <t>Outros/Documento</t>
        </is>
      </c>
      <c r="D177" s="13" t="inlineStr"/>
      <c r="E177" s="13" t="inlineStr">
        <is>
          <t>FORAEGEDORA CAMINHOER COMERCHO E SERVIC _— —_ at</t>
        </is>
      </c>
      <c r="F177" s="16" t="n"/>
      <c r="G177" s="13" t="inlineStr">
        <is>
          <t>Apoio</t>
        </is>
      </c>
      <c r="H177" s="13" t="inlineStr">
        <is>
          <t>Baixa</t>
        </is>
      </c>
      <c r="I177" s="13" t="inlineStr">
        <is>
          <t>Não</t>
        </is>
      </c>
      <c r="J177" s="13" t="inlineStr"/>
      <c r="K177" s="13" t="inlineStr"/>
      <c r="L177" s="13" t="inlineStr">
        <is>
          <t>Sim</t>
        </is>
      </c>
      <c r="M177" s="15" t="inlineStr">
        <is>
          <t>NOTAS FISCAIS DE COMPRA JANEIRO 2026.pdf - p. 176</t>
        </is>
      </c>
    </row>
    <row r="178">
      <c r="A178" s="13" t="n">
        <v>177</v>
      </c>
      <c r="B178" s="13" t="inlineStr">
        <is>
          <t>JAN26-P177</t>
        </is>
      </c>
      <c r="C178" s="13" t="inlineStr">
        <is>
          <t>NF-e</t>
        </is>
      </c>
      <c r="D178" s="13" t="inlineStr"/>
      <c r="E178" s="13" t="inlineStr">
        <is>
          <t>|AVENFDA SAG FRANCISCO - N.4000 EXTREMA GAVAGE] _2VOU2026</t>
        </is>
      </c>
      <c r="F178" s="16" t="n"/>
      <c r="G178" s="13" t="inlineStr">
        <is>
          <t>Produtos</t>
        </is>
      </c>
      <c r="H178" s="13" t="inlineStr">
        <is>
          <t>Baixa</t>
        </is>
      </c>
      <c r="I178" s="13" t="inlineStr">
        <is>
          <t>Revisar</t>
        </is>
      </c>
      <c r="J178" s="13" t="inlineStr"/>
      <c r="K178" s="13" t="inlineStr"/>
      <c r="L178" s="13" t="inlineStr">
        <is>
          <t>Sim</t>
        </is>
      </c>
      <c r="M178" s="15" t="inlineStr">
        <is>
          <t>NOTAS FISCAIS DE COMPRA JANEIRO 2026.pdf - p. 177</t>
        </is>
      </c>
    </row>
    <row r="179">
      <c r="A179" s="13" t="n">
        <v>178</v>
      </c>
      <c r="B179" s="13" t="inlineStr">
        <is>
          <t>JAN26-P178</t>
        </is>
      </c>
      <c r="C179" s="13" t="inlineStr">
        <is>
          <t>NF-e</t>
        </is>
      </c>
      <c r="D179" s="13" t="inlineStr"/>
      <c r="E179" s="13" t="inlineStr">
        <is>
          <t>Folha 1d t www le lazenda.gevib/poral ox no bie Ga Safar Autorizadora</t>
        </is>
      </c>
      <c r="F179" s="16" t="n"/>
      <c r="G179" s="13" t="inlineStr">
        <is>
          <t>Produtos</t>
        </is>
      </c>
      <c r="H179" s="13" t="inlineStr">
        <is>
          <t>Baixa</t>
        </is>
      </c>
      <c r="I179" s="13" t="inlineStr">
        <is>
          <t>Revisar</t>
        </is>
      </c>
      <c r="J179" s="13" t="inlineStr"/>
      <c r="K179" s="13" t="inlineStr"/>
      <c r="L179" s="13" t="inlineStr">
        <is>
          <t>Sim</t>
        </is>
      </c>
      <c r="M179" s="15" t="inlineStr">
        <is>
          <t>NOTAS FISCAIS DE COMPRA JANEIRO 2026.pdf - p. 178</t>
        </is>
      </c>
    </row>
    <row r="180">
      <c r="A180" s="13" t="n">
        <v>179</v>
      </c>
      <c r="B180" s="13" t="inlineStr">
        <is>
          <t>JAN26-P179</t>
        </is>
      </c>
      <c r="C180" s="13" t="inlineStr">
        <is>
          <t>Outros/Documento</t>
        </is>
      </c>
      <c r="D180" s="13" t="inlineStr"/>
      <c r="E180" s="13" t="inlineStr">
        <is>
          <t>SRAL ENGENEARIAINDUSTRIA E COMERGIO LTDA. Enancet crupokatingymelicom</t>
        </is>
      </c>
      <c r="F180" s="16" t="n"/>
      <c r="G180" s="13" t="inlineStr">
        <is>
          <t>Apoio</t>
        </is>
      </c>
      <c r="H180" s="13" t="inlineStr">
        <is>
          <t>Baixa</t>
        </is>
      </c>
      <c r="I180" s="13" t="inlineStr">
        <is>
          <t>Não</t>
        </is>
      </c>
      <c r="J180" s="13" t="inlineStr"/>
      <c r="K180" s="13" t="inlineStr"/>
      <c r="L180" s="13" t="inlineStr">
        <is>
          <t>Sim</t>
        </is>
      </c>
      <c r="M180" s="15" t="inlineStr">
        <is>
          <t>NOTAS FISCAIS DE COMPRA JANEIRO 2026.pdf - p. 179</t>
        </is>
      </c>
    </row>
    <row r="181">
      <c r="A181" s="13" t="n">
        <v>180</v>
      </c>
      <c r="B181" s="13" t="inlineStr">
        <is>
          <t>JAN26-P180</t>
        </is>
      </c>
      <c r="C181" s="13" t="inlineStr">
        <is>
          <t>NF-e</t>
        </is>
      </c>
      <c r="D181" s="13" t="inlineStr"/>
      <c r="E181" s="13" t="inlineStr">
        <is>
          <t>Futssuo gets Vlum TOPS DIFTSATOND: Sal PROELARA INDE COMM REIDT Fon” WA So TRANCE TRIS a NFee</t>
        </is>
      </c>
      <c r="F181" s="16" t="n"/>
      <c r="G181" s="13" t="inlineStr">
        <is>
          <t>Produtos</t>
        </is>
      </c>
      <c r="H181" s="13" t="inlineStr">
        <is>
          <t>Baixa</t>
        </is>
      </c>
      <c r="I181" s="13" t="inlineStr">
        <is>
          <t>Revisar</t>
        </is>
      </c>
      <c r="J181" s="13" t="inlineStr"/>
      <c r="K181" s="13" t="inlineStr"/>
      <c r="L181" s="13" t="inlineStr">
        <is>
          <t>Sim</t>
        </is>
      </c>
      <c r="M181" s="15" t="inlineStr">
        <is>
          <t>NOTAS FISCAIS DE COMPRA JANEIRO 2026.pdf - p. 180</t>
        </is>
      </c>
    </row>
    <row r="182">
      <c r="A182" s="13" t="n">
        <v>181</v>
      </c>
      <c r="B182" s="13" t="inlineStr">
        <is>
          <t>JAN26-P181</t>
        </is>
      </c>
      <c r="C182" s="13" t="inlineStr">
        <is>
          <t>NF-e</t>
        </is>
      </c>
      <c r="D182" s="13" t="inlineStr"/>
      <c r="E182" s="13" t="inlineStr">
        <is>
          <t>IAVENIDA SAO FRANCISCO - N 4000 EXTREMA inr202</t>
        </is>
      </c>
      <c r="F182" s="16" t="n"/>
      <c r="G182" s="13" t="inlineStr">
        <is>
          <t>Produtos</t>
        </is>
      </c>
      <c r="H182" s="13" t="inlineStr">
        <is>
          <t>Baixa</t>
        </is>
      </c>
      <c r="I182" s="13" t="inlineStr">
        <is>
          <t>Revisar</t>
        </is>
      </c>
      <c r="J182" s="13" t="inlineStr"/>
      <c r="K182" s="13" t="inlineStr"/>
      <c r="L182" s="13" t="inlineStr">
        <is>
          <t>Sim</t>
        </is>
      </c>
      <c r="M182" s="15" t="inlineStr">
        <is>
          <t>NOTAS FISCAIS DE COMPRA JANEIRO 2026.pdf - p. 181</t>
        </is>
      </c>
    </row>
    <row r="183">
      <c r="A183" s="13" t="n">
        <v>182</v>
      </c>
      <c r="B183" s="13" t="inlineStr">
        <is>
          <t>JAN26-P182</t>
        </is>
      </c>
      <c r="C183" s="13" t="inlineStr">
        <is>
          <t>NF-e</t>
        </is>
      </c>
      <c r="D183" s="13" t="inlineStr"/>
      <c r="E183" s="13" t="inlineStr">
        <is>
          <t>RVENIDA SAO FRANCESCO -W 4000 BRT ‘iore.as0| sun uains</t>
        </is>
      </c>
      <c r="F183" s="16" t="n"/>
      <c r="G183" s="13" t="inlineStr">
        <is>
          <t>Produtos</t>
        </is>
      </c>
      <c r="H183" s="13" t="inlineStr">
        <is>
          <t>Baixa</t>
        </is>
      </c>
      <c r="I183" s="13" t="inlineStr">
        <is>
          <t>Revisar</t>
        </is>
      </c>
      <c r="J183" s="13" t="inlineStr"/>
      <c r="K183" s="13" t="inlineStr"/>
      <c r="L183" s="13" t="inlineStr">
        <is>
          <t>Sim</t>
        </is>
      </c>
      <c r="M183" s="15" t="inlineStr">
        <is>
          <t>NOTAS FISCAIS DE COMPRA JANEIRO 2026.pdf - p. 182</t>
        </is>
      </c>
    </row>
    <row r="184">
      <c r="A184" s="13" t="n">
        <v>183</v>
      </c>
      <c r="B184" s="13" t="inlineStr">
        <is>
          <t>JAN26-P183</t>
        </is>
      </c>
      <c r="C184" s="13" t="inlineStr">
        <is>
          <t>NF-e</t>
        </is>
      </c>
      <c r="D184" s="13" t="inlineStr"/>
      <c r="E184" s="13" t="inlineStr">
        <is>
          <t>OWLIDECK NATURAL 361 SAVERLACE eT [Osa] TY wR] enya] TC</t>
        </is>
      </c>
      <c r="F184" s="16" t="n"/>
      <c r="G184" s="13" t="inlineStr">
        <is>
          <t>Produtos</t>
        </is>
      </c>
      <c r="H184" s="13" t="inlineStr">
        <is>
          <t>Baixa</t>
        </is>
      </c>
      <c r="I184" s="13" t="inlineStr">
        <is>
          <t>Revisar</t>
        </is>
      </c>
      <c r="J184" s="13" t="inlineStr"/>
      <c r="K184" s="13" t="inlineStr"/>
      <c r="L184" s="13" t="inlineStr">
        <is>
          <t>Sim</t>
        </is>
      </c>
      <c r="M184" s="15" t="inlineStr">
        <is>
          <t>NOTAS FISCAIS DE COMPRA JANEIRO 2026.pdf - p. 183</t>
        </is>
      </c>
    </row>
    <row r="185">
      <c r="A185" s="13" t="n">
        <v>184</v>
      </c>
      <c r="B185" s="13" t="inlineStr">
        <is>
          <t>JAN26-P184</t>
        </is>
      </c>
      <c r="C185" s="13" t="inlineStr">
        <is>
          <t>NF-e</t>
        </is>
      </c>
      <c r="D185" s="13" t="inlineStr"/>
      <c r="E185" s="13" t="inlineStr">
        <is>
          <t>VENDA DE MERCADORTA ADQUIRIDA FRE BomOUS40774 80 6}. 2026 97 ATL</t>
        </is>
      </c>
      <c r="F185" s="16" t="n"/>
      <c r="G185" s="13" t="inlineStr">
        <is>
          <t>Produtos</t>
        </is>
      </c>
      <c r="H185" s="13" t="inlineStr">
        <is>
          <t>Baixa</t>
        </is>
      </c>
      <c r="I185" s="13" t="inlineStr">
        <is>
          <t>Revisar</t>
        </is>
      </c>
      <c r="J185" s="13" t="inlineStr"/>
      <c r="K185" s="13" t="inlineStr"/>
      <c r="L185" s="13" t="inlineStr">
        <is>
          <t>Sim</t>
        </is>
      </c>
      <c r="M185" s="15" t="inlineStr">
        <is>
          <t>NOTAS FISCAIS DE COMPRA JANEIRO 2026.pdf - p. 184</t>
        </is>
      </c>
    </row>
    <row r="186">
      <c r="A186" s="13" t="n">
        <v>185</v>
      </c>
      <c r="B186" s="13" t="inlineStr">
        <is>
          <t>JAN26-P185</t>
        </is>
      </c>
      <c r="C186" s="13" t="inlineStr">
        <is>
          <t>NFS-e</t>
        </is>
      </c>
      <c r="D186" s="13" t="inlineStr"/>
      <c r="E186" s="13" t="inlineStr">
        <is>
          <t>altidate fo SOK arheipte ds ecoencia 8015081 aspanasil sao rncoktmame So1$80H |</t>
        </is>
      </c>
      <c r="F186" s="16" t="n"/>
      <c r="G186" s="13" t="inlineStr">
        <is>
          <t>Servicos</t>
        </is>
      </c>
      <c r="H186" s="13" t="inlineStr">
        <is>
          <t>Baixa</t>
        </is>
      </c>
      <c r="I186" s="13" t="inlineStr">
        <is>
          <t>Revisar</t>
        </is>
      </c>
      <c r="J186" s="13" t="inlineStr"/>
      <c r="K186" s="13" t="inlineStr"/>
      <c r="L186" s="13" t="inlineStr">
        <is>
          <t>Sim</t>
        </is>
      </c>
      <c r="M186" s="15" t="inlineStr">
        <is>
          <t>NOTAS FISCAIS DE COMPRA JANEIRO 2026.pdf - p. 185</t>
        </is>
      </c>
    </row>
    <row r="187">
      <c r="A187" s="13" t="n">
        <v>186</v>
      </c>
      <c r="B187" s="13" t="inlineStr">
        <is>
          <t>JAN26-P186</t>
        </is>
      </c>
      <c r="C187" s="13" t="inlineStr">
        <is>
          <t>NF-e</t>
        </is>
      </c>
      <c r="D187" s="13" t="inlineStr"/>
      <c r="E187" s="13" t="inlineStr">
        <is>
          <t>VENDA DE MERCADORIA ADQUIRIDA OU RECEBIDA DE TERCE 322260002299794 - 29/01/2026 0:05:40</t>
        </is>
      </c>
      <c r="F187" s="16" t="n"/>
      <c r="G187" s="13" t="inlineStr">
        <is>
          <t>Produtos</t>
        </is>
      </c>
      <c r="H187" s="13" t="inlineStr">
        <is>
          <t>Media</t>
        </is>
      </c>
      <c r="I187" s="13" t="inlineStr">
        <is>
          <t>Revisar</t>
        </is>
      </c>
      <c r="J187" s="13" t="inlineStr"/>
      <c r="K187" s="13" t="inlineStr"/>
      <c r="L187" s="13" t="inlineStr">
        <is>
          <t>Sim</t>
        </is>
      </c>
      <c r="M187" s="15" t="inlineStr">
        <is>
          <t>NOTAS FISCAIS DE COMPRA JANEIRO 2026.pdf - p. 186</t>
        </is>
      </c>
    </row>
    <row r="188">
      <c r="A188" s="13" t="n">
        <v>187</v>
      </c>
      <c r="B188" s="13" t="inlineStr">
        <is>
          <t>JAN26-P187</t>
        </is>
      </c>
      <c r="C188" s="13" t="inlineStr">
        <is>
          <t>Outros/Documento</t>
        </is>
      </c>
      <c r="D188" s="13" t="inlineStr"/>
      <c r="E188" s="13" t="inlineStr">
        <is>
          <t>‘VENDA DE MERGADORIAS SLVEITA AO REGIME DE ST. - SUBSTITUIDO. Seon zacia020 08:98:63</t>
        </is>
      </c>
      <c r="F188" s="16" t="n"/>
      <c r="G188" s="13" t="inlineStr">
        <is>
          <t>Apoio</t>
        </is>
      </c>
      <c r="H188" s="13" t="inlineStr">
        <is>
          <t>Baixa</t>
        </is>
      </c>
      <c r="I188" s="13" t="inlineStr">
        <is>
          <t>Não</t>
        </is>
      </c>
      <c r="J188" s="13" t="inlineStr"/>
      <c r="K188" s="13" t="inlineStr"/>
      <c r="L188" s="13" t="inlineStr">
        <is>
          <t>Sim</t>
        </is>
      </c>
      <c r="M188" s="15" t="inlineStr">
        <is>
          <t>NOTAS FISCAIS DE COMPRA JANEIRO 2026.pdf - p. 187</t>
        </is>
      </c>
    </row>
    <row r="189">
      <c r="A189" s="13" t="n">
        <v>188</v>
      </c>
      <c r="B189" s="13" t="inlineStr">
        <is>
          <t>JAN26-P188</t>
        </is>
      </c>
      <c r="C189" s="13" t="inlineStr">
        <is>
          <t>NF-e</t>
        </is>
      </c>
      <c r="D189" s="13" t="inlineStr"/>
      <c r="E189" s="13" t="inlineStr">
        <is>
          <t>JAVENIDA SAQ FRANCISCO - N 4000. EXTREMA 64O7H=150 | ORM ZUZG</t>
        </is>
      </c>
      <c r="F189" s="16" t="n"/>
      <c r="G189" s="13" t="inlineStr">
        <is>
          <t>Produtos</t>
        </is>
      </c>
      <c r="H189" s="13" t="inlineStr">
        <is>
          <t>Baixa</t>
        </is>
      </c>
      <c r="I189" s="13" t="inlineStr">
        <is>
          <t>Revisar</t>
        </is>
      </c>
      <c r="J189" s="13" t="inlineStr"/>
      <c r="K189" s="13" t="inlineStr"/>
      <c r="L189" s="13" t="inlineStr">
        <is>
          <t>Sim</t>
        </is>
      </c>
      <c r="M189" s="15" t="inlineStr">
        <is>
          <t>NOTAS FISCAIS DE COMPRA JANEIRO 2026.pdf - p. 188</t>
        </is>
      </c>
    </row>
    <row r="190">
      <c r="A190" s="13" t="n">
        <v>189</v>
      </c>
      <c r="B190" s="13" t="inlineStr">
        <is>
          <t>JAN26-P189</t>
        </is>
      </c>
      <c r="C190" s="13" t="inlineStr">
        <is>
          <t>NF-e</t>
        </is>
      </c>
      <c r="D190" s="13" t="inlineStr"/>
      <c r="E190" s="13" t="inlineStr">
        <is>
          <t>‘TERESINA MANGUEIRAS E PARAFUSOS LTDA | Eetrade: 0 ‘2226 (1157 9764 T7ON 0124 S508 1000 0037 6715 2841 9273.</t>
        </is>
      </c>
      <c r="F190" s="16" t="n"/>
      <c r="G190" s="13" t="inlineStr">
        <is>
          <t>Produtos</t>
        </is>
      </c>
      <c r="H190" s="13" t="inlineStr">
        <is>
          <t>Baixa</t>
        </is>
      </c>
      <c r="I190" s="13" t="inlineStr">
        <is>
          <t>Revisar</t>
        </is>
      </c>
      <c r="J190" s="13" t="inlineStr"/>
      <c r="K190" s="13" t="inlineStr"/>
      <c r="L190" s="13" t="inlineStr">
        <is>
          <t>Sim</t>
        </is>
      </c>
      <c r="M190" s="15" t="inlineStr">
        <is>
          <t>NOTAS FISCAIS DE COMPRA JANEIRO 2026.pdf - p. 189</t>
        </is>
      </c>
    </row>
    <row r="191">
      <c r="A191" s="13" t="n">
        <v>190</v>
      </c>
      <c r="B191" s="13" t="inlineStr">
        <is>
          <t>JAN26-P190</t>
        </is>
      </c>
      <c r="C191" s="13" t="inlineStr">
        <is>
          <t>NF-e</t>
        </is>
      </c>
      <c r="D191" s="13" t="inlineStr"/>
      <c r="E191" s="13" t="inlineStr">
        <is>
          <t>Praca Dora Tae DO TRS Teo DORA EE MEESTER | ve TOTAL BOUT” [WALGETOTALDA NTA</t>
        </is>
      </c>
      <c r="F191" s="16" t="n"/>
      <c r="G191" s="13" t="inlineStr">
        <is>
          <t>Produtos</t>
        </is>
      </c>
      <c r="H191" s="13" t="inlineStr">
        <is>
          <t>Baixa</t>
        </is>
      </c>
      <c r="I191" s="13" t="inlineStr">
        <is>
          <t>Revisar</t>
        </is>
      </c>
      <c r="J191" s="13" t="inlineStr"/>
      <c r="K191" s="13" t="inlineStr"/>
      <c r="L191" s="13" t="inlineStr">
        <is>
          <t>Sim</t>
        </is>
      </c>
      <c r="M191" s="15" t="inlineStr">
        <is>
          <t>NOTAS FISCAIS DE COMPRA JANEIRO 2026.pdf - p. 190</t>
        </is>
      </c>
    </row>
    <row r="192">
      <c r="A192" s="13" t="n">
        <v>191</v>
      </c>
      <c r="B192" s="13" t="inlineStr">
        <is>
          <t>JAN26-P191</t>
        </is>
      </c>
      <c r="C192" s="13" t="inlineStr">
        <is>
          <t>NF-e</t>
        </is>
      </c>
      <c r="D192" s="13" t="inlineStr"/>
      <c r="E192" s="13" t="inlineStr">
        <is>
          <t>scan AL AIO“ DRSTINATARIO.SRALENGENIAWA INDUSTRIA E CONERCIOLTNA.-HODHR 40,3183 A -SAO RATMUNDO ~</t>
        </is>
      </c>
      <c r="F192" s="16" t="n"/>
      <c r="G192" s="13" t="inlineStr">
        <is>
          <t>Produtos</t>
        </is>
      </c>
      <c r="H192" s="13" t="inlineStr">
        <is>
          <t>Baixa</t>
        </is>
      </c>
      <c r="I192" s="13" t="inlineStr">
        <is>
          <t>Revisar</t>
        </is>
      </c>
      <c r="J192" s="13" t="inlineStr"/>
      <c r="K192" s="13" t="inlineStr"/>
      <c r="L192" s="13" t="inlineStr">
        <is>
          <t>Sim</t>
        </is>
      </c>
      <c r="M192" s="15" t="inlineStr">
        <is>
          <t>NOTAS FISCAIS DE COMPRA JANEIRO 2026.pdf - p. 191</t>
        </is>
      </c>
    </row>
    <row r="193">
      <c r="A193" s="13" t="n">
        <v>192</v>
      </c>
      <c r="B193" s="13" t="inlineStr">
        <is>
          <t>JAN26-P192</t>
        </is>
      </c>
      <c r="C193" s="13" t="inlineStr">
        <is>
          <t>Outros/Documento</t>
        </is>
      </c>
      <c r="D193" s="13" t="inlineStr"/>
      <c r="E193" s="13" t="inlineStr">
        <is>
          <t>VENDA DE MERCADORIA ADQUIRIDA OU RECEBIDA DE TERCE. ZTIIROGTITOSAS «30792006 07:48:53</t>
        </is>
      </c>
      <c r="F193" s="16" t="n"/>
      <c r="G193" s="13" t="inlineStr">
        <is>
          <t>Apoio</t>
        </is>
      </c>
      <c r="H193" s="13" t="inlineStr">
        <is>
          <t>Baixa</t>
        </is>
      </c>
      <c r="I193" s="13" t="inlineStr">
        <is>
          <t>Não</t>
        </is>
      </c>
      <c r="J193" s="13" t="inlineStr"/>
      <c r="K193" s="13" t="inlineStr"/>
      <c r="L193" s="13" t="inlineStr">
        <is>
          <t>Sim</t>
        </is>
      </c>
      <c r="M193" s="15" t="inlineStr">
        <is>
          <t>NOTAS FISCAIS DE COMPRA JANEIRO 2026.pdf - p. 192</t>
        </is>
      </c>
    </row>
    <row r="194">
      <c r="A194" s="13" t="n">
        <v>193</v>
      </c>
      <c r="B194" s="13" t="inlineStr">
        <is>
          <t>JAN26-P193</t>
        </is>
      </c>
      <c r="C194" s="13" t="inlineStr">
        <is>
          <t>NF-e</t>
        </is>
      </c>
      <c r="D194" s="13" t="inlineStr"/>
      <c r="E194" s="13" t="inlineStr">
        <is>
          <t>fae leemrncowmoneniet {souave ow [oamiow sacl —_tatol _raao] nonl aol cool — ovo! cool ano]</t>
        </is>
      </c>
      <c r="F194" s="16" t="n"/>
      <c r="G194" s="13" t="inlineStr">
        <is>
          <t>Produtos</t>
        </is>
      </c>
      <c r="H194" s="13" t="inlineStr">
        <is>
          <t>Baixa</t>
        </is>
      </c>
      <c r="I194" s="13" t="inlineStr">
        <is>
          <t>Revisar</t>
        </is>
      </c>
      <c r="J194" s="13" t="inlineStr"/>
      <c r="K194" s="13" t="inlineStr"/>
      <c r="L194" s="13" t="inlineStr">
        <is>
          <t>Sim</t>
        </is>
      </c>
      <c r="M194" s="15" t="inlineStr">
        <is>
          <t>NOTAS FISCAIS DE COMPRA JANEIRO 2026.pdf - p. 193</t>
        </is>
      </c>
    </row>
    <row r="195">
      <c r="A195" s="13" t="n">
        <v>194</v>
      </c>
      <c r="B195" s="13" t="inlineStr">
        <is>
          <t>JAN26-P194</t>
        </is>
      </c>
      <c r="C195" s="13" t="inlineStr">
        <is>
          <t>NF-e</t>
        </is>
      </c>
      <c r="D195" s="13" t="inlineStr"/>
      <c r="E195" s="13" t="inlineStr">
        <is>
          <t>TERESINA MANGUEIRAS E PARAFUSOS LTDA Ewrsds: © 12226 0157 9764 7798 9124 5506 1006 037 HG 1247 6751</t>
        </is>
      </c>
      <c r="F195" s="16" t="n"/>
      <c r="G195" s="13" t="inlineStr">
        <is>
          <t>Produtos</t>
        </is>
      </c>
      <c r="H195" s="13" t="inlineStr">
        <is>
          <t>Baixa</t>
        </is>
      </c>
      <c r="I195" s="13" t="inlineStr">
        <is>
          <t>Revisar</t>
        </is>
      </c>
      <c r="J195" s="13" t="inlineStr"/>
      <c r="K195" s="13" t="inlineStr"/>
      <c r="L195" s="13" t="inlineStr">
        <is>
          <t>Sim</t>
        </is>
      </c>
      <c r="M195" s="15" t="inlineStr">
        <is>
          <t>NOTAS FISCAIS DE COMPRA JANEIRO 2026.pdf - p. 194</t>
        </is>
      </c>
    </row>
    <row r="196">
      <c r="A196" s="13" t="n">
        <v>195</v>
      </c>
      <c r="B196" s="13" t="inlineStr">
        <is>
          <t>JAN26-P195</t>
        </is>
      </c>
      <c r="C196" s="13" t="inlineStr">
        <is>
          <t>NF-e</t>
        </is>
      </c>
      <c r="D196" s="13" t="inlineStr"/>
      <c r="E196" s="13" t="inlineStr">
        <is>
          <t>[Formenfesmctenomeor fro] wa [oon] [ anu: [namin] vr cco cai oevae[ oon] vr Feel</t>
        </is>
      </c>
      <c r="F196" s="16" t="n"/>
      <c r="G196" s="13" t="inlineStr">
        <is>
          <t>Produtos</t>
        </is>
      </c>
      <c r="H196" s="13" t="inlineStr">
        <is>
          <t>Baixa</t>
        </is>
      </c>
      <c r="I196" s="13" t="inlineStr">
        <is>
          <t>Revisar</t>
        </is>
      </c>
      <c r="J196" s="13" t="inlineStr"/>
      <c r="K196" s="13" t="inlineStr"/>
      <c r="L196" s="13" t="inlineStr">
        <is>
          <t>Sim</t>
        </is>
      </c>
      <c r="M196" s="15" t="inlineStr">
        <is>
          <t>NOTAS FISCAIS DE COMPRA JANEIRO 2026.pdf - p. 195</t>
        </is>
      </c>
    </row>
    <row r="197">
      <c r="A197" s="13" t="n">
        <v>196</v>
      </c>
      <c r="B197" s="13" t="inlineStr">
        <is>
          <t>JAN26-P196</t>
        </is>
      </c>
      <c r="C197" s="13" t="inlineStr">
        <is>
          <t>NF-e</t>
        </is>
      </c>
      <c r="D197" s="13" t="inlineStr">
        <is>
          <t>36789</t>
        </is>
      </c>
      <c r="E197" s="13" t="inlineStr">
        <is>
          <t>‘VENDA DE MERCADORIA ADQUIRIDA OU RECEBIDA DE TARCE 227250000217805 117122025 16:40:11 |</t>
        </is>
      </c>
      <c r="F197" s="16" t="n"/>
      <c r="G197" s="13" t="inlineStr">
        <is>
          <t>Produtos</t>
        </is>
      </c>
      <c r="H197" s="13" t="inlineStr">
        <is>
          <t>Alta</t>
        </is>
      </c>
      <c r="I197" s="13" t="inlineStr">
        <is>
          <t>Revisar</t>
        </is>
      </c>
      <c r="J197" s="13" t="inlineStr"/>
      <c r="K197" s="13" t="inlineStr"/>
      <c r="L197" s="13" t="inlineStr">
        <is>
          <t>Sim</t>
        </is>
      </c>
      <c r="M197" s="15" t="inlineStr">
        <is>
          <t>NOTAS FISCAIS DE COMPRA JANEIRO 2026.pdf - p. 196</t>
        </is>
      </c>
    </row>
    <row r="198">
      <c r="A198" s="13" t="n">
        <v>197</v>
      </c>
      <c r="B198" s="13" t="inlineStr">
        <is>
          <t>JAN26-P197</t>
        </is>
      </c>
      <c r="C198" s="13" t="inlineStr">
        <is>
          <t>Outros/Documento</t>
        </is>
      </c>
      <c r="D198" s="13" t="inlineStr"/>
      <c r="E198" s="13" t="inlineStr">
        <is>
          <t>RUA SAO FRANCISCO, 4000 TANCREDO NEVES 4976-038 Jo7/01/2026_</t>
        </is>
      </c>
      <c r="F198" s="16" t="n"/>
      <c r="G198" s="13" t="inlineStr">
        <is>
          <t>Apoio</t>
        </is>
      </c>
      <c r="H198" s="13" t="inlineStr">
        <is>
          <t>Baixa</t>
        </is>
      </c>
      <c r="I198" s="13" t="inlineStr">
        <is>
          <t>Não</t>
        </is>
      </c>
      <c r="J198" s="13" t="inlineStr"/>
      <c r="K198" s="13" t="inlineStr"/>
      <c r="L198" s="13" t="inlineStr">
        <is>
          <t>Sim</t>
        </is>
      </c>
      <c r="M198" s="15" t="inlineStr">
        <is>
          <t>NOTAS FISCAIS DE COMPRA JANEIRO 2026.pdf - p. 197</t>
        </is>
      </c>
    </row>
    <row r="199">
      <c r="A199" s="13" t="n">
        <v>198</v>
      </c>
      <c r="B199" s="13" t="inlineStr">
        <is>
          <t>JAN26-P198</t>
        </is>
      </c>
      <c r="C199" s="13" t="inlineStr">
        <is>
          <t>Outros/Documento</t>
        </is>
      </c>
      <c r="D199" s="13" t="inlineStr"/>
      <c r="E199" s="13" t="inlineStr">
        <is>
          <t>RYAchaisr SAO PAINOWDO TERESTHA = f° 000.203.010 | COOeIs Zo ttea genuneipced oo a tate Ge So</t>
        </is>
      </c>
      <c r="F199" s="16" t="n"/>
      <c r="G199" s="13" t="inlineStr">
        <is>
          <t>Apoio</t>
        </is>
      </c>
      <c r="H199" s="13" t="inlineStr">
        <is>
          <t>Media</t>
        </is>
      </c>
      <c r="I199" s="13" t="inlineStr">
        <is>
          <t>Não</t>
        </is>
      </c>
      <c r="J199" s="13" t="inlineStr"/>
      <c r="K199" s="13" t="inlineStr"/>
      <c r="L199" s="13" t="inlineStr">
        <is>
          <t>Sim</t>
        </is>
      </c>
      <c r="M199" s="15" t="inlineStr">
        <is>
          <t>NOTAS FISCAIS DE COMPRA JANEIRO 2026.pdf - p. 198</t>
        </is>
      </c>
    </row>
    <row r="200">
      <c r="A200" s="13" t="n">
        <v>199</v>
      </c>
      <c r="B200" s="13" t="inlineStr">
        <is>
          <t>JAN26-P199</t>
        </is>
      </c>
      <c r="C200" s="13" t="inlineStr">
        <is>
          <t>NFS-e</t>
        </is>
      </c>
      <c r="D200" s="13" t="inlineStr">
        <is>
          <t>9</t>
        </is>
      </c>
      <c r="E200" s="13" t="inlineStr">
        <is>
          <t>Sack EXPLORACAO DE SALOES DE FESTAS, CENTRO DE CONVENCOES, ESCRITORIOS VIRTUNS. STANDS, QUADRAS ESPORTIVAS,ESTADIOS, GNASIOS,</t>
        </is>
      </c>
      <c r="F200" s="16" t="n">
        <v>3000</v>
      </c>
      <c r="G200" s="13" t="inlineStr">
        <is>
          <t>Servicos</t>
        </is>
      </c>
      <c r="H200" s="13" t="inlineStr">
        <is>
          <t>Media</t>
        </is>
      </c>
      <c r="I200" s="13" t="inlineStr">
        <is>
          <t>Não</t>
        </is>
      </c>
      <c r="J200" s="13" t="inlineStr">
        <is>
          <t>P145</t>
        </is>
      </c>
      <c r="K200" s="13" t="inlineStr">
        <is>
          <t>Duplicado exato</t>
        </is>
      </c>
      <c r="L200" s="13" t="inlineStr">
        <is>
          <t>Sim</t>
        </is>
      </c>
      <c r="M200" s="15" t="inlineStr">
        <is>
          <t>NOTAS FISCAIS DE COMPRA JANEIRO 2026.pdf - p. 199</t>
        </is>
      </c>
    </row>
    <row r="201">
      <c r="A201" s="13" t="n">
        <v>200</v>
      </c>
      <c r="B201" s="13" t="inlineStr">
        <is>
          <t>JAN26-P200</t>
        </is>
      </c>
      <c r="C201" s="13" t="inlineStr">
        <is>
          <t>NFS-e</t>
        </is>
      </c>
      <c r="D201" s="13" t="inlineStr">
        <is>
          <t>3</t>
        </is>
      </c>
      <c r="E201" s="13" t="inlineStr">
        <is>
          <t>‘aorde santee escort Conlonade Devcon cetera (SON Fedo</t>
        </is>
      </c>
      <c r="F201" s="16" t="n">
        <v>15662.93</v>
      </c>
      <c r="G201" s="13" t="inlineStr">
        <is>
          <t>Servicos</t>
        </is>
      </c>
      <c r="H201" s="13" t="inlineStr">
        <is>
          <t>Media</t>
        </is>
      </c>
      <c r="I201" s="13" t="inlineStr">
        <is>
          <t>Não</t>
        </is>
      </c>
      <c r="J201" s="13" t="inlineStr">
        <is>
          <t>P70</t>
        </is>
      </c>
      <c r="K201" s="13" t="inlineStr">
        <is>
          <t>Duplicado exato</t>
        </is>
      </c>
      <c r="L201" s="13" t="inlineStr">
        <is>
          <t>Sim</t>
        </is>
      </c>
      <c r="M201" s="15" t="inlineStr">
        <is>
          <t>NOTAS FISCAIS DE COMPRA JANEIRO 2026.pdf - p. 200</t>
        </is>
      </c>
    </row>
    <row r="202">
      <c r="A202" s="13" t="n">
        <v>201</v>
      </c>
      <c r="B202" s="13" t="inlineStr">
        <is>
          <t>JAN26-P201</t>
        </is>
      </c>
      <c r="C202" s="13" t="inlineStr">
        <is>
          <t>NFS-e</t>
        </is>
      </c>
      <c r="D202" s="13" t="inlineStr"/>
      <c r="E202" s="13" t="inlineStr">
        <is>
          <t>f'oe0 522 MICHELA MEDEIROS FRANCO MICHELAMEDEIROBZ3€2GMAILCOM</t>
        </is>
      </c>
      <c r="F202" s="16" t="n"/>
      <c r="G202" s="13" t="inlineStr">
        <is>
          <t>Servicos</t>
        </is>
      </c>
      <c r="H202" s="13" t="inlineStr">
        <is>
          <t>Baixa</t>
        </is>
      </c>
      <c r="I202" s="13" t="inlineStr">
        <is>
          <t>Revisar</t>
        </is>
      </c>
      <c r="J202" s="13" t="inlineStr"/>
      <c r="K202" s="13" t="inlineStr"/>
      <c r="L202" s="13" t="inlineStr">
        <is>
          <t>Sim</t>
        </is>
      </c>
      <c r="M202" s="15" t="inlineStr">
        <is>
          <t>NOTAS FISCAIS DE COMPRA JANEIRO 2026.pdf - p. 201</t>
        </is>
      </c>
    </row>
    <row r="203">
      <c r="A203" s="13" t="n">
        <v>202</v>
      </c>
      <c r="B203" s="13" t="inlineStr">
        <is>
          <t>JAN26-P202</t>
        </is>
      </c>
      <c r="C203" s="13" t="inlineStr">
        <is>
          <t>NF-e</t>
        </is>
      </c>
      <c r="D203" s="13" t="inlineStr"/>
      <c r="E203" s="13" t="inlineStr">
        <is>
          <t>SUT _PRIVA CREPE 722 IND BMNIXSIM ADELDAA baie ia eB Sat) Feet Tap sep RY</t>
        </is>
      </c>
      <c r="F203" s="16" t="n"/>
      <c r="G203" s="13" t="inlineStr">
        <is>
          <t>Produtos</t>
        </is>
      </c>
      <c r="H203" s="13" t="inlineStr">
        <is>
          <t>Baixa</t>
        </is>
      </c>
      <c r="I203" s="13" t="inlineStr">
        <is>
          <t>Revisar</t>
        </is>
      </c>
      <c r="J203" s="13" t="inlineStr"/>
      <c r="K203" s="13" t="inlineStr"/>
      <c r="L203" s="13" t="inlineStr">
        <is>
          <t>Sim</t>
        </is>
      </c>
      <c r="M203" s="15" t="inlineStr">
        <is>
          <t>NOTAS FISCAIS DE COMPRA JANEIRO 2026.pdf - p. 202</t>
        </is>
      </c>
    </row>
    <row r="204">
      <c r="A204" s="13" t="n">
        <v>203</v>
      </c>
      <c r="B204" s="13" t="inlineStr">
        <is>
          <t>JAN26-P203</t>
        </is>
      </c>
      <c r="C204" s="13" t="inlineStr">
        <is>
          <t>NF-e</t>
        </is>
      </c>
      <c r="D204" s="13" t="inlineStr"/>
      <c r="E204" s="13" t="inlineStr">
        <is>
          <t>JAVENIDA SAG ERANCISCO- N 4000 EXTREMA cin76.150| 2010/2026</t>
        </is>
      </c>
      <c r="F204" s="16" t="n"/>
      <c r="G204" s="13" t="inlineStr">
        <is>
          <t>Produtos</t>
        </is>
      </c>
      <c r="H204" s="13" t="inlineStr">
        <is>
          <t>Baixa</t>
        </is>
      </c>
      <c r="I204" s="13" t="inlineStr">
        <is>
          <t>Revisar</t>
        </is>
      </c>
      <c r="J204" s="13" t="inlineStr"/>
      <c r="K204" s="13" t="inlineStr"/>
      <c r="L204" s="13" t="inlineStr">
        <is>
          <t>Sim</t>
        </is>
      </c>
      <c r="M204" s="15" t="inlineStr">
        <is>
          <t>NOTAS FISCAIS DE COMPRA JANEIRO 2026.pdf - p. 203</t>
        </is>
      </c>
    </row>
    <row r="205">
      <c r="A205" s="13" t="n">
        <v>204</v>
      </c>
      <c r="B205" s="13" t="inlineStr">
        <is>
          <t>JAN26-P204</t>
        </is>
      </c>
      <c r="C205" s="13" t="inlineStr">
        <is>
          <t>Separador/Anotacao</t>
        </is>
      </c>
      <c r="D205" s="13" t="inlineStr"/>
      <c r="E205" s="13" t="inlineStr"/>
      <c r="F205" s="16" t="n"/>
      <c r="G205" s="13" t="inlineStr">
        <is>
          <t>Apoio</t>
        </is>
      </c>
      <c r="H205" s="13" t="inlineStr">
        <is>
          <t>Baixa</t>
        </is>
      </c>
      <c r="I205" s="13" t="inlineStr">
        <is>
          <t>Não</t>
        </is>
      </c>
      <c r="J205" s="13" t="inlineStr"/>
      <c r="K205" s="13" t="inlineStr"/>
      <c r="L205" s="13" t="inlineStr">
        <is>
          <t>Sim</t>
        </is>
      </c>
      <c r="M205" s="15" t="inlineStr">
        <is>
          <t>NOTAS FISCAIS DE COMPRA JANEIRO 2026.pdf - p. 204</t>
        </is>
      </c>
    </row>
    <row r="206">
      <c r="A206" s="13" t="n">
        <v>205</v>
      </c>
      <c r="B206" s="13" t="inlineStr">
        <is>
          <t>JAN26-P205</t>
        </is>
      </c>
      <c r="C206" s="13" t="inlineStr">
        <is>
          <t>NFS-e</t>
        </is>
      </c>
      <c r="D206" s="13" t="inlineStr"/>
      <c r="E206" s="13" t="inlineStr">
        <is>
          <t>ErENDR Sho rNcRCO mom SAND EXTREMA Fences i aRAGL Srares80</t>
        </is>
      </c>
      <c r="F206" s="16" t="n">
        <v>75</v>
      </c>
      <c r="G206" s="13" t="inlineStr">
        <is>
          <t>Servicos</t>
        </is>
      </c>
      <c r="H206" s="13" t="inlineStr">
        <is>
          <t>Media</t>
        </is>
      </c>
      <c r="I206" s="13" t="inlineStr">
        <is>
          <t>Revisar</t>
        </is>
      </c>
      <c r="J206" s="13" t="inlineStr"/>
      <c r="K206" s="13" t="inlineStr"/>
      <c r="L206" s="13" t="inlineStr">
        <is>
          <t>Sim</t>
        </is>
      </c>
      <c r="M206" s="15" t="inlineStr">
        <is>
          <t>NOTAS FISCAIS DE COMPRA JANEIRO 2026.pdf - p. 205</t>
        </is>
      </c>
    </row>
    <row r="207">
      <c r="A207" s="13" t="n">
        <v>206</v>
      </c>
      <c r="B207" s="13" t="inlineStr">
        <is>
          <t>JAN26-P206</t>
        </is>
      </c>
      <c r="C207" s="13" t="inlineStr">
        <is>
          <t>Separador/Anotacao</t>
        </is>
      </c>
      <c r="D207" s="13" t="inlineStr"/>
      <c r="E207" s="13" t="inlineStr"/>
      <c r="F207" s="16" t="n"/>
      <c r="G207" s="13" t="inlineStr">
        <is>
          <t>Apoio</t>
        </is>
      </c>
      <c r="H207" s="13" t="inlineStr">
        <is>
          <t>Baixa</t>
        </is>
      </c>
      <c r="I207" s="13" t="inlineStr">
        <is>
          <t>Não</t>
        </is>
      </c>
      <c r="J207" s="13" t="inlineStr"/>
      <c r="K207" s="13" t="inlineStr"/>
      <c r="L207" s="13" t="inlineStr">
        <is>
          <t>Sim</t>
        </is>
      </c>
      <c r="M207" s="15" t="inlineStr">
        <is>
          <t>NOTAS FISCAIS DE COMPRA JANEIRO 2026.pdf - p. 206</t>
        </is>
      </c>
    </row>
    <row r="208">
      <c r="A208" s="13" t="n">
        <v>207</v>
      </c>
      <c r="B208" s="13" t="inlineStr">
        <is>
          <t>JAN26-P207</t>
        </is>
      </c>
      <c r="C208" s="13" t="inlineStr">
        <is>
          <t>Outros/Documento</t>
        </is>
      </c>
      <c r="D208" s="13" t="inlineStr"/>
      <c r="E208" s="13" t="inlineStr">
        <is>
          <t>‘OATAE DORADA BORESSAG GT anBOORO HE “GoOeR PRO - dom Save ae</t>
        </is>
      </c>
      <c r="F208" s="16" t="n"/>
      <c r="G208" s="13" t="inlineStr">
        <is>
          <t>Apoio</t>
        </is>
      </c>
      <c r="H208" s="13" t="inlineStr">
        <is>
          <t>Baixa</t>
        </is>
      </c>
      <c r="I208" s="13" t="inlineStr">
        <is>
          <t>Não</t>
        </is>
      </c>
      <c r="J208" s="13" t="inlineStr"/>
      <c r="K208" s="13" t="inlineStr"/>
      <c r="L208" s="13" t="inlineStr">
        <is>
          <t>Sim</t>
        </is>
      </c>
      <c r="M208" s="15" t="inlineStr">
        <is>
          <t>NOTAS FISCAIS DE COMPRA JANEIRO 2026.pdf - p. 207</t>
        </is>
      </c>
    </row>
    <row r="209">
      <c r="A209" s="13" t="n">
        <v>208</v>
      </c>
      <c r="B209" s="13" t="inlineStr">
        <is>
          <t>JAN26-P208</t>
        </is>
      </c>
      <c r="C209" s="13" t="inlineStr">
        <is>
          <t>NF-e</t>
        </is>
      </c>
      <c r="D209" s="13" t="inlineStr"/>
      <c r="E209" s="13" t="inlineStr">
        <is>
          <t>I NENIDA SA0 FRANCISCO, 4000, GALPOD FANCREDO NEVES Taatzoe8</t>
        </is>
      </c>
      <c r="F209" s="16" t="n"/>
      <c r="G209" s="13" t="inlineStr">
        <is>
          <t>Produtos</t>
        </is>
      </c>
      <c r="H209" s="13" t="inlineStr">
        <is>
          <t>Baixa</t>
        </is>
      </c>
      <c r="I209" s="13" t="inlineStr">
        <is>
          <t>Revisar</t>
        </is>
      </c>
      <c r="J209" s="13" t="inlineStr"/>
      <c r="K209" s="13" t="inlineStr"/>
      <c r="L209" s="13" t="inlineStr">
        <is>
          <t>Sim</t>
        </is>
      </c>
      <c r="M209" s="15" t="inlineStr">
        <is>
          <t>NOTAS FISCAIS DE COMPRA JANEIRO 2026.pdf - p. 208</t>
        </is>
      </c>
    </row>
    <row r="210">
      <c r="A210" s="13" t="n">
        <v>209</v>
      </c>
      <c r="B210" s="13" t="inlineStr">
        <is>
          <t>JAN26-P209</t>
        </is>
      </c>
      <c r="C210" s="13" t="inlineStr">
        <is>
          <t>Separador/Anotacao</t>
        </is>
      </c>
      <c r="D210" s="13" t="inlineStr"/>
      <c r="E210" s="13" t="inlineStr"/>
      <c r="F210" s="16" t="n"/>
      <c r="G210" s="13" t="inlineStr">
        <is>
          <t>Apoio</t>
        </is>
      </c>
      <c r="H210" s="13" t="inlineStr">
        <is>
          <t>Baixa</t>
        </is>
      </c>
      <c r="I210" s="13" t="inlineStr">
        <is>
          <t>Não</t>
        </is>
      </c>
      <c r="J210" s="13" t="inlineStr"/>
      <c r="K210" s="13" t="inlineStr"/>
      <c r="L210" s="13" t="inlineStr">
        <is>
          <t>Sim</t>
        </is>
      </c>
      <c r="M210" s="15" t="inlineStr">
        <is>
          <t>NOTAS FISCAIS DE COMPRA JANEIRO 2026.pdf - p. 209</t>
        </is>
      </c>
    </row>
    <row r="211">
      <c r="A211" s="13" t="n">
        <v>210</v>
      </c>
      <c r="B211" s="13" t="inlineStr">
        <is>
          <t>JAN26-P210</t>
        </is>
      </c>
      <c r="C211" s="13" t="inlineStr">
        <is>
          <t>Outros/Documento</t>
        </is>
      </c>
      <c r="D211" s="13" t="inlineStr"/>
      <c r="E211" s="13" t="inlineStr">
        <is>
          <t>[ENDER SADRODETRTO</t>
        </is>
      </c>
      <c r="F211" s="16" t="n"/>
      <c r="G211" s="13" t="inlineStr">
        <is>
          <t>Apoio</t>
        </is>
      </c>
      <c r="H211" s="13" t="inlineStr">
        <is>
          <t>Baixa</t>
        </is>
      </c>
      <c r="I211" s="13" t="inlineStr">
        <is>
          <t>Não</t>
        </is>
      </c>
      <c r="J211" s="13" t="inlineStr"/>
      <c r="K211" s="13" t="inlineStr"/>
      <c r="L211" s="13" t="inlineStr">
        <is>
          <t>Sim</t>
        </is>
      </c>
      <c r="M211" s="15" t="inlineStr">
        <is>
          <t>NOTAS FISCAIS DE COMPRA JANEIRO 2026.pdf - p. 210</t>
        </is>
      </c>
    </row>
    <row r="212">
      <c r="A212" s="13" t="n">
        <v>211</v>
      </c>
      <c r="B212" s="13" t="inlineStr">
        <is>
          <t>JAN26-P211</t>
        </is>
      </c>
      <c r="C212" s="13" t="inlineStr">
        <is>
          <t>Separador/Anotacao</t>
        </is>
      </c>
      <c r="D212" s="13" t="inlineStr"/>
      <c r="E212" s="13" t="inlineStr"/>
      <c r="F212" s="16" t="n"/>
      <c r="G212" s="13" t="inlineStr">
        <is>
          <t>Apoio</t>
        </is>
      </c>
      <c r="H212" s="13" t="inlineStr">
        <is>
          <t>Baixa</t>
        </is>
      </c>
      <c r="I212" s="13" t="inlineStr">
        <is>
          <t>Não</t>
        </is>
      </c>
      <c r="J212" s="13" t="inlineStr"/>
      <c r="K212" s="13" t="inlineStr"/>
      <c r="L212" s="13" t="inlineStr">
        <is>
          <t>Sim</t>
        </is>
      </c>
      <c r="M212" s="15" t="inlineStr">
        <is>
          <t>NOTAS FISCAIS DE COMPRA JANEIRO 2026.pdf - p. 211</t>
        </is>
      </c>
    </row>
    <row r="213">
      <c r="A213" s="13" t="n">
        <v>212</v>
      </c>
      <c r="B213" s="13" t="inlineStr">
        <is>
          <t>JAN26-P212</t>
        </is>
      </c>
      <c r="C213" s="13" t="inlineStr">
        <is>
          <t>NF-e</t>
        </is>
      </c>
      <c r="D213" s="13" t="inlineStr"/>
      <c r="E213" s="13" t="inlineStr">
        <is>
          <t>¥ H SOARES COM E SERVICOS [Pocumento Auxiliar ds Nota</t>
        </is>
      </c>
      <c r="F213" s="16" t="n"/>
      <c r="G213" s="13" t="inlineStr">
        <is>
          <t>Produtos</t>
        </is>
      </c>
      <c r="H213" s="13" t="inlineStr">
        <is>
          <t>Media</t>
        </is>
      </c>
      <c r="I213" s="13" t="inlineStr">
        <is>
          <t>Revisar</t>
        </is>
      </c>
      <c r="J213" s="13" t="inlineStr"/>
      <c r="K213" s="13" t="inlineStr"/>
      <c r="L213" s="13" t="inlineStr">
        <is>
          <t>Sim</t>
        </is>
      </c>
      <c r="M213" s="15" t="inlineStr">
        <is>
          <t>NOTAS FISCAIS DE COMPRA JANEIRO 2026.pdf - p. 212</t>
        </is>
      </c>
    </row>
    <row r="214">
      <c r="A214" s="13" t="n">
        <v>213</v>
      </c>
      <c r="B214" s="13" t="inlineStr">
        <is>
          <t>JAN26-P213</t>
        </is>
      </c>
      <c r="C214" s="13" t="inlineStr">
        <is>
          <t>Outros/Documento</t>
        </is>
      </c>
      <c r="D214" s="13" t="inlineStr"/>
      <c r="E214" s="13" t="inlineStr">
        <is>
          <t>Saison sale 5] 2) tl Se) wa ia] te</t>
        </is>
      </c>
      <c r="F214" s="16" t="n"/>
      <c r="G214" s="13" t="inlineStr">
        <is>
          <t>Apoio</t>
        </is>
      </c>
      <c r="H214" s="13" t="inlineStr">
        <is>
          <t>Baixa</t>
        </is>
      </c>
      <c r="I214" s="13" t="inlineStr">
        <is>
          <t>Não</t>
        </is>
      </c>
      <c r="J214" s="13" t="inlineStr"/>
      <c r="K214" s="13" t="inlineStr"/>
      <c r="L214" s="13" t="inlineStr">
        <is>
          <t>Sim</t>
        </is>
      </c>
      <c r="M214" s="15" t="inlineStr">
        <is>
          <t>NOTAS FISCAIS DE COMPRA JANEIRO 2026.pdf - p. 213</t>
        </is>
      </c>
    </row>
    <row r="215">
      <c r="A215" s="13" t="n">
        <v>214</v>
      </c>
      <c r="B215" s="13" t="inlineStr">
        <is>
          <t>JAN26-P214</t>
        </is>
      </c>
      <c r="C215" s="13" t="inlineStr">
        <is>
          <t>Outros/Documento</t>
        </is>
      </c>
      <c r="D215" s="13" t="inlineStr"/>
      <c r="E215" s="13" t="inlineStr">
        <is>
          <t>‘VL Operagiio nfo Reslizada, manifestagdo do destinatério recanhecendo sua participagse na operagia descrita na NF-e, mas deciarando que 8 opera¢so</t>
        </is>
      </c>
      <c r="F215" s="16" t="n"/>
      <c r="G215" s="13" t="inlineStr">
        <is>
          <t>Apoio</t>
        </is>
      </c>
      <c r="H215" s="13" t="inlineStr">
        <is>
          <t>Baixa</t>
        </is>
      </c>
      <c r="I215" s="13" t="inlineStr">
        <is>
          <t>Não</t>
        </is>
      </c>
      <c r="J215" s="13" t="inlineStr"/>
      <c r="K215" s="13" t="inlineStr"/>
      <c r="L215" s="13" t="inlineStr">
        <is>
          <t>Sim</t>
        </is>
      </c>
      <c r="M215" s="15" t="inlineStr">
        <is>
          <t>NOTAS FISCAIS DE COMPRA JANEIRO 2026.pdf - p. 214</t>
        </is>
      </c>
    </row>
    <row r="216">
      <c r="A216" s="13" t="n">
        <v>215</v>
      </c>
      <c r="B216" s="13" t="inlineStr">
        <is>
          <t>JAN26-P215</t>
        </is>
      </c>
      <c r="C216" s="13" t="inlineStr">
        <is>
          <t>NFS-e</t>
        </is>
      </c>
      <c r="D216" s="13" t="inlineStr">
        <is>
          <t>1706/U</t>
        </is>
      </c>
      <c r="E216" s="13" t="inlineStr">
        <is>
          <t>MILMAQ METALURGICA E MANUTENCAO INDUSTRIAL LTDA - ME</t>
        </is>
      </c>
      <c r="F216" s="16" t="n">
        <v>1500</v>
      </c>
      <c r="G216" s="13" t="inlineStr">
        <is>
          <t>Serviços</t>
        </is>
      </c>
      <c r="H216" s="13" t="inlineStr">
        <is>
          <t>Media</t>
        </is>
      </c>
      <c r="I216" s="13" t="inlineStr">
        <is>
          <t>Sim</t>
        </is>
      </c>
      <c r="J216" s="13" t="inlineStr"/>
      <c r="K216" s="13" t="inlineStr"/>
      <c r="L216" s="13" t="inlineStr">
        <is>
          <t>Sim</t>
        </is>
      </c>
      <c r="M216" s="15" t="inlineStr">
        <is>
          <t>NOTAS FISCAIS DE COMPRA JANEIRO 2026.pdf - p. 215</t>
        </is>
      </c>
    </row>
    <row r="217">
      <c r="A217" s="13" t="n">
        <v>216</v>
      </c>
      <c r="B217" s="13" t="inlineStr">
        <is>
          <t>JAN26-P216</t>
        </is>
      </c>
      <c r="C217" s="13" t="inlineStr">
        <is>
          <t>Outros/Documento</t>
        </is>
      </c>
      <c r="D217" s="13" t="inlineStr"/>
      <c r="E217" s="13" t="inlineStr">
        <is>
          <t>|SREGA prox ENGENVARIA NDUSTRIAE GOWEROID LTDA. AVENTONSAGFRANGIEGD, OUD “EXTREVA™ | BSEMINEPAL</t>
        </is>
      </c>
      <c r="F217" s="16" t="n"/>
      <c r="G217" s="13" t="inlineStr">
        <is>
          <t>Apoio</t>
        </is>
      </c>
      <c r="H217" s="13" t="inlineStr">
        <is>
          <t>Baixa</t>
        </is>
      </c>
      <c r="I217" s="13" t="inlineStr">
        <is>
          <t>Não</t>
        </is>
      </c>
      <c r="J217" s="13" t="inlineStr"/>
      <c r="K217" s="13" t="inlineStr"/>
      <c r="L217" s="13" t="inlineStr">
        <is>
          <t>Sim</t>
        </is>
      </c>
      <c r="M217" s="15" t="inlineStr">
        <is>
          <t>NOTAS FISCAIS DE COMPRA JANEIRO 2026.pdf - p. 216</t>
        </is>
      </c>
    </row>
    <row r="218">
      <c r="A218" s="13" t="n">
        <v>217</v>
      </c>
      <c r="B218" s="13" t="inlineStr">
        <is>
          <t>JAN26-P217</t>
        </is>
      </c>
      <c r="C218" s="13" t="inlineStr">
        <is>
          <t>NF-e</t>
        </is>
      </c>
      <c r="D218" s="13" t="inlineStr"/>
      <c r="E218" s="13">
        <f> 9 rors i Noni. — |</f>
        <v/>
      </c>
      <c r="F218" s="16" t="n"/>
      <c r="G218" s="13" t="inlineStr">
        <is>
          <t>Produtos</t>
        </is>
      </c>
      <c r="H218" s="13" t="inlineStr">
        <is>
          <t>Baixa</t>
        </is>
      </c>
      <c r="I218" s="13" t="inlineStr">
        <is>
          <t>Revisar</t>
        </is>
      </c>
      <c r="J218" s="13" t="inlineStr"/>
      <c r="K218" s="13" t="inlineStr"/>
      <c r="L218" s="13" t="inlineStr">
        <is>
          <t>Sim</t>
        </is>
      </c>
      <c r="M218" s="15" t="inlineStr">
        <is>
          <t>NOTAS FISCAIS DE COMPRA JANEIRO 2026.pdf - p. 217</t>
        </is>
      </c>
    </row>
    <row r="219">
      <c r="A219" s="13" t="n">
        <v>218</v>
      </c>
      <c r="B219" s="13" t="inlineStr">
        <is>
          <t>JAN26-P218</t>
        </is>
      </c>
      <c r="C219" s="13" t="inlineStr">
        <is>
          <t>Outros/Documento</t>
        </is>
      </c>
      <c r="D219" s="13" t="inlineStr"/>
      <c r="E219" s="13" t="inlineStr">
        <is>
          <t>frame cornu TOOT me TREATS</t>
        </is>
      </c>
      <c r="F219" s="16" t="n"/>
      <c r="G219" s="13" t="inlineStr">
        <is>
          <t>Apoio</t>
        </is>
      </c>
      <c r="H219" s="13" t="inlineStr">
        <is>
          <t>Baixa</t>
        </is>
      </c>
      <c r="I219" s="13" t="inlineStr">
        <is>
          <t>Não</t>
        </is>
      </c>
      <c r="J219" s="13" t="inlineStr"/>
      <c r="K219" s="13" t="inlineStr"/>
      <c r="L219" s="13" t="inlineStr">
        <is>
          <t>Sim</t>
        </is>
      </c>
      <c r="M219" s="15" t="inlineStr">
        <is>
          <t>NOTAS FISCAIS DE COMPRA JANEIRO 2026.pdf - p. 218</t>
        </is>
      </c>
    </row>
    <row r="220">
      <c r="A220" s="13" t="n">
        <v>219</v>
      </c>
      <c r="B220" s="13" t="inlineStr">
        <is>
          <t>JAN26-P219</t>
        </is>
      </c>
      <c r="C220" s="13" t="inlineStr">
        <is>
          <t>Separador/Anotacao</t>
        </is>
      </c>
      <c r="D220" s="13" t="inlineStr"/>
      <c r="E220" s="13" t="inlineStr"/>
      <c r="F220" s="16" t="n"/>
      <c r="G220" s="13" t="inlineStr">
        <is>
          <t>Apoio</t>
        </is>
      </c>
      <c r="H220" s="13" t="inlineStr">
        <is>
          <t>Baixa</t>
        </is>
      </c>
      <c r="I220" s="13" t="inlineStr">
        <is>
          <t>Não</t>
        </is>
      </c>
      <c r="J220" s="13" t="inlineStr"/>
      <c r="K220" s="13" t="inlineStr"/>
      <c r="L220" s="13" t="inlineStr">
        <is>
          <t>Sim</t>
        </is>
      </c>
      <c r="M220" s="15" t="inlineStr">
        <is>
          <t>NOTAS FISCAIS DE COMPRA JANEIRO 2026.pdf - p. 219</t>
        </is>
      </c>
    </row>
    <row r="221">
      <c r="A221" s="13" t="n">
        <v>220</v>
      </c>
      <c r="B221" s="13" t="inlineStr">
        <is>
          <t>JAN26-P220</t>
        </is>
      </c>
      <c r="C221" s="13" t="inlineStr">
        <is>
          <t>NFS-e</t>
        </is>
      </c>
      <c r="D221" s="13" t="inlineStr">
        <is>
          <t>0</t>
        </is>
      </c>
      <c r="E221" s="13" t="inlineStr">
        <is>
          <t>Local da preszagdo do sarvigo aia da prectagso do servigo</t>
        </is>
      </c>
      <c r="F221" s="16" t="n">
        <v>4000</v>
      </c>
      <c r="G221" s="13" t="inlineStr">
        <is>
          <t>Servicos</t>
        </is>
      </c>
      <c r="H221" s="13" t="inlineStr">
        <is>
          <t>Media</t>
        </is>
      </c>
      <c r="I221" s="13" t="inlineStr">
        <is>
          <t>Revisar</t>
        </is>
      </c>
      <c r="J221" s="13" t="inlineStr"/>
      <c r="K221" s="13" t="inlineStr"/>
      <c r="L221" s="13" t="inlineStr">
        <is>
          <t>Sim</t>
        </is>
      </c>
      <c r="M221" s="15" t="inlineStr">
        <is>
          <t>NOTAS FISCAIS DE COMPRA JANEIRO 2026.pdf - p. 220</t>
        </is>
      </c>
    </row>
    <row r="222">
      <c r="A222" s="13" t="n">
        <v>221</v>
      </c>
      <c r="B222" s="13" t="inlineStr">
        <is>
          <t>JAN26-P221</t>
        </is>
      </c>
      <c r="C222" s="13" t="inlineStr">
        <is>
          <t>Outros/Documento</t>
        </is>
      </c>
      <c r="D222" s="13" t="inlineStr"/>
      <c r="E222" s="13" t="inlineStr">
        <is>
          <t>SERIE 001 | wonwate fazenda gov beponal ou oo sie da Sefaz Autorizadora</t>
        </is>
      </c>
      <c r="F222" s="16" t="n"/>
      <c r="G222" s="13" t="inlineStr">
        <is>
          <t>Apoio</t>
        </is>
      </c>
      <c r="H222" s="13" t="inlineStr">
        <is>
          <t>Media</t>
        </is>
      </c>
      <c r="I222" s="13" t="inlineStr">
        <is>
          <t>Não</t>
        </is>
      </c>
      <c r="J222" s="13" t="inlineStr"/>
      <c r="K222" s="13" t="inlineStr"/>
      <c r="L222" s="13" t="inlineStr">
        <is>
          <t>Sim</t>
        </is>
      </c>
      <c r="M222" s="15" t="inlineStr">
        <is>
          <t>NOTAS FISCAIS DE COMPRA JANEIRO 2026.pdf - p. 221</t>
        </is>
      </c>
    </row>
    <row r="223">
      <c r="A223" s="13" t="n">
        <v>222</v>
      </c>
      <c r="B223" s="13" t="inlineStr">
        <is>
          <t>JAN26-P222</t>
        </is>
      </c>
      <c r="C223" s="13" t="inlineStr">
        <is>
          <t>Outros/Documento</t>
        </is>
      </c>
      <c r="D223" s="13" t="inlineStr"/>
      <c r="E223" s="13" t="inlineStr">
        <is>
          <t>S| xxamioconconenno | St [or|omm] am | aor | Ga | Sat pewsmne] amcinn|ncenn | ace [oma</t>
        </is>
      </c>
      <c r="F223" s="16" t="n"/>
      <c r="G223" s="13" t="inlineStr">
        <is>
          <t>Apoio</t>
        </is>
      </c>
      <c r="H223" s="13" t="inlineStr">
        <is>
          <t>Media</t>
        </is>
      </c>
      <c r="I223" s="13" t="inlineStr">
        <is>
          <t>Não</t>
        </is>
      </c>
      <c r="J223" s="13" t="inlineStr"/>
      <c r="K223" s="13" t="inlineStr"/>
      <c r="L223" s="13" t="inlineStr">
        <is>
          <t>Sim</t>
        </is>
      </c>
      <c r="M223" s="15" t="inlineStr">
        <is>
          <t>NOTAS FISCAIS DE COMPRA JANEIRO 2026.pdf - p. 222</t>
        </is>
      </c>
    </row>
    <row r="224">
      <c r="A224" s="13" t="n">
        <v>223</v>
      </c>
      <c r="B224" s="13" t="inlineStr">
        <is>
          <t>JAN26-P223</t>
        </is>
      </c>
      <c r="C224" s="13" t="inlineStr">
        <is>
          <t>NF-e</t>
        </is>
      </c>
      <c r="D224" s="13" t="inlineStr"/>
      <c r="E224" s="13" t="inlineStr">
        <is>
          <t>VENDA DE MERCADORIA ADQUIRIDA OU RECEBIDA DE TERCE</t>
        </is>
      </c>
      <c r="F224" s="16" t="n"/>
      <c r="G224" s="13" t="inlineStr">
        <is>
          <t>Produtos</t>
        </is>
      </c>
      <c r="H224" s="13" t="inlineStr">
        <is>
          <t>Media</t>
        </is>
      </c>
      <c r="I224" s="13" t="inlineStr">
        <is>
          <t>Revisar</t>
        </is>
      </c>
      <c r="J224" s="13" t="inlineStr"/>
      <c r="K224" s="13" t="inlineStr"/>
      <c r="L224" s="13" t="inlineStr">
        <is>
          <t>Sim</t>
        </is>
      </c>
      <c r="M224" s="15" t="inlineStr">
        <is>
          <t>NOTAS FISCAIS DE COMPRA JANEIRO 2026.pdf - p. 223</t>
        </is>
      </c>
    </row>
    <row r="225">
      <c r="A225" s="13" t="n">
        <v>224</v>
      </c>
      <c r="B225" s="13" t="inlineStr">
        <is>
          <t>JAN26-P224</t>
        </is>
      </c>
      <c r="C225" s="13" t="inlineStr">
        <is>
          <t>NF-e</t>
        </is>
      </c>
      <c r="D225" s="13" t="inlineStr"/>
      <c r="E225" s="13" t="inlineStr">
        <is>
          <t>SERIE 001 | nwwaniefazendagov beporul ou no site da Sefor Autorizadora</t>
        </is>
      </c>
      <c r="F225" s="16" t="n"/>
      <c r="G225" s="13" t="inlineStr">
        <is>
          <t>Produtos</t>
        </is>
      </c>
      <c r="H225" s="13" t="inlineStr">
        <is>
          <t>Media</t>
        </is>
      </c>
      <c r="I225" s="13" t="inlineStr">
        <is>
          <t>Revisar</t>
        </is>
      </c>
      <c r="J225" s="13" t="inlineStr"/>
      <c r="K225" s="13" t="inlineStr"/>
      <c r="L225" s="13" t="inlineStr">
        <is>
          <t>Sim</t>
        </is>
      </c>
      <c r="M225" s="15" t="inlineStr">
        <is>
          <t>NOTAS FISCAIS DE COMPRA JANEIRO 2026.pdf - p. 224</t>
        </is>
      </c>
    </row>
    <row r="226">
      <c r="A226" s="13" t="n">
        <v>225</v>
      </c>
      <c r="B226" s="13" t="inlineStr">
        <is>
          <t>JAN26-P225</t>
        </is>
      </c>
      <c r="C226" s="13" t="inlineStr">
        <is>
          <t>Outros/Documento</t>
        </is>
      </c>
      <c r="D226" s="13" t="inlineStr"/>
      <c r="E226" s="13" t="inlineStr">
        <is>
          <t>VENDA DE MERCADORIA (DENTRO DO ESTADO)</t>
        </is>
      </c>
      <c r="F226" s="16" t="n"/>
      <c r="G226" s="13" t="inlineStr">
        <is>
          <t>Apoio</t>
        </is>
      </c>
      <c r="H226" s="13" t="inlineStr">
        <is>
          <t>Baixa</t>
        </is>
      </c>
      <c r="I226" s="13" t="inlineStr">
        <is>
          <t>Não</t>
        </is>
      </c>
      <c r="J226" s="13" t="inlineStr"/>
      <c r="K226" s="13" t="inlineStr"/>
      <c r="L226" s="13" t="inlineStr">
        <is>
          <t>Sim</t>
        </is>
      </c>
      <c r="M226" s="15" t="inlineStr">
        <is>
          <t>NOTAS FISCAIS DE COMPRA JANEIRO 2026.pdf - p. 225</t>
        </is>
      </c>
    </row>
    <row r="227">
      <c r="A227" s="13" t="n">
        <v>226</v>
      </c>
      <c r="B227" s="13" t="inlineStr">
        <is>
          <t>JAN26-P226</t>
        </is>
      </c>
      <c r="C227" s="13" t="inlineStr">
        <is>
          <t>NF-e</t>
        </is>
      </c>
      <c r="D227" s="13" t="inlineStr"/>
      <c r="E227" s="13" t="inlineStr">
        <is>
          <t>“ parzne 08 DE EAL ENDED NDONTIA BCOUERCO LTDA 08 PRADUTOS CONSTARTES HA NOTA HSCAL MOLADN? ] NF-e</t>
        </is>
      </c>
      <c r="F227" s="16" t="n"/>
      <c r="G227" s="13" t="inlineStr">
        <is>
          <t>Produtos</t>
        </is>
      </c>
      <c r="H227" s="13" t="inlineStr">
        <is>
          <t>Baixa</t>
        </is>
      </c>
      <c r="I227" s="13" t="inlineStr">
        <is>
          <t>Revisar</t>
        </is>
      </c>
      <c r="J227" s="13" t="inlineStr"/>
      <c r="K227" s="13" t="inlineStr"/>
      <c r="L227" s="13" t="inlineStr">
        <is>
          <t>Sim</t>
        </is>
      </c>
      <c r="M227" s="15" t="inlineStr">
        <is>
          <t>NOTAS FISCAIS DE COMPRA JANEIRO 2026.pdf - p. 226</t>
        </is>
      </c>
    </row>
    <row r="228">
      <c r="A228" s="13" t="n">
        <v>227</v>
      </c>
      <c r="B228" s="13" t="inlineStr">
        <is>
          <t>JAN26-P227</t>
        </is>
      </c>
      <c r="C228" s="13" t="inlineStr">
        <is>
          <t>Outros/Documento</t>
        </is>
      </c>
      <c r="D228" s="13" t="inlineStr"/>
      <c r="E228" s="13" t="inlineStr">
        <is>
          <t>[uns Barca de Menor. de Sevict ‘eziean 30058 19UN INDO: i</t>
        </is>
      </c>
      <c r="F228" s="16" t="n"/>
      <c r="G228" s="13" t="inlineStr">
        <is>
          <t>Apoio</t>
        </is>
      </c>
      <c r="H228" s="13" t="inlineStr">
        <is>
          <t>Baixa</t>
        </is>
      </c>
      <c r="I228" s="13" t="inlineStr">
        <is>
          <t>Não</t>
        </is>
      </c>
      <c r="J228" s="13" t="inlineStr"/>
      <c r="K228" s="13" t="inlineStr"/>
      <c r="L228" s="13" t="inlineStr">
        <is>
          <t>Sim</t>
        </is>
      </c>
      <c r="M228" s="15" t="inlineStr">
        <is>
          <t>NOTAS FISCAIS DE COMPRA JANEIRO 2026.pdf - p. 227</t>
        </is>
      </c>
    </row>
    <row r="229">
      <c r="A229" s="13" t="n">
        <v>228</v>
      </c>
      <c r="B229" s="13" t="inlineStr">
        <is>
          <t>JAN26-P228</t>
        </is>
      </c>
      <c r="C229" s="13" t="inlineStr">
        <is>
          <t>NF-e</t>
        </is>
      </c>
      <c r="D229" s="13" t="inlineStr"/>
      <c r="E229" s="13" t="inlineStr">
        <is>
          <t>‘Sicerreauc oc samen femme Powe</t>
        </is>
      </c>
      <c r="F229" s="16" t="n"/>
      <c r="G229" s="13" t="inlineStr">
        <is>
          <t>Produtos</t>
        </is>
      </c>
      <c r="H229" s="13" t="inlineStr">
        <is>
          <t>Baixa</t>
        </is>
      </c>
      <c r="I229" s="13" t="inlineStr">
        <is>
          <t>Revisar</t>
        </is>
      </c>
      <c r="J229" s="13" t="inlineStr"/>
      <c r="K229" s="13" t="inlineStr"/>
      <c r="L229" s="13" t="inlineStr">
        <is>
          <t>Sim</t>
        </is>
      </c>
      <c r="M229" s="15" t="inlineStr">
        <is>
          <t>NOTAS FISCAIS DE COMPRA JANEIRO 2026.pdf - p. 228</t>
        </is>
      </c>
    </row>
    <row r="230">
      <c r="A230" s="13" t="n">
        <v>229</v>
      </c>
      <c r="B230" s="13" t="inlineStr">
        <is>
          <t>JAN26-P229</t>
        </is>
      </c>
      <c r="C230" s="13" t="inlineStr">
        <is>
          <t>Outros/Documento</t>
        </is>
      </c>
      <c r="D230" s="13" t="inlineStr"/>
      <c r="E230" s="13" t="inlineStr">
        <is>
          <t>tren eee FP esween Pr bieaaioessemaascnens [ eameeewemvune |</t>
        </is>
      </c>
      <c r="F230" s="16" t="n"/>
      <c r="G230" s="13" t="inlineStr">
        <is>
          <t>Apoio</t>
        </is>
      </c>
      <c r="H230" s="13" t="inlineStr">
        <is>
          <t>Baixa</t>
        </is>
      </c>
      <c r="I230" s="13" t="inlineStr">
        <is>
          <t>Não</t>
        </is>
      </c>
      <c r="J230" s="13" t="inlineStr"/>
      <c r="K230" s="13" t="inlineStr"/>
      <c r="L230" s="13" t="inlineStr">
        <is>
          <t>Sim</t>
        </is>
      </c>
      <c r="M230" s="15" t="inlineStr">
        <is>
          <t>NOTAS FISCAIS DE COMPRA JANEIRO 2026.pdf - p. 229</t>
        </is>
      </c>
    </row>
    <row r="231">
      <c r="A231" s="13" t="n">
        <v>230</v>
      </c>
      <c r="B231" s="13" t="inlineStr">
        <is>
          <t>JAN26-P230</t>
        </is>
      </c>
      <c r="C231" s="13" t="inlineStr">
        <is>
          <t>NFS-e</t>
        </is>
      </c>
      <c r="D231" s="13" t="inlineStr"/>
      <c r="E231" s="13" t="inlineStr">
        <is>
          <t>INTERMEDIARIO DO SERVIC NAO IDENTIACADO NA NFE'S.</t>
        </is>
      </c>
      <c r="F231" s="16" t="n">
        <v>1708.72</v>
      </c>
      <c r="G231" s="13" t="inlineStr">
        <is>
          <t>Servicos</t>
        </is>
      </c>
      <c r="H231" s="13" t="inlineStr">
        <is>
          <t>Media</t>
        </is>
      </c>
      <c r="I231" s="13" t="inlineStr">
        <is>
          <t>Revisar</t>
        </is>
      </c>
      <c r="J231" s="13" t="inlineStr"/>
      <c r="K231" s="13" t="inlineStr"/>
      <c r="L231" s="13" t="inlineStr">
        <is>
          <t>Sim</t>
        </is>
      </c>
      <c r="M231" s="15" t="inlineStr">
        <is>
          <t>NOTAS FISCAIS DE COMPRA JANEIRO 2026.pdf - p. 230</t>
        </is>
      </c>
    </row>
    <row r="232">
      <c r="A232" s="13" t="n">
        <v>231</v>
      </c>
      <c r="B232" s="13" t="inlineStr">
        <is>
          <t>JAN26-P231</t>
        </is>
      </c>
      <c r="C232" s="13" t="inlineStr">
        <is>
          <t>NF-e</t>
        </is>
      </c>
      <c r="D232" s="13" t="inlineStr"/>
      <c r="E232" s="13" t="inlineStr">
        <is>
          <t>r:. LOURTVAL PARENTE - TERESINA - Pl- t TsaiDa SENG OUND agg) cnn nbd E88 Men ALS 12a ATTY SRA</t>
        </is>
      </c>
      <c r="F232" s="16" t="n"/>
      <c r="G232" s="13" t="inlineStr">
        <is>
          <t>Produtos</t>
        </is>
      </c>
      <c r="H232" s="13" t="inlineStr">
        <is>
          <t>Baixa</t>
        </is>
      </c>
      <c r="I232" s="13" t="inlineStr">
        <is>
          <t>Revisar</t>
        </is>
      </c>
      <c r="J232" s="13" t="inlineStr"/>
      <c r="K232" s="13" t="inlineStr"/>
      <c r="L232" s="13" t="inlineStr">
        <is>
          <t>Sim</t>
        </is>
      </c>
      <c r="M232" s="15" t="inlineStr">
        <is>
          <t>NOTAS FISCAIS DE COMPRA JANEIRO 2026.pdf - p. 231</t>
        </is>
      </c>
    </row>
    <row r="233">
      <c r="A233" s="13" t="n">
        <v>232</v>
      </c>
      <c r="B233" s="13" t="inlineStr">
        <is>
          <t>JAN26-P232</t>
        </is>
      </c>
      <c r="C233" s="13" t="inlineStr">
        <is>
          <t>Separador/Anotacao</t>
        </is>
      </c>
      <c r="D233" s="13" t="inlineStr"/>
      <c r="E233" s="13" t="inlineStr"/>
      <c r="F233" s="16" t="n"/>
      <c r="G233" s="13" t="inlineStr">
        <is>
          <t>Apoio</t>
        </is>
      </c>
      <c r="H233" s="13" t="inlineStr">
        <is>
          <t>Baixa</t>
        </is>
      </c>
      <c r="I233" s="13" t="inlineStr">
        <is>
          <t>Não</t>
        </is>
      </c>
      <c r="J233" s="13" t="inlineStr"/>
      <c r="K233" s="13" t="inlineStr"/>
      <c r="L233" s="13" t="inlineStr">
        <is>
          <t>Sim</t>
        </is>
      </c>
      <c r="M233" s="15" t="inlineStr">
        <is>
          <t>NOTAS FISCAIS DE COMPRA JANEIRO 2026.pdf - p. 232</t>
        </is>
      </c>
    </row>
    <row r="234">
      <c r="A234" s="13" t="n">
        <v>233</v>
      </c>
      <c r="B234" s="13" t="inlineStr">
        <is>
          <t>JAN26-P233</t>
        </is>
      </c>
      <c r="C234" s="13" t="inlineStr">
        <is>
          <t>Outros/Documento</t>
        </is>
      </c>
      <c r="D234" s="13" t="inlineStr"/>
      <c r="E234" s="13" t="inlineStr">
        <is>
          <t>‘TERESINA DISTRIBUIDORA DE PROD DE LIMPEZ | oss sur</t>
        </is>
      </c>
      <c r="F234" s="16" t="n"/>
      <c r="G234" s="13" t="inlineStr">
        <is>
          <t>Apoio</t>
        </is>
      </c>
      <c r="H234" s="13" t="inlineStr">
        <is>
          <t>Baixa</t>
        </is>
      </c>
      <c r="I234" s="13" t="inlineStr">
        <is>
          <t>Não</t>
        </is>
      </c>
      <c r="J234" s="13" t="inlineStr"/>
      <c r="K234" s="13" t="inlineStr"/>
      <c r="L234" s="13" t="inlineStr">
        <is>
          <t>Sim</t>
        </is>
      </c>
      <c r="M234" s="15" t="inlineStr">
        <is>
          <t>NOTAS FISCAIS DE COMPRA JANEIRO 2026.pdf - p. 233</t>
        </is>
      </c>
    </row>
    <row r="235">
      <c r="A235" s="13" t="n">
        <v>234</v>
      </c>
      <c r="B235" s="13" t="inlineStr">
        <is>
          <t>JAN26-P234</t>
        </is>
      </c>
      <c r="C235" s="13" t="inlineStr">
        <is>
          <t>Outros/Documento</t>
        </is>
      </c>
      <c r="D235" s="13" t="inlineStr"/>
      <c r="E235" s="13" t="inlineStr">
        <is>
          <t>Faacationpls do mestaato</t>
        </is>
      </c>
      <c r="F235" s="16" t="n"/>
      <c r="G235" s="13" t="inlineStr">
        <is>
          <t>Apoio</t>
        </is>
      </c>
      <c r="H235" s="13" t="inlineStr">
        <is>
          <t>Baixa</t>
        </is>
      </c>
      <c r="I235" s="13" t="inlineStr">
        <is>
          <t>Não</t>
        </is>
      </c>
      <c r="J235" s="13" t="inlineStr"/>
      <c r="K235" s="13" t="inlineStr"/>
      <c r="L235" s="13" t="inlineStr">
        <is>
          <t>Sim</t>
        </is>
      </c>
      <c r="M235" s="15" t="inlineStr">
        <is>
          <t>NOTAS FISCAIS DE COMPRA JANEIRO 2026.pdf - p. 234</t>
        </is>
      </c>
    </row>
    <row r="236">
      <c r="A236" s="13" t="n">
        <v>235</v>
      </c>
      <c r="B236" s="13" t="inlineStr">
        <is>
          <t>JAN26-P235</t>
        </is>
      </c>
      <c r="C236" s="13" t="inlineStr">
        <is>
          <t>Outros/Documento</t>
        </is>
      </c>
      <c r="D236" s="13" t="inlineStr"/>
      <c r="E236" s="13" t="inlineStr">
        <is>
          <t>VENDA DE MERCADORIA ADQUIRIDA OU RECEBIDA DE TERCE</t>
        </is>
      </c>
      <c r="F236" s="16" t="n"/>
      <c r="G236" s="13" t="inlineStr">
        <is>
          <t>Apoio</t>
        </is>
      </c>
      <c r="H236" s="13" t="inlineStr">
        <is>
          <t>Media</t>
        </is>
      </c>
      <c r="I236" s="13" t="inlineStr">
        <is>
          <t>Não</t>
        </is>
      </c>
      <c r="J236" s="13" t="inlineStr"/>
      <c r="K236" s="13" t="inlineStr"/>
      <c r="L236" s="13" t="inlineStr">
        <is>
          <t>Sim</t>
        </is>
      </c>
      <c r="M236" s="15" t="inlineStr">
        <is>
          <t>NOTAS FISCAIS DE COMPRA JANEIRO 2026.pdf - p. 235</t>
        </is>
      </c>
    </row>
    <row r="237">
      <c r="A237" s="13" t="n">
        <v>236</v>
      </c>
      <c r="B237" s="13" t="inlineStr">
        <is>
          <t>JAN26-P236</t>
        </is>
      </c>
      <c r="C237" s="13" t="inlineStr">
        <is>
          <t>NF-e</t>
        </is>
      </c>
      <c r="D237" s="13" t="inlineStr"/>
      <c r="E237" s="13" t="inlineStr">
        <is>
          <t>Aageaso em mexin de fechar nota pelo Usearios 4 NANIMBA. Nota Flecal Emitide pelo; Usnario;</t>
        </is>
      </c>
      <c r="F237" s="16" t="n"/>
      <c r="G237" s="13" t="inlineStr">
        <is>
          <t>Produtos</t>
        </is>
      </c>
      <c r="H237" s="13" t="inlineStr">
        <is>
          <t>Baixa</t>
        </is>
      </c>
      <c r="I237" s="13" t="inlineStr">
        <is>
          <t>Revisar</t>
        </is>
      </c>
      <c r="J237" s="13" t="inlineStr"/>
      <c r="K237" s="13" t="inlineStr"/>
      <c r="L237" s="13" t="inlineStr">
        <is>
          <t>Sim</t>
        </is>
      </c>
      <c r="M237" s="15" t="inlineStr">
        <is>
          <t>NOTAS FISCAIS DE COMPRA JANEIRO 2026.pdf - p. 236</t>
        </is>
      </c>
    </row>
    <row r="238">
      <c r="A238" s="13" t="n">
        <v>237</v>
      </c>
      <c r="B238" s="13" t="inlineStr">
        <is>
          <t>JAN26-P237</t>
        </is>
      </c>
      <c r="C238" s="13" t="inlineStr">
        <is>
          <t>NF-e</t>
        </is>
      </c>
      <c r="D238" s="13" t="inlineStr"/>
      <c r="E238" s="13" t="inlineStr">
        <is>
          <t>[Reccbeans de RAIMUNDO PIEROTE FILAIO ME cx prodine ica trv contains du Nota Fac Eten Valea wo as. WF.</t>
        </is>
      </c>
      <c r="F238" s="16" t="n"/>
      <c r="G238" s="13" t="inlineStr">
        <is>
          <t>Produtos</t>
        </is>
      </c>
      <c r="H238" s="13" t="inlineStr">
        <is>
          <t>Baixa</t>
        </is>
      </c>
      <c r="I238" s="13" t="inlineStr">
        <is>
          <t>Revisar</t>
        </is>
      </c>
      <c r="J238" s="13" t="inlineStr"/>
      <c r="K238" s="13" t="inlineStr"/>
      <c r="L238" s="13" t="inlineStr">
        <is>
          <t>Sim</t>
        </is>
      </c>
      <c r="M238" s="15" t="inlineStr">
        <is>
          <t>NOTAS FISCAIS DE COMPRA JANEIRO 2026.pdf - p. 237</t>
        </is>
      </c>
    </row>
    <row r="239">
      <c r="A239" s="13" t="n">
        <v>238</v>
      </c>
      <c r="B239" s="13" t="inlineStr">
        <is>
          <t>JAN26-P238</t>
        </is>
      </c>
      <c r="C239" s="13" t="inlineStr">
        <is>
          <t>Outros/Documento</t>
        </is>
      </c>
      <c r="D239" s="13" t="inlineStr"/>
      <c r="E239" s="13" t="inlineStr">
        <is>
          <t>pmol FE 1 | conan de mutate ne prt nacona da a wn cnc gor 0000 oa Saas Atos</t>
        </is>
      </c>
      <c r="F239" s="16" t="n"/>
      <c r="G239" s="13" t="inlineStr">
        <is>
          <t>Apoio</t>
        </is>
      </c>
      <c r="H239" s="13" t="inlineStr">
        <is>
          <t>Baixa</t>
        </is>
      </c>
      <c r="I239" s="13" t="inlineStr">
        <is>
          <t>Não</t>
        </is>
      </c>
      <c r="J239" s="13" t="inlineStr"/>
      <c r="K239" s="13" t="inlineStr"/>
      <c r="L239" s="13" t="inlineStr">
        <is>
          <t>Sim</t>
        </is>
      </c>
      <c r="M239" s="15" t="inlineStr">
        <is>
          <t>NOTAS FISCAIS DE COMPRA JANEIRO 2026.pdf - p. 238</t>
        </is>
      </c>
    </row>
    <row r="240">
      <c r="A240" s="13" t="n">
        <v>239</v>
      </c>
      <c r="B240" s="13" t="inlineStr">
        <is>
          <t>JAN26-P239</t>
        </is>
      </c>
      <c r="C240" s="13" t="inlineStr">
        <is>
          <t>Outros/Documento</t>
        </is>
      </c>
      <c r="D240" s="13" t="inlineStr"/>
      <c r="E240" s="13" t="inlineStr">
        <is>
          <t>V1~ Operagio no Realizada, menifastagio do destinalério raconhecdndo sux partcipagSo na operagio desezka na NF-e, mus dectarando qua a operagto 4</t>
        </is>
      </c>
      <c r="F240" s="16" t="n"/>
      <c r="G240" s="13" t="inlineStr">
        <is>
          <t>Apoio</t>
        </is>
      </c>
      <c r="H240" s="13" t="inlineStr">
        <is>
          <t>Baixa</t>
        </is>
      </c>
      <c r="I240" s="13" t="inlineStr">
        <is>
          <t>Não</t>
        </is>
      </c>
      <c r="J240" s="13" t="inlineStr"/>
      <c r="K240" s="13" t="inlineStr"/>
      <c r="L240" s="13" t="inlineStr">
        <is>
          <t>Sim</t>
        </is>
      </c>
      <c r="M240" s="15" t="inlineStr">
        <is>
          <t>NOTAS FISCAIS DE COMPRA JANEIRO 2026.pdf - p. 239</t>
        </is>
      </c>
    </row>
    <row r="241">
      <c r="A241" s="13" t="n">
        <v>240</v>
      </c>
      <c r="B241" s="13" t="inlineStr">
        <is>
          <t>JAN26-P240</t>
        </is>
      </c>
      <c r="C241" s="13" t="inlineStr">
        <is>
          <t>Outros/Documento</t>
        </is>
      </c>
      <c r="D241" s="13" t="inlineStr"/>
      <c r="E241" s="13" t="inlineStr">
        <is>
          <t>Gecmmcvananovrncoourocogmn —atttooomeey mee</t>
        </is>
      </c>
      <c r="F241" s="16" t="n"/>
      <c r="G241" s="13" t="inlineStr">
        <is>
          <t>Apoio</t>
        </is>
      </c>
      <c r="H241" s="13" t="inlineStr">
        <is>
          <t>Baixa</t>
        </is>
      </c>
      <c r="I241" s="13" t="inlineStr">
        <is>
          <t>Não</t>
        </is>
      </c>
      <c r="J241" s="13" t="inlineStr"/>
      <c r="K241" s="13" t="inlineStr"/>
      <c r="L241" s="13" t="inlineStr">
        <is>
          <t>Sim</t>
        </is>
      </c>
      <c r="M241" s="15" t="inlineStr">
        <is>
          <t>NOTAS FISCAIS DE COMPRA JANEIRO 2026.pdf - p. 240</t>
        </is>
      </c>
    </row>
    <row r="242">
      <c r="A242" s="13" t="n">
        <v>241</v>
      </c>
      <c r="B242" s="13" t="inlineStr">
        <is>
          <t>JAN26-P241</t>
        </is>
      </c>
      <c r="C242" s="13" t="inlineStr">
        <is>
          <t>Outros/Documento</t>
        </is>
      </c>
      <c r="D242" s="13" t="inlineStr"/>
      <c r="E242" s="13" t="inlineStr">
        <is>
          <t>«| Ros termos do Ar. 77, Pardgrafo Unico, Areno 6 da RICMSSC, as trereedaras constantes nesta Nota sca davaram de sar entregues pelo moto abaiko</t>
        </is>
      </c>
      <c r="F242" s="16" t="n"/>
      <c r="G242" s="13" t="inlineStr">
        <is>
          <t>Apoio</t>
        </is>
      </c>
      <c r="H242" s="13" t="inlineStr">
        <is>
          <t>Baixa</t>
        </is>
      </c>
      <c r="I242" s="13" t="inlineStr">
        <is>
          <t>Não</t>
        </is>
      </c>
      <c r="J242" s="13" t="inlineStr"/>
      <c r="K242" s="13" t="inlineStr"/>
      <c r="L242" s="13" t="inlineStr">
        <is>
          <t>Sim</t>
        </is>
      </c>
      <c r="M242" s="15" t="inlineStr">
        <is>
          <t>NOTAS FISCAIS DE COMPRA JANEIRO 2026.pdf - p. 241</t>
        </is>
      </c>
    </row>
    <row r="243">
      <c r="A243" s="13" t="n">
        <v>242</v>
      </c>
      <c r="B243" s="13" t="inlineStr">
        <is>
          <t>JAN26-P242</t>
        </is>
      </c>
      <c r="C243" s="13" t="inlineStr">
        <is>
          <t>NF-e</t>
        </is>
      </c>
      <c r="D243" s="13" t="inlineStr"/>
      <c r="E243" s="13" t="inlineStr">
        <is>
          <t>L ‘TERESINA-P| Fome/Fax: 4882202782 pain wwntatacendagevine/porta ou ne a da Sotex Autorizaéore</t>
        </is>
      </c>
      <c r="F243" s="16" t="n"/>
      <c r="G243" s="13" t="inlineStr">
        <is>
          <t>Produtos</t>
        </is>
      </c>
      <c r="H243" s="13" t="inlineStr">
        <is>
          <t>Baixa</t>
        </is>
      </c>
      <c r="I243" s="13" t="inlineStr">
        <is>
          <t>Revisar</t>
        </is>
      </c>
      <c r="J243" s="13" t="inlineStr"/>
      <c r="K243" s="13" t="inlineStr"/>
      <c r="L243" s="13" t="inlineStr">
        <is>
          <t>Sim</t>
        </is>
      </c>
      <c r="M243" s="15" t="inlineStr">
        <is>
          <t>NOTAS FISCAIS DE COMPRA JANEIRO 2026.pdf - p. 242</t>
        </is>
      </c>
    </row>
    <row r="244">
      <c r="A244" s="13" t="n">
        <v>243</v>
      </c>
      <c r="B244" s="13" t="inlineStr">
        <is>
          <t>JAN26-P243</t>
        </is>
      </c>
      <c r="C244" s="13" t="inlineStr">
        <is>
          <t>Outros/Documento</t>
        </is>
      </c>
      <c r="D244" s="13" t="inlineStr"/>
      <c r="E244" s="13" t="inlineStr">
        <is>
          <t>hercodots ceonsbaca na ombresn EBAZAR COMER LTDA tatabewsoas ta via Fartave, SI. Bao Baro Daa, Lavo</t>
        </is>
      </c>
      <c r="F244" s="16" t="n"/>
      <c r="G244" s="13" t="inlineStr">
        <is>
          <t>Apoio</t>
        </is>
      </c>
      <c r="H244" s="13" t="inlineStr">
        <is>
          <t>Baixa</t>
        </is>
      </c>
      <c r="I244" s="13" t="inlineStr">
        <is>
          <t>Não</t>
        </is>
      </c>
      <c r="J244" s="13" t="inlineStr"/>
      <c r="K244" s="13" t="inlineStr"/>
      <c r="L244" s="13" t="inlineStr">
        <is>
          <t>Sim</t>
        </is>
      </c>
      <c r="M244" s="15" t="inlineStr">
        <is>
          <t>NOTAS FISCAIS DE COMPRA JANEIRO 2026.pdf - p. 243</t>
        </is>
      </c>
    </row>
    <row r="245">
      <c r="A245" s="13" t="n">
        <v>244</v>
      </c>
      <c r="B245" s="13" t="inlineStr">
        <is>
          <t>JAN26-P244</t>
        </is>
      </c>
      <c r="C245" s="13" t="inlineStr">
        <is>
          <t>Outros/Documento</t>
        </is>
      </c>
      <c r="D245" s="13" t="inlineStr"/>
      <c r="E245" s="13" t="inlineStr">
        <is>
          <t>eRe pp woe me or oes rs one mn wo cm om</t>
        </is>
      </c>
      <c r="F245" s="16" t="n"/>
      <c r="G245" s="13" t="inlineStr">
        <is>
          <t>Apoio</t>
        </is>
      </c>
      <c r="H245" s="13" t="inlineStr">
        <is>
          <t>Baixa</t>
        </is>
      </c>
      <c r="I245" s="13" t="inlineStr">
        <is>
          <t>Não</t>
        </is>
      </c>
      <c r="J245" s="13" t="inlineStr"/>
      <c r="K245" s="13" t="inlineStr"/>
      <c r="L245" s="13" t="inlineStr">
        <is>
          <t>Sim</t>
        </is>
      </c>
      <c r="M245" s="15" t="inlineStr">
        <is>
          <t>NOTAS FISCAIS DE COMPRA JANEIRO 2026.pdf - p. 244</t>
        </is>
      </c>
    </row>
    <row r="246">
      <c r="A246" s="13" t="n">
        <v>245</v>
      </c>
      <c r="B246" s="13" t="inlineStr">
        <is>
          <t>JAN26-P245</t>
        </is>
      </c>
      <c r="C246" s="13" t="inlineStr">
        <is>
          <t>Separador/Anotacao</t>
        </is>
      </c>
      <c r="D246" s="13" t="inlineStr"/>
      <c r="E246" s="13" t="inlineStr"/>
      <c r="F246" s="16" t="n"/>
      <c r="G246" s="13" t="inlineStr">
        <is>
          <t>Apoio</t>
        </is>
      </c>
      <c r="H246" s="13" t="inlineStr">
        <is>
          <t>Baixa</t>
        </is>
      </c>
      <c r="I246" s="13" t="inlineStr">
        <is>
          <t>Não</t>
        </is>
      </c>
      <c r="J246" s="13" t="inlineStr"/>
      <c r="K246" s="13" t="inlineStr"/>
      <c r="L246" s="13" t="inlineStr">
        <is>
          <t>Sim</t>
        </is>
      </c>
      <c r="M246" s="15" t="inlineStr">
        <is>
          <t>NOTAS FISCAIS DE COMPRA JANEIRO 2026.pdf - p. 245</t>
        </is>
      </c>
    </row>
    <row r="247">
      <c r="A247" s="13" t="n">
        <v>246</v>
      </c>
      <c r="B247" s="13" t="inlineStr">
        <is>
          <t>JAN26-P246</t>
        </is>
      </c>
      <c r="C247" s="13" t="inlineStr">
        <is>
          <t>NFS-e</t>
        </is>
      </c>
      <c r="D247" s="13" t="inlineStr">
        <is>
          <t>97351/U</t>
        </is>
      </c>
      <c r="E247" s="13" t="inlineStr">
        <is>
          <t>CACIQUE PNEUS INDUSTRIA E COMERCIO LTDA</t>
        </is>
      </c>
      <c r="F247" s="16" t="n">
        <v>2104.68</v>
      </c>
      <c r="G247" s="13" t="inlineStr">
        <is>
          <t>Serviços</t>
        </is>
      </c>
      <c r="H247" s="13" t="inlineStr">
        <is>
          <t>Baixa</t>
        </is>
      </c>
      <c r="I247" s="13" t="inlineStr">
        <is>
          <t>Sim</t>
        </is>
      </c>
      <c r="J247" s="13" t="inlineStr"/>
      <c r="K247" s="13" t="inlineStr"/>
      <c r="L247" s="13" t="inlineStr">
        <is>
          <t>Sim</t>
        </is>
      </c>
      <c r="M247" s="15" t="inlineStr">
        <is>
          <t>NOTAS FISCAIS DE COMPRA JANEIRO 2026.pdf - p. 246</t>
        </is>
      </c>
    </row>
    <row r="248">
      <c r="A248" s="13" t="n">
        <v>247</v>
      </c>
      <c r="B248" s="13" t="inlineStr">
        <is>
          <t>JAN26-P247</t>
        </is>
      </c>
      <c r="C248" s="13" t="inlineStr">
        <is>
          <t>NFS-e</t>
        </is>
      </c>
      <c r="D248" s="13" t="inlineStr">
        <is>
          <t>35</t>
        </is>
      </c>
      <c r="E248" s="13" t="inlineStr">
        <is>
          <t>MARCOS JOSE FONTANA HANUS</t>
        </is>
      </c>
      <c r="F248" s="16" t="n">
        <v>440</v>
      </c>
      <c r="G248" s="13" t="inlineStr">
        <is>
          <t>Serviços</t>
        </is>
      </c>
      <c r="H248" s="13" t="inlineStr">
        <is>
          <t>Media</t>
        </is>
      </c>
      <c r="I248" s="13" t="inlineStr">
        <is>
          <t>Sim</t>
        </is>
      </c>
      <c r="J248" s="13" t="inlineStr"/>
      <c r="K248" s="13" t="inlineStr"/>
      <c r="L248" s="13" t="inlineStr">
        <is>
          <t>Sim</t>
        </is>
      </c>
      <c r="M248" s="15" t="inlineStr">
        <is>
          <t>NOTAS FISCAIS DE COMPRA JANEIRO 2026.pdf - p. 247</t>
        </is>
      </c>
    </row>
    <row r="249">
      <c r="A249" s="13" t="n">
        <v>248</v>
      </c>
      <c r="B249" s="13" t="inlineStr">
        <is>
          <t>JAN26-P248</t>
        </is>
      </c>
      <c r="C249" s="13" t="inlineStr">
        <is>
          <t>Outros/Documento</t>
        </is>
      </c>
      <c r="D249" s="13" t="inlineStr"/>
      <c r="E249" s="13" t="inlineStr">
        <is>
          <t>REFERENTS A SERVIQOS DE PUBLICIOABE PRESTADOS PARA A SEAL ENGENMARTA INDIESTRIA E-COMERCIO LTDA.</t>
        </is>
      </c>
      <c r="F249" s="16" t="n"/>
      <c r="G249" s="13" t="inlineStr">
        <is>
          <t>Apoio</t>
        </is>
      </c>
      <c r="H249" s="13" t="inlineStr">
        <is>
          <t>Media</t>
        </is>
      </c>
      <c r="I249" s="13" t="inlineStr">
        <is>
          <t>Não</t>
        </is>
      </c>
      <c r="J249" s="13" t="inlineStr"/>
      <c r="K249" s="13" t="inlineStr"/>
      <c r="L249" s="13" t="inlineStr">
        <is>
          <t>Sim</t>
        </is>
      </c>
      <c r="M249" s="15" t="inlineStr">
        <is>
          <t>NOTAS FISCAIS DE COMPRA JANEIRO 2026.pdf - p. 248</t>
        </is>
      </c>
    </row>
    <row r="250">
      <c r="A250" s="13" t="n">
        <v>249</v>
      </c>
      <c r="B250" s="13" t="inlineStr">
        <is>
          <t>JAN26-P249</t>
        </is>
      </c>
      <c r="C250" s="13" t="inlineStr">
        <is>
          <t>NFS-e</t>
        </is>
      </c>
      <c r="D250" s="13" t="inlineStr">
        <is>
          <t>382/U</t>
        </is>
      </c>
      <c r="E250" s="13" t="inlineStr">
        <is>
          <t>FRANCISCO DAS CHAGAS BISPO DE ARAUJO JUNIOR</t>
        </is>
      </c>
      <c r="F250" s="16" t="n">
        <v>14000</v>
      </c>
      <c r="G250" s="13" t="inlineStr">
        <is>
          <t>Serviços</t>
        </is>
      </c>
      <c r="H250" s="13" t="inlineStr">
        <is>
          <t>Media</t>
        </is>
      </c>
      <c r="I250" s="13" t="inlineStr">
        <is>
          <t>Sim</t>
        </is>
      </c>
      <c r="J250" s="13" t="inlineStr"/>
      <c r="K250" s="13" t="inlineStr"/>
      <c r="L250" s="13" t="inlineStr">
        <is>
          <t>Sim</t>
        </is>
      </c>
      <c r="M250" s="15" t="inlineStr">
        <is>
          <t>NOTAS FISCAIS DE COMPRA JANEIRO 2026.pdf - p. 249</t>
        </is>
      </c>
    </row>
    <row r="251">
      <c r="A251" s="13" t="n">
        <v>250</v>
      </c>
      <c r="B251" s="13" t="inlineStr">
        <is>
          <t>JAN26-P250</t>
        </is>
      </c>
      <c r="C251" s="13" t="inlineStr">
        <is>
          <t>NFS-e</t>
        </is>
      </c>
      <c r="D251" s="13" t="inlineStr">
        <is>
          <t>383/U</t>
        </is>
      </c>
      <c r="E251" s="13" t="inlineStr">
        <is>
          <t>FRANCISCO DAS CHAGAS BISPO DE ARAUJO JUNIOR</t>
        </is>
      </c>
      <c r="F251" s="16" t="n">
        <v>800</v>
      </c>
      <c r="G251" s="13" t="inlineStr">
        <is>
          <t>Serviços</t>
        </is>
      </c>
      <c r="H251" s="13" t="inlineStr">
        <is>
          <t>Media</t>
        </is>
      </c>
      <c r="I251" s="13" t="inlineStr">
        <is>
          <t>Sim</t>
        </is>
      </c>
      <c r="J251" s="13" t="inlineStr"/>
      <c r="K251" s="13" t="inlineStr"/>
      <c r="L251" s="13" t="inlineStr">
        <is>
          <t>Sim</t>
        </is>
      </c>
      <c r="M251" s="15" t="inlineStr">
        <is>
          <t>NOTAS FISCAIS DE COMPRA JANEIRO 2026.pdf - p. 250</t>
        </is>
      </c>
    </row>
    <row r="252">
      <c r="A252" s="13" t="n">
        <v>251</v>
      </c>
      <c r="B252" s="13" t="inlineStr">
        <is>
          <t>JAN26-P251</t>
        </is>
      </c>
      <c r="C252" s="13" t="inlineStr">
        <is>
          <t>NFS-e</t>
        </is>
      </c>
      <c r="D252" s="13" t="inlineStr">
        <is>
          <t>26589/U</t>
        </is>
      </c>
      <c r="E252" s="13" t="inlineStr">
        <is>
          <t>ATHOS MED SERVICOS EM SAUDE - LTDA</t>
        </is>
      </c>
      <c r="F252" s="16" t="n">
        <v>5922</v>
      </c>
      <c r="G252" s="13" t="inlineStr">
        <is>
          <t>Serviços</t>
        </is>
      </c>
      <c r="H252" s="13" t="inlineStr">
        <is>
          <t>Media</t>
        </is>
      </c>
      <c r="I252" s="13" t="inlineStr">
        <is>
          <t>Sim</t>
        </is>
      </c>
      <c r="J252" s="13" t="inlineStr"/>
      <c r="K252" s="13" t="inlineStr"/>
      <c r="L252" s="13" t="inlineStr">
        <is>
          <t>Sim</t>
        </is>
      </c>
      <c r="M252" s="15" t="inlineStr">
        <is>
          <t>NOTAS FISCAIS DE COMPRA JANEIRO 2026.pdf - p. 251</t>
        </is>
      </c>
    </row>
    <row r="253">
      <c r="A253" s="13" t="n">
        <v>252</v>
      </c>
      <c r="B253" s="13" t="inlineStr">
        <is>
          <t>JAN26-P252</t>
        </is>
      </c>
      <c r="C253" s="13" t="inlineStr">
        <is>
          <t>NFS-e</t>
        </is>
      </c>
      <c r="D253" s="13" t="inlineStr"/>
      <c r="E253" s="13" t="inlineStr">
        <is>
          <t>jlorentea autora de 2" Siperisto Gini ¢ .)</t>
        </is>
      </c>
      <c r="F253" s="16" t="n"/>
      <c r="G253" s="13" t="inlineStr">
        <is>
          <t>Servicos</t>
        </is>
      </c>
      <c r="H253" s="13" t="inlineStr">
        <is>
          <t>Baixa</t>
        </is>
      </c>
      <c r="I253" s="13" t="inlineStr">
        <is>
          <t>Revisar</t>
        </is>
      </c>
      <c r="J253" s="13" t="inlineStr"/>
      <c r="K253" s="13" t="inlineStr"/>
      <c r="L253" s="13" t="inlineStr">
        <is>
          <t>Sim</t>
        </is>
      </c>
      <c r="M253" s="15" t="inlineStr">
        <is>
          <t>NOTAS FISCAIS DE COMPRA JANEIRO 2026.pdf - p. 252</t>
        </is>
      </c>
    </row>
    <row r="254">
      <c r="A254" s="13" t="n">
        <v>253</v>
      </c>
      <c r="B254" s="13" t="inlineStr">
        <is>
          <t>JAN26-P253</t>
        </is>
      </c>
      <c r="C254" s="13" t="inlineStr">
        <is>
          <t>NFS-e</t>
        </is>
      </c>
      <c r="D254" s="13" t="inlineStr">
        <is>
          <t>23</t>
        </is>
      </c>
      <c r="E254" s="13" t="inlineStr">
        <is>
          <t>MARCOS JOSE FONTANA HANUS</t>
        </is>
      </c>
      <c r="F254" s="16" t="n">
        <v>440</v>
      </c>
      <c r="G254" s="13" t="inlineStr">
        <is>
          <t>Serviços</t>
        </is>
      </c>
      <c r="H254" s="13" t="inlineStr">
        <is>
          <t>Media</t>
        </is>
      </c>
      <c r="I254" s="13" t="inlineStr">
        <is>
          <t>Sim</t>
        </is>
      </c>
      <c r="J254" s="13" t="inlineStr"/>
      <c r="K254" s="13" t="inlineStr"/>
      <c r="L254" s="13" t="inlineStr">
        <is>
          <t>Sim</t>
        </is>
      </c>
      <c r="M254" s="15" t="inlineStr">
        <is>
          <t>NOTAS FISCAIS DE COMPRA JANEIRO 2026.pdf - p. 253</t>
        </is>
      </c>
    </row>
    <row r="255">
      <c r="A255" s="13" t="n">
        <v>254</v>
      </c>
      <c r="B255" s="13" t="inlineStr">
        <is>
          <t>JAN26-P254</t>
        </is>
      </c>
      <c r="C255" s="13" t="inlineStr">
        <is>
          <t>Separador/Anotacao</t>
        </is>
      </c>
      <c r="D255" s="13" t="inlineStr"/>
      <c r="E255" s="13" t="inlineStr"/>
      <c r="F255" s="16" t="n"/>
      <c r="G255" s="13" t="inlineStr">
        <is>
          <t>Apoio</t>
        </is>
      </c>
      <c r="H255" s="13" t="inlineStr">
        <is>
          <t>Baixa</t>
        </is>
      </c>
      <c r="I255" s="13" t="inlineStr">
        <is>
          <t>Não</t>
        </is>
      </c>
      <c r="J255" s="13" t="inlineStr"/>
      <c r="K255" s="13" t="inlineStr"/>
      <c r="L255" s="13" t="inlineStr">
        <is>
          <t>Sim</t>
        </is>
      </c>
      <c r="M255" s="15" t="inlineStr">
        <is>
          <t>NOTAS FISCAIS DE COMPRA JANEIRO 2026.pdf - p. 254</t>
        </is>
      </c>
    </row>
    <row r="256">
      <c r="A256" s="13" t="n">
        <v>255</v>
      </c>
      <c r="B256" s="13" t="inlineStr">
        <is>
          <t>JAN26-P255</t>
        </is>
      </c>
      <c r="C256" s="13" t="inlineStr">
        <is>
          <t>NF-e</t>
        </is>
      </c>
      <c r="D256" s="13" t="inlineStr"/>
      <c r="E256" s="13" t="inlineStr">
        <is>
          <t>seo. vimass! VEN. 104 OP:2088 COND: SABOAGAMENTOPRE FANT: Bk MFEREABRICAC/[——</t>
        </is>
      </c>
      <c r="F256" s="16" t="n"/>
      <c r="G256" s="13" t="inlineStr">
        <is>
          <t>Produtos</t>
        </is>
      </c>
      <c r="H256" s="13" t="inlineStr">
        <is>
          <t>Baixa</t>
        </is>
      </c>
      <c r="I256" s="13" t="inlineStr">
        <is>
          <t>Revisar</t>
        </is>
      </c>
      <c r="J256" s="13" t="inlineStr"/>
      <c r="K256" s="13" t="inlineStr"/>
      <c r="L256" s="13" t="inlineStr">
        <is>
          <t>Sim</t>
        </is>
      </c>
      <c r="M256" s="15" t="inlineStr">
        <is>
          <t>NOTAS FISCAIS DE COMPRA JANEIRO 2026.pdf - p. 255</t>
        </is>
      </c>
    </row>
    <row r="257">
      <c r="A257" s="13" t="n">
        <v>256</v>
      </c>
      <c r="B257" s="13" t="inlineStr">
        <is>
          <t>JAN26-P256</t>
        </is>
      </c>
      <c r="C257" s="13" t="inlineStr">
        <is>
          <t>Separador/Anotacao</t>
        </is>
      </c>
      <c r="D257" s="13" t="inlineStr"/>
      <c r="E257" s="13" t="inlineStr"/>
      <c r="F257" s="16" t="n"/>
      <c r="G257" s="13" t="inlineStr">
        <is>
          <t>Apoio</t>
        </is>
      </c>
      <c r="H257" s="13" t="inlineStr">
        <is>
          <t>Baixa</t>
        </is>
      </c>
      <c r="I257" s="13" t="inlineStr">
        <is>
          <t>Não</t>
        </is>
      </c>
      <c r="J257" s="13" t="inlineStr"/>
      <c r="K257" s="13" t="inlineStr"/>
      <c r="L257" s="13" t="inlineStr">
        <is>
          <t>Sim</t>
        </is>
      </c>
      <c r="M257" s="15" t="inlineStr">
        <is>
          <t>NOTAS FISCAIS DE COMPRA JANEIRO 2026.pdf - p. 256</t>
        </is>
      </c>
    </row>
    <row r="258">
      <c r="A258" s="13" t="n">
        <v>257</v>
      </c>
      <c r="B258" s="13" t="inlineStr">
        <is>
          <t>JAN26-P257</t>
        </is>
      </c>
      <c r="C258" s="13" t="inlineStr">
        <is>
          <t>Outros/Documento</t>
        </is>
      </c>
      <c r="D258" s="13" t="inlineStr"/>
      <c r="E258" s="13" t="inlineStr">
        <is>
          <t>VENDA DE MERCADORIA ADQUIRIDA OU RECEBIDA DE TERCE</t>
        </is>
      </c>
      <c r="F258" s="16" t="n"/>
      <c r="G258" s="13" t="inlineStr">
        <is>
          <t>Apoio</t>
        </is>
      </c>
      <c r="H258" s="13" t="inlineStr">
        <is>
          <t>Baixa</t>
        </is>
      </c>
      <c r="I258" s="13" t="inlineStr">
        <is>
          <t>Não</t>
        </is>
      </c>
      <c r="J258" s="13" t="inlineStr"/>
      <c r="K258" s="13" t="inlineStr"/>
      <c r="L258" s="13" t="inlineStr">
        <is>
          <t>Sim</t>
        </is>
      </c>
      <c r="M258" s="15" t="inlineStr">
        <is>
          <t>NOTAS FISCAIS DE COMPRA JANEIRO 2026.pdf - p. 257</t>
        </is>
      </c>
    </row>
    <row r="259">
      <c r="A259" s="13" t="n">
        <v>258</v>
      </c>
      <c r="B259" s="13" t="inlineStr">
        <is>
          <t>JAN26-P258</t>
        </is>
      </c>
      <c r="C259" s="13" t="inlineStr">
        <is>
          <t>Outros/Documento</t>
        </is>
      </c>
      <c r="D259" s="13" t="inlineStr"/>
      <c r="E259" s="13" t="inlineStr">
        <is>
          <t>&lt;arnag SERPEG TRATORES LTDA) oles | AMIDA ANIRNMN ETE</t>
        </is>
      </c>
      <c r="F259" s="16" t="n"/>
      <c r="G259" s="13" t="inlineStr">
        <is>
          <t>Apoio</t>
        </is>
      </c>
      <c r="H259" s="13" t="inlineStr">
        <is>
          <t>Baixa</t>
        </is>
      </c>
      <c r="I259" s="13" t="inlineStr">
        <is>
          <t>Não</t>
        </is>
      </c>
      <c r="J259" s="13" t="inlineStr"/>
      <c r="K259" s="13" t="inlineStr"/>
      <c r="L259" s="13" t="inlineStr">
        <is>
          <t>Sim</t>
        </is>
      </c>
      <c r="M259" s="15" t="inlineStr">
        <is>
          <t>NOTAS FISCAIS DE COMPRA JANEIRO 2026.pdf - p. 258</t>
        </is>
      </c>
    </row>
    <row r="260">
      <c r="A260" s="13" t="n">
        <v>259</v>
      </c>
      <c r="B260" s="13" t="inlineStr">
        <is>
          <t>JAN26-P259</t>
        </is>
      </c>
      <c r="C260" s="13" t="inlineStr">
        <is>
          <t>NF-e</t>
        </is>
      </c>
      <c r="D260" s="13" t="inlineStr"/>
      <c r="E260" s="13" t="inlineStr">
        <is>
          <t>|S1e2/405 VENDA MERC. DENT. ESTADO ___trmaevoparecses 1201026 145057</t>
        </is>
      </c>
      <c r="F260" s="16" t="n"/>
      <c r="G260" s="13" t="inlineStr">
        <is>
          <t>Produtos</t>
        </is>
      </c>
      <c r="H260" s="13" t="inlineStr">
        <is>
          <t>Baixa</t>
        </is>
      </c>
      <c r="I260" s="13" t="inlineStr">
        <is>
          <t>Revisar</t>
        </is>
      </c>
      <c r="J260" s="13" t="inlineStr"/>
      <c r="K260" s="13" t="inlineStr"/>
      <c r="L260" s="13" t="inlineStr">
        <is>
          <t>Sim</t>
        </is>
      </c>
      <c r="M260" s="15" t="inlineStr">
        <is>
          <t>NOTAS FISCAIS DE COMPRA JANEIRO 2026.pdf - p. 259</t>
        </is>
      </c>
    </row>
    <row r="261">
      <c r="A261" s="13" t="n">
        <v>260</v>
      </c>
      <c r="B261" s="13" t="inlineStr">
        <is>
          <t>JAN26-P260</t>
        </is>
      </c>
      <c r="C261" s="13" t="inlineStr">
        <is>
          <t>Outros/Documento</t>
        </is>
      </c>
      <c r="D261" s="13" t="inlineStr"/>
      <c r="E261" s="13" t="inlineStr">
        <is>
          <t>VENDA DE MERC. ADQURIDA OU RECEBIDA DE TERCEIROS.</t>
        </is>
      </c>
      <c r="F261" s="16" t="n"/>
      <c r="G261" s="13" t="inlineStr">
        <is>
          <t>Apoio</t>
        </is>
      </c>
      <c r="H261" s="13" t="inlineStr">
        <is>
          <t>Baixa</t>
        </is>
      </c>
      <c r="I261" s="13" t="inlineStr">
        <is>
          <t>Não</t>
        </is>
      </c>
      <c r="J261" s="13" t="inlineStr"/>
      <c r="K261" s="13" t="inlineStr"/>
      <c r="L261" s="13" t="inlineStr">
        <is>
          <t>Sim</t>
        </is>
      </c>
      <c r="M261" s="15" t="inlineStr">
        <is>
          <t>NOTAS FISCAIS DE COMPRA JANEIRO 2026.pdf - p. 260</t>
        </is>
      </c>
    </row>
    <row r="262">
      <c r="A262" s="13" t="n">
        <v>261</v>
      </c>
      <c r="B262" s="13" t="inlineStr">
        <is>
          <t>JAN26-P261</t>
        </is>
      </c>
      <c r="C262" s="13" t="inlineStr">
        <is>
          <t>NFS-e</t>
        </is>
      </c>
      <c r="D262" s="13" t="inlineStr"/>
      <c r="E262" s="13" t="inlineStr">
        <is>
          <t>ANDRE VIANA VIEIRA ME</t>
        </is>
      </c>
      <c r="F262" s="16" t="n"/>
      <c r="G262" s="13" t="inlineStr">
        <is>
          <t>Servicos</t>
        </is>
      </c>
      <c r="H262" s="13" t="inlineStr">
        <is>
          <t>Baixa</t>
        </is>
      </c>
      <c r="I262" s="13" t="inlineStr">
        <is>
          <t>Revisar</t>
        </is>
      </c>
      <c r="J262" s="13" t="inlineStr"/>
      <c r="K262" s="13" t="inlineStr"/>
      <c r="L262" s="13" t="inlineStr">
        <is>
          <t>Sim</t>
        </is>
      </c>
      <c r="M262" s="15" t="inlineStr">
        <is>
          <t>NOTAS FISCAIS DE COMPRA JANEIRO 2026.pdf - p. 261</t>
        </is>
      </c>
    </row>
    <row r="263">
      <c r="A263" s="13" t="n">
        <v>262</v>
      </c>
      <c r="B263" s="13" t="inlineStr">
        <is>
          <t>JAN26-P262</t>
        </is>
      </c>
      <c r="C263" s="13" t="inlineStr">
        <is>
          <t>Outros/Documento</t>
        </is>
      </c>
      <c r="D263" s="13" t="inlineStr"/>
      <c r="E263" s="13" t="inlineStr">
        <is>
          <t>Beer ees Svat cenro #0 LTOAA E COMERCI AVENIDA SAD FRANCISCO, 4000 - EXTREMA - Teresi</t>
        </is>
      </c>
      <c r="F263" s="16" t="n"/>
      <c r="G263" s="13" t="inlineStr">
        <is>
          <t>Apoio</t>
        </is>
      </c>
      <c r="H263" s="13" t="inlineStr">
        <is>
          <t>Media</t>
        </is>
      </c>
      <c r="I263" s="13" t="inlineStr">
        <is>
          <t>Não</t>
        </is>
      </c>
      <c r="J263" s="13" t="inlineStr"/>
      <c r="K263" s="13" t="inlineStr"/>
      <c r="L263" s="13" t="inlineStr">
        <is>
          <t>Sim</t>
        </is>
      </c>
      <c r="M263" s="15" t="inlineStr">
        <is>
          <t>NOTAS FISCAIS DE COMPRA JANEIRO 2026.pdf - p. 262</t>
        </is>
      </c>
    </row>
    <row r="264">
      <c r="A264" s="13" t="n">
        <v>263</v>
      </c>
      <c r="B264" s="13" t="inlineStr">
        <is>
          <t>JAN26-P263</t>
        </is>
      </c>
      <c r="C264" s="13" t="inlineStr">
        <is>
          <t>Outros/Documento</t>
        </is>
      </c>
      <c r="D264" s="13" t="inlineStr"/>
      <c r="E264" s="13" t="inlineStr">
        <is>
          <t>i + aot lll mala lai hneemeenaliemiaaal</t>
        </is>
      </c>
      <c r="F264" s="16" t="n"/>
      <c r="G264" s="13" t="inlineStr">
        <is>
          <t>Apoio</t>
        </is>
      </c>
      <c r="H264" s="13" t="inlineStr">
        <is>
          <t>Baixa</t>
        </is>
      </c>
      <c r="I264" s="13" t="inlineStr">
        <is>
          <t>Não</t>
        </is>
      </c>
      <c r="J264" s="13" t="inlineStr"/>
      <c r="K264" s="13" t="inlineStr"/>
      <c r="L264" s="13" t="inlineStr">
        <is>
          <t>Sim</t>
        </is>
      </c>
      <c r="M264" s="15" t="inlineStr">
        <is>
          <t>NOTAS FISCAIS DE COMPRA JANEIRO 2026.pdf - p. 263</t>
        </is>
      </c>
    </row>
    <row r="265">
      <c r="A265" s="13" t="n">
        <v>264</v>
      </c>
      <c r="B265" s="13" t="inlineStr">
        <is>
          <t>JAN26-P264</t>
        </is>
      </c>
      <c r="C265" s="13" t="inlineStr">
        <is>
          <t>NFS-e</t>
        </is>
      </c>
      <c r="D265" s="13" t="inlineStr">
        <is>
          <t>4</t>
        </is>
      </c>
      <c r="E265" s="13" t="inlineStr">
        <is>
          <t>G R DE MORAES CONSTRUCOES</t>
        </is>
      </c>
      <c r="F265" s="16" t="n">
        <v>40000</v>
      </c>
      <c r="G265" s="13" t="inlineStr">
        <is>
          <t>Serviços</t>
        </is>
      </c>
      <c r="H265" s="13" t="inlineStr">
        <is>
          <t>Media</t>
        </is>
      </c>
      <c r="I265" s="13" t="inlineStr">
        <is>
          <t>Sim</t>
        </is>
      </c>
      <c r="J265" s="13" t="inlineStr"/>
      <c r="K265" s="13" t="inlineStr"/>
      <c r="L265" s="13" t="inlineStr">
        <is>
          <t>Sim</t>
        </is>
      </c>
      <c r="M265" s="15" t="inlineStr">
        <is>
          <t>NOTAS FISCAIS DE COMPRA JANEIRO 2026.pdf - p. 264</t>
        </is>
      </c>
    </row>
    <row r="266">
      <c r="A266" s="13" t="n">
        <v>265</v>
      </c>
      <c r="B266" s="13" t="inlineStr">
        <is>
          <t>JAN26-P265</t>
        </is>
      </c>
      <c r="C266" s="13" t="inlineStr">
        <is>
          <t>NF-e</t>
        </is>
      </c>
      <c r="D266" s="13" t="inlineStr"/>
      <c r="E266" s="13" t="inlineStr">
        <is>
          <t>IVeuda de mercadoria sdquirida au receblda de teretivex em op. 22I269002 591389 - 18/01/1026 40:85</t>
        </is>
      </c>
      <c r="F266" s="16" t="n"/>
      <c r="G266" s="13" t="inlineStr">
        <is>
          <t>Produtos</t>
        </is>
      </c>
      <c r="H266" s="13" t="inlineStr">
        <is>
          <t>Baixa</t>
        </is>
      </c>
      <c r="I266" s="13" t="inlineStr">
        <is>
          <t>Revisar</t>
        </is>
      </c>
      <c r="J266" s="13" t="inlineStr"/>
      <c r="K266" s="13" t="inlineStr"/>
      <c r="L266" s="13" t="inlineStr">
        <is>
          <t>Sim</t>
        </is>
      </c>
      <c r="M266" s="15" t="inlineStr">
        <is>
          <t>NOTAS FISCAIS DE COMPRA JANEIRO 2026.pdf - p. 265</t>
        </is>
      </c>
    </row>
    <row r="267">
      <c r="A267" s="13" t="n">
        <v>266</v>
      </c>
      <c r="B267" s="13" t="inlineStr">
        <is>
          <t>JAN26-P266</t>
        </is>
      </c>
      <c r="C267" s="13" t="inlineStr">
        <is>
          <t>NF-e</t>
        </is>
      </c>
      <c r="D267" s="13" t="inlineStr">
        <is>
          <t>12579206</t>
        </is>
      </c>
      <c r="E267" s="13" t="inlineStr">
        <is>
          <t>‘VENDA DE MERCADORIA ADQUIRIDA OU RECEBIDA DE TERCE 722260001897073 21012026 10:08:54</t>
        </is>
      </c>
      <c r="F267" s="16" t="n"/>
      <c r="G267" s="13" t="inlineStr">
        <is>
          <t>Produtos</t>
        </is>
      </c>
      <c r="H267" s="13" t="inlineStr">
        <is>
          <t>Alta</t>
        </is>
      </c>
      <c r="I267" s="13" t="inlineStr">
        <is>
          <t>Revisar</t>
        </is>
      </c>
      <c r="J267" s="13" t="inlineStr"/>
      <c r="K267" s="13" t="inlineStr"/>
      <c r="L267" s="13" t="inlineStr">
        <is>
          <t>Sim</t>
        </is>
      </c>
      <c r="M267" s="15" t="inlineStr">
        <is>
          <t>NOTAS FISCAIS DE COMPRA JANEIRO 2026.pdf - p. 266</t>
        </is>
      </c>
    </row>
    <row r="268">
      <c r="A268" s="13" t="n">
        <v>267</v>
      </c>
      <c r="B268" s="13" t="inlineStr">
        <is>
          <t>JAN26-P267</t>
        </is>
      </c>
      <c r="C268" s="13" t="inlineStr">
        <is>
          <t>Outros/Documento</t>
        </is>
      </c>
      <c r="D268" s="13" t="inlineStr"/>
      <c r="E268" s="13" t="inlineStr">
        <is>
          <t>‘VENDA OF MER. ADQUIIDA OU RECEBIDA DE TERCEROS ZEOOUNTADT a1 r2028 on 6t:80</t>
        </is>
      </c>
      <c r="F268" s="16" t="n"/>
      <c r="G268" s="13" t="inlineStr">
        <is>
          <t>Apoio</t>
        </is>
      </c>
      <c r="H268" s="13" t="inlineStr">
        <is>
          <t>Baixa</t>
        </is>
      </c>
      <c r="I268" s="13" t="inlineStr">
        <is>
          <t>Não</t>
        </is>
      </c>
      <c r="J268" s="13" t="inlineStr"/>
      <c r="K268" s="13" t="inlineStr"/>
      <c r="L268" s="13" t="inlineStr">
        <is>
          <t>Sim</t>
        </is>
      </c>
      <c r="M268" s="15" t="inlineStr">
        <is>
          <t>NOTAS FISCAIS DE COMPRA JANEIRO 2026.pdf - p. 267</t>
        </is>
      </c>
    </row>
    <row r="269">
      <c r="A269" s="13" t="n">
        <v>268</v>
      </c>
      <c r="B269" s="13" t="inlineStr">
        <is>
          <t>JAN26-P268</t>
        </is>
      </c>
      <c r="C269" s="13" t="inlineStr">
        <is>
          <t>Outros/Documento</t>
        </is>
      </c>
      <c r="D269" s="13" t="inlineStr"/>
      <c r="E269" s="13" t="inlineStr">
        <is>
          <t>vm an om 2 me</t>
        </is>
      </c>
      <c r="F269" s="16" t="n"/>
      <c r="G269" s="13" t="inlineStr">
        <is>
          <t>Apoio</t>
        </is>
      </c>
      <c r="H269" s="13" t="inlineStr">
        <is>
          <t>Baixa</t>
        </is>
      </c>
      <c r="I269" s="13" t="inlineStr">
        <is>
          <t>Não</t>
        </is>
      </c>
      <c r="J269" s="13" t="inlineStr"/>
      <c r="K269" s="13" t="inlineStr"/>
      <c r="L269" s="13" t="inlineStr">
        <is>
          <t>Sim</t>
        </is>
      </c>
      <c r="M269" s="15" t="inlineStr">
        <is>
          <t>NOTAS FISCAIS DE COMPRA JANEIRO 2026.pdf - p. 268</t>
        </is>
      </c>
    </row>
    <row r="270">
      <c r="A270" s="13" t="n">
        <v>269</v>
      </c>
      <c r="B270" s="13" t="inlineStr">
        <is>
          <t>JAN26-P269</t>
        </is>
      </c>
      <c r="C270" s="13" t="inlineStr">
        <is>
          <t>Outros/Documento</t>
        </is>
      </c>
      <c r="D270" s="13" t="inlineStr"/>
      <c r="E270" s="13" t="inlineStr">
        <is>
          <t>AY SAO FRANCISCO. 4000 ao, jexareaso | t20 2070</t>
        </is>
      </c>
      <c r="F270" s="16" t="n"/>
      <c r="G270" s="13" t="inlineStr">
        <is>
          <t>Apoio</t>
        </is>
      </c>
      <c r="H270" s="13" t="inlineStr">
        <is>
          <t>Baixa</t>
        </is>
      </c>
      <c r="I270" s="13" t="inlineStr">
        <is>
          <t>Não</t>
        </is>
      </c>
      <c r="J270" s="13" t="inlineStr"/>
      <c r="K270" s="13" t="inlineStr"/>
      <c r="L270" s="13" t="inlineStr">
        <is>
          <t>Sim</t>
        </is>
      </c>
      <c r="M270" s="15" t="inlineStr">
        <is>
          <t>NOTAS FISCAIS DE COMPRA JANEIRO 2026.pdf - p. 269</t>
        </is>
      </c>
    </row>
    <row r="271">
      <c r="A271" s="13" t="n">
        <v>270</v>
      </c>
      <c r="B271" s="13" t="inlineStr">
        <is>
          <t>JAN26-P270</t>
        </is>
      </c>
      <c r="C271" s="13" t="inlineStr">
        <is>
          <t>NF-e</t>
        </is>
      </c>
      <c r="D271" s="13" t="inlineStr"/>
      <c r="E271" s="13" t="inlineStr">
        <is>
          <t>EUEREMOs iM SANTOS AUTOPECAS |-TDA 05 PRODUTOS BOW SFR\</t>
        </is>
      </c>
      <c r="F271" s="16" t="n"/>
      <c r="G271" s="13" t="inlineStr">
        <is>
          <t>Produtos</t>
        </is>
      </c>
      <c r="H271" s="13" t="inlineStr">
        <is>
          <t>Baixa</t>
        </is>
      </c>
      <c r="I271" s="13" t="inlineStr">
        <is>
          <t>Revisar</t>
        </is>
      </c>
      <c r="J271" s="13" t="inlineStr"/>
      <c r="K271" s="13" t="inlineStr"/>
      <c r="L271" s="13" t="inlineStr">
        <is>
          <t>Sim</t>
        </is>
      </c>
      <c r="M271" s="15" t="inlineStr">
        <is>
          <t>NOTAS FISCAIS DE COMPRA JANEIRO 2026.pdf - p. 270</t>
        </is>
      </c>
    </row>
    <row r="272">
      <c r="A272" s="13" t="n">
        <v>271</v>
      </c>
      <c r="B272" s="13" t="inlineStr">
        <is>
          <t>JAN26-P271</t>
        </is>
      </c>
      <c r="C272" s="13" t="inlineStr">
        <is>
          <t>NFS-e</t>
        </is>
      </c>
      <c r="D272" s="13" t="inlineStr">
        <is>
          <t>1204/U</t>
        </is>
      </c>
      <c r="E272" s="13" t="inlineStr">
        <is>
          <t>MARINA NAYARA FLORES GUIMARAES - ME</t>
        </is>
      </c>
      <c r="F272" s="16" t="n">
        <v>300</v>
      </c>
      <c r="G272" s="13" t="inlineStr">
        <is>
          <t>Serviços</t>
        </is>
      </c>
      <c r="H272" s="13" t="inlineStr">
        <is>
          <t>Media</t>
        </is>
      </c>
      <c r="I272" s="13" t="inlineStr">
        <is>
          <t>Sim</t>
        </is>
      </c>
      <c r="J272" s="13" t="inlineStr"/>
      <c r="K272" s="13" t="inlineStr"/>
      <c r="L272" s="13" t="inlineStr">
        <is>
          <t>Sim</t>
        </is>
      </c>
      <c r="M272" s="15" t="inlineStr">
        <is>
          <t>NOTAS FISCAIS DE COMPRA JANEIRO 2026.pdf - p. 271</t>
        </is>
      </c>
    </row>
    <row r="273">
      <c r="A273" s="13" t="n">
        <v>272</v>
      </c>
      <c r="B273" s="13" t="inlineStr">
        <is>
          <t>JAN26-P272</t>
        </is>
      </c>
      <c r="C273" s="13" t="inlineStr">
        <is>
          <t>NFS-e</t>
        </is>
      </c>
      <c r="D273" s="13" t="inlineStr">
        <is>
          <t>1203/U</t>
        </is>
      </c>
      <c r="E273" s="13" t="inlineStr">
        <is>
          <t>MARINA NAYARA FLORES GUIMARAES - ME</t>
        </is>
      </c>
      <c r="F273" s="16" t="n">
        <v>180</v>
      </c>
      <c r="G273" s="13" t="inlineStr">
        <is>
          <t>Serviços</t>
        </is>
      </c>
      <c r="H273" s="13" t="inlineStr">
        <is>
          <t>Media</t>
        </is>
      </c>
      <c r="I273" s="13" t="inlineStr">
        <is>
          <t>Sim</t>
        </is>
      </c>
      <c r="J273" s="13" t="inlineStr"/>
      <c r="K273" s="13" t="inlineStr"/>
      <c r="L273" s="13" t="inlineStr">
        <is>
          <t>Sim</t>
        </is>
      </c>
      <c r="M273" s="15" t="inlineStr">
        <is>
          <t>NOTAS FISCAIS DE COMPRA JANEIRO 2026.pdf - p. 272</t>
        </is>
      </c>
    </row>
    <row r="274">
      <c r="A274" s="13" t="n">
        <v>273</v>
      </c>
      <c r="B274" s="13" t="inlineStr">
        <is>
          <t>JAN26-P273</t>
        </is>
      </c>
      <c r="C274" s="13" t="inlineStr">
        <is>
          <t>Outros/Documento</t>
        </is>
      </c>
      <c r="D274" s="13" t="inlineStr"/>
      <c r="E274" s="13" t="inlineStr">
        <is>
          <t>CEP 64.078-625 TRL O6-9984-3549 ‘www ale Sazenda gov-br/portal on oe ste dn Sefer Autecieadors</t>
        </is>
      </c>
      <c r="F274" s="16" t="n"/>
      <c r="G274" s="13" t="inlineStr">
        <is>
          <t>Apoio</t>
        </is>
      </c>
      <c r="H274" s="13" t="inlineStr">
        <is>
          <t>Baixa</t>
        </is>
      </c>
      <c r="I274" s="13" t="inlineStr">
        <is>
          <t>Não</t>
        </is>
      </c>
      <c r="J274" s="13" t="inlineStr"/>
      <c r="K274" s="13" t="inlineStr"/>
      <c r="L274" s="13" t="inlineStr">
        <is>
          <t>Sim</t>
        </is>
      </c>
      <c r="M274" s="15" t="inlineStr">
        <is>
          <t>NOTAS FISCAIS DE COMPRA JANEIRO 2026.pdf - p. 273</t>
        </is>
      </c>
    </row>
    <row r="275">
      <c r="A275" s="13" t="n">
        <v>274</v>
      </c>
      <c r="B275" s="13" t="inlineStr">
        <is>
          <t>JAN26-P274</t>
        </is>
      </c>
      <c r="C275" s="13" t="inlineStr">
        <is>
          <t>Outros/Documento</t>
        </is>
      </c>
      <c r="D275" s="13" t="inlineStr"/>
      <c r="E275" s="13" t="inlineStr">
        <is>
          <t>ie weon Saco paar (ata CaN — eae tnarmer Sina ote ——,</t>
        </is>
      </c>
      <c r="F275" s="16" t="n"/>
      <c r="G275" s="13" t="inlineStr">
        <is>
          <t>Apoio</t>
        </is>
      </c>
      <c r="H275" s="13" t="inlineStr">
        <is>
          <t>Baixa</t>
        </is>
      </c>
      <c r="I275" s="13" t="inlineStr">
        <is>
          <t>Não</t>
        </is>
      </c>
      <c r="J275" s="13" t="inlineStr"/>
      <c r="K275" s="13" t="inlineStr"/>
      <c r="L275" s="13" t="inlineStr">
        <is>
          <t>Sim</t>
        </is>
      </c>
      <c r="M275" s="15" t="inlineStr">
        <is>
          <t>NOTAS FISCAIS DE COMPRA JANEIRO 2026.pdf - p. 274</t>
        </is>
      </c>
    </row>
    <row r="276">
      <c r="A276" s="13" t="n">
        <v>275</v>
      </c>
      <c r="B276" s="13" t="inlineStr">
        <is>
          <t>JAN26-P275</t>
        </is>
      </c>
      <c r="C276" s="13" t="inlineStr">
        <is>
          <t>NF-e</t>
        </is>
      </c>
      <c r="D276" s="13" t="inlineStr"/>
      <c r="E276" s="13" t="inlineStr">
        <is>
          <t>ENGENI JA ENDUSTRIA E COMERCIO LTDA. 123.655.03¢ 12-89, 9-01-2026</t>
        </is>
      </c>
      <c r="F276" s="16" t="n"/>
      <c r="G276" s="13" t="inlineStr">
        <is>
          <t>Produtos</t>
        </is>
      </c>
      <c r="H276" s="13" t="inlineStr">
        <is>
          <t>Baixa</t>
        </is>
      </c>
      <c r="I276" s="13" t="inlineStr">
        <is>
          <t>Revisar</t>
        </is>
      </c>
      <c r="J276" s="13" t="inlineStr"/>
      <c r="K276" s="13" t="inlineStr"/>
      <c r="L276" s="13" t="inlineStr">
        <is>
          <t>Sim</t>
        </is>
      </c>
      <c r="M276" s="15" t="inlineStr">
        <is>
          <t>NOTAS FISCAIS DE COMPRA JANEIRO 2026.pdf - p. 275</t>
        </is>
      </c>
    </row>
    <row r="277">
      <c r="A277" s="13" t="n">
        <v>276</v>
      </c>
      <c r="B277" s="13" t="inlineStr">
        <is>
          <t>JAN26-P276</t>
        </is>
      </c>
      <c r="C277" s="13" t="inlineStr">
        <is>
          <t>NF-e</t>
        </is>
      </c>
      <c r="D277" s="13" t="inlineStr"/>
      <c r="E277" s="13" t="inlineStr">
        <is>
          <t>VENDA DE MERCADORIA ADQUIRIDA OU RECEBID;</t>
        </is>
      </c>
      <c r="F277" s="16" t="n"/>
      <c r="G277" s="13" t="inlineStr">
        <is>
          <t>Produtos</t>
        </is>
      </c>
      <c r="H277" s="13" t="inlineStr">
        <is>
          <t>Baixa</t>
        </is>
      </c>
      <c r="I277" s="13" t="inlineStr">
        <is>
          <t>Revisar</t>
        </is>
      </c>
      <c r="J277" s="13" t="inlineStr"/>
      <c r="K277" s="13" t="inlineStr"/>
      <c r="L277" s="13" t="inlineStr">
        <is>
          <t>Sim</t>
        </is>
      </c>
      <c r="M277" s="15" t="inlineStr">
        <is>
          <t>NOTAS FISCAIS DE COMPRA JANEIRO 2026.pdf - p. 276</t>
        </is>
      </c>
    </row>
    <row r="278">
      <c r="A278" s="13" t="n">
        <v>277</v>
      </c>
      <c r="B278" s="13" t="inlineStr">
        <is>
          <t>JAN26-P277</t>
        </is>
      </c>
      <c r="C278" s="13" t="inlineStr">
        <is>
          <t>NF-e</t>
        </is>
      </c>
      <c r="D278" s="13" t="inlineStr"/>
      <c r="E278" s="13" t="inlineStr">
        <is>
          <t>1S DE CARTRE WARETEIRAS 7 FARA SS LTDA OS RORY SERUICOS CONSTANTES NA NOTA RCA ELETRORICK</t>
        </is>
      </c>
      <c r="F278" s="16" t="n"/>
      <c r="G278" s="13" t="inlineStr">
        <is>
          <t>Produtos</t>
        </is>
      </c>
      <c r="H278" s="13" t="inlineStr">
        <is>
          <t>Baixa</t>
        </is>
      </c>
      <c r="I278" s="13" t="inlineStr">
        <is>
          <t>Revisar</t>
        </is>
      </c>
      <c r="J278" s="13" t="inlineStr"/>
      <c r="K278" s="13" t="inlineStr"/>
      <c r="L278" s="13" t="inlineStr">
        <is>
          <t>Sim</t>
        </is>
      </c>
      <c r="M278" s="15" t="inlineStr">
        <is>
          <t>NOTAS FISCAIS DE COMPRA JANEIRO 2026.pdf - p. 277</t>
        </is>
      </c>
    </row>
    <row r="279">
      <c r="A279" s="13" t="n">
        <v>278</v>
      </c>
      <c r="B279" s="13" t="inlineStr">
        <is>
          <t>JAN26-P278</t>
        </is>
      </c>
      <c r="C279" s="13" t="inlineStr">
        <is>
          <t>NF-e</t>
        </is>
      </c>
      <c r="D279" s="13" t="inlineStr"/>
      <c r="E279" s="13" t="inlineStr">
        <is>
          <t>VENDA DE MERCADORIA ADQUIRIDA OU RECEBIDA DE TERCE. ‘EITOCAONETA0 708 «2201/2006 10:45</t>
        </is>
      </c>
      <c r="F279" s="16" t="n"/>
      <c r="G279" s="13" t="inlineStr">
        <is>
          <t>Produtos</t>
        </is>
      </c>
      <c r="H279" s="13" t="inlineStr">
        <is>
          <t>Media</t>
        </is>
      </c>
      <c r="I279" s="13" t="inlineStr">
        <is>
          <t>Revisar</t>
        </is>
      </c>
      <c r="J279" s="13" t="inlineStr"/>
      <c r="K279" s="13" t="inlineStr"/>
      <c r="L279" s="13" t="inlineStr">
        <is>
          <t>Sim</t>
        </is>
      </c>
      <c r="M279" s="15" t="inlineStr">
        <is>
          <t>NOTAS FISCAIS DE COMPRA JANEIRO 2026.pdf - p. 278</t>
        </is>
      </c>
    </row>
    <row r="280">
      <c r="A280" s="13" t="n">
        <v>279</v>
      </c>
      <c r="B280" s="13" t="inlineStr">
        <is>
          <t>JAN26-P279</t>
        </is>
      </c>
      <c r="C280" s="13" t="inlineStr">
        <is>
          <t>NF-e</t>
        </is>
      </c>
      <c r="D280" s="13" t="inlineStr"/>
      <c r="E280" s="13" t="inlineStr">
        <is>
          <t>"VENDA DE MERCADORIA ADQUIRIDA OU RECEBIDA DE TERCE 7722600015003 2001/2026 16:37:46</t>
        </is>
      </c>
      <c r="F280" s="16" t="n"/>
      <c r="G280" s="13" t="inlineStr">
        <is>
          <t>Produtos</t>
        </is>
      </c>
      <c r="H280" s="13" t="inlineStr">
        <is>
          <t>Baixa</t>
        </is>
      </c>
      <c r="I280" s="13" t="inlineStr">
        <is>
          <t>Revisar</t>
        </is>
      </c>
      <c r="J280" s="13" t="inlineStr"/>
      <c r="K280" s="13" t="inlineStr"/>
      <c r="L280" s="13" t="inlineStr">
        <is>
          <t>Sim</t>
        </is>
      </c>
      <c r="M280" s="15" t="inlineStr">
        <is>
          <t>NOTAS FISCAIS DE COMPRA JANEIRO 2026.pdf - p. 279</t>
        </is>
      </c>
    </row>
    <row r="281">
      <c r="A281" s="13" t="n">
        <v>280</v>
      </c>
      <c r="B281" s="13" t="inlineStr">
        <is>
          <t>JAN26-P280</t>
        </is>
      </c>
      <c r="C281" s="13" t="inlineStr">
        <is>
          <t>Boleto/Financeiro</t>
        </is>
      </c>
      <c r="D281" s="13" t="inlineStr"/>
      <c r="E281" s="13" t="inlineStr">
        <is>
          <t>‘TERESINA MANGUEIRAS E PARAFUSOS LTDA ‘1I1G 0157 9764 T708 124 $508 1008 GA36 7216 7937 3196</t>
        </is>
      </c>
      <c r="F281" s="16" t="n"/>
      <c r="G281" s="13" t="inlineStr">
        <is>
          <t>Apoio</t>
        </is>
      </c>
      <c r="H281" s="13" t="inlineStr">
        <is>
          <t>Baixa</t>
        </is>
      </c>
      <c r="I281" s="13" t="inlineStr">
        <is>
          <t>Não</t>
        </is>
      </c>
      <c r="J281" s="13" t="inlineStr"/>
      <c r="K281" s="13" t="inlineStr"/>
      <c r="L281" s="13" t="inlineStr">
        <is>
          <t>Sim</t>
        </is>
      </c>
      <c r="M281" s="15" t="inlineStr">
        <is>
          <t>NOTAS FISCAIS DE COMPRA JANEIRO 2026.pdf - p. 280</t>
        </is>
      </c>
    </row>
    <row r="282">
      <c r="A282" s="13" t="n">
        <v>281</v>
      </c>
      <c r="B282" s="13" t="inlineStr">
        <is>
          <t>JAN26-P281</t>
        </is>
      </c>
      <c r="C282" s="13" t="inlineStr">
        <is>
          <t>NF-e</t>
        </is>
      </c>
      <c r="D282" s="13" t="inlineStr"/>
      <c r="E282" s="13" t="inlineStr">
        <is>
          <t>[coo eran. (DO PROOUTO 7M 04 | aur. [vurrrivao] vrais [v.oeacowto]: awbo] ec. rcwa] voce | vrs</t>
        </is>
      </c>
      <c r="F282" s="16" t="n"/>
      <c r="G282" s="13" t="inlineStr">
        <is>
          <t>Produtos</t>
        </is>
      </c>
      <c r="H282" s="13" t="inlineStr">
        <is>
          <t>Baixa</t>
        </is>
      </c>
      <c r="I282" s="13" t="inlineStr">
        <is>
          <t>Revisar</t>
        </is>
      </c>
      <c r="J282" s="13" t="inlineStr"/>
      <c r="K282" s="13" t="inlineStr"/>
      <c r="L282" s="13" t="inlineStr">
        <is>
          <t>Sim</t>
        </is>
      </c>
      <c r="M282" s="15" t="inlineStr">
        <is>
          <t>NOTAS FISCAIS DE COMPRA JANEIRO 2026.pdf - p. 281</t>
        </is>
      </c>
    </row>
    <row r="283">
      <c r="A283" s="13" t="n">
        <v>282</v>
      </c>
      <c r="B283" s="13" t="inlineStr">
        <is>
          <t>JAN26-P282</t>
        </is>
      </c>
      <c r="C283" s="13" t="inlineStr">
        <is>
          <t>NF-e</t>
        </is>
      </c>
      <c r="D283" s="13" t="inlineStr"/>
      <c r="E283" s="13" t="inlineStr">
        <is>
          <t>‘VENDA DE MERCADORIA ADQUIRIDA OU RECEBIDA DE TERCEIROS 7122400040049 190172026 14:21:38 7</t>
        </is>
      </c>
      <c r="F283" s="16" t="n"/>
      <c r="G283" s="13" t="inlineStr">
        <is>
          <t>Produtos</t>
        </is>
      </c>
      <c r="H283" s="13" t="inlineStr">
        <is>
          <t>Baixa</t>
        </is>
      </c>
      <c r="I283" s="13" t="inlineStr">
        <is>
          <t>Revisar</t>
        </is>
      </c>
      <c r="J283" s="13" t="inlineStr"/>
      <c r="K283" s="13" t="inlineStr"/>
      <c r="L283" s="13" t="inlineStr">
        <is>
          <t>Sim</t>
        </is>
      </c>
      <c r="M283" s="15" t="inlineStr">
        <is>
          <t>NOTAS FISCAIS DE COMPRA JANEIRO 2026.pdf - p. 282</t>
        </is>
      </c>
    </row>
    <row r="284">
      <c r="A284" s="13" t="n">
        <v>283</v>
      </c>
      <c r="B284" s="13" t="inlineStr">
        <is>
          <t>JAN26-P283</t>
        </is>
      </c>
      <c r="C284" s="13" t="inlineStr">
        <is>
          <t>NF-e</t>
        </is>
      </c>
      <c r="D284" s="13" t="inlineStr"/>
      <c r="E284" s="13" t="inlineStr">
        <is>
          <t>Rua Sao Francisco, 4000 Tancredo Neves 64076-038 19/01/2026,</t>
        </is>
      </c>
      <c r="F284" s="16" t="n"/>
      <c r="G284" s="13" t="inlineStr">
        <is>
          <t>Produtos</t>
        </is>
      </c>
      <c r="H284" s="13" t="inlineStr">
        <is>
          <t>Media</t>
        </is>
      </c>
      <c r="I284" s="13" t="inlineStr">
        <is>
          <t>Revisar</t>
        </is>
      </c>
      <c r="J284" s="13" t="inlineStr"/>
      <c r="K284" s="13" t="inlineStr"/>
      <c r="L284" s="13" t="inlineStr">
        <is>
          <t>Sim</t>
        </is>
      </c>
      <c r="M284" s="15" t="inlineStr">
        <is>
          <t>NOTAS FISCAIS DE COMPRA JANEIRO 2026.pdf - p. 283</t>
        </is>
      </c>
    </row>
    <row r="285">
      <c r="A285" s="13" t="n">
        <v>284</v>
      </c>
      <c r="B285" s="13" t="inlineStr">
        <is>
          <t>JAN26-P284</t>
        </is>
      </c>
      <c r="C285" s="13" t="inlineStr">
        <is>
          <t>Outros/Documento</t>
        </is>
      </c>
      <c r="D285" s="13" t="inlineStr"/>
      <c r="E285" s="13" t="inlineStr">
        <is>
          <t>‘Avenida Leonidas Melo, 150 Fiscal Eletrénica | Grave DEACESO</t>
        </is>
      </c>
      <c r="F285" s="16" t="n"/>
      <c r="G285" s="13" t="inlineStr">
        <is>
          <t>Apoio</t>
        </is>
      </c>
      <c r="H285" s="13" t="inlineStr">
        <is>
          <t>Baixa</t>
        </is>
      </c>
      <c r="I285" s="13" t="inlineStr">
        <is>
          <t>Não</t>
        </is>
      </c>
      <c r="J285" s="13" t="inlineStr"/>
      <c r="K285" s="13" t="inlineStr"/>
      <c r="L285" s="13" t="inlineStr">
        <is>
          <t>Sim</t>
        </is>
      </c>
      <c r="M285" s="15" t="inlineStr">
        <is>
          <t>NOTAS FISCAIS DE COMPRA JANEIRO 2026.pdf - p. 284</t>
        </is>
      </c>
    </row>
    <row r="286">
      <c r="A286" s="13" t="n">
        <v>285</v>
      </c>
      <c r="B286" s="13" t="inlineStr">
        <is>
          <t>JAN26-P285</t>
        </is>
      </c>
      <c r="C286" s="13" t="inlineStr">
        <is>
          <t>Outros/Documento</t>
        </is>
      </c>
      <c r="D286" s="13" t="inlineStr"/>
      <c r="E286" s="13" t="inlineStr">
        <is>
          <t>SERIZ 001 | wwoinfe.fazenda gov brfponal ov na site de Sefuz Autorizadorn</t>
        </is>
      </c>
      <c r="F286" s="16" t="n"/>
      <c r="G286" s="13" t="inlineStr">
        <is>
          <t>Apoio</t>
        </is>
      </c>
      <c r="H286" s="13" t="inlineStr">
        <is>
          <t>Baixa</t>
        </is>
      </c>
      <c r="I286" s="13" t="inlineStr">
        <is>
          <t>Não</t>
        </is>
      </c>
      <c r="J286" s="13" t="inlineStr"/>
      <c r="K286" s="13" t="inlineStr"/>
      <c r="L286" s="13" t="inlineStr">
        <is>
          <t>Sim</t>
        </is>
      </c>
      <c r="M286" s="15" t="inlineStr">
        <is>
          <t>NOTAS FISCAIS DE COMPRA JANEIRO 2026.pdf - p. 285</t>
        </is>
      </c>
    </row>
    <row r="287">
      <c r="A287" s="13" t="n">
        <v>286</v>
      </c>
      <c r="B287" s="13" t="inlineStr">
        <is>
          <t>JAN26-P286</t>
        </is>
      </c>
      <c r="C287" s="13" t="inlineStr">
        <is>
          <t>Outros/Documento</t>
        </is>
      </c>
      <c r="D287" s="13" t="inlineStr"/>
      <c r="E287" s="13" t="inlineStr">
        <is>
          <t>sma 38 6 F COMERCIO OF MAQUINAS E FERRAGENS LTDA - ME os prodvins conctantes da now fucatindicada aoiado |</t>
        </is>
      </c>
      <c r="F287" s="16" t="n"/>
      <c r="G287" s="13" t="inlineStr">
        <is>
          <t>Apoio</t>
        </is>
      </c>
      <c r="H287" s="13" t="inlineStr">
        <is>
          <t>Baixa</t>
        </is>
      </c>
      <c r="I287" s="13" t="inlineStr">
        <is>
          <t>Não</t>
        </is>
      </c>
      <c r="J287" s="13" t="inlineStr"/>
      <c r="K287" s="13" t="inlineStr"/>
      <c r="L287" s="13" t="inlineStr">
        <is>
          <t>Sim</t>
        </is>
      </c>
      <c r="M287" s="15" t="inlineStr">
        <is>
          <t>NOTAS FISCAIS DE COMPRA JANEIRO 2026.pdf - p. 286</t>
        </is>
      </c>
    </row>
    <row r="288">
      <c r="A288" s="13" t="n">
        <v>287</v>
      </c>
      <c r="B288" s="13" t="inlineStr">
        <is>
          <t>JAN26-P287</t>
        </is>
      </c>
      <c r="C288" s="13" t="inlineStr">
        <is>
          <t>NF-e</t>
        </is>
      </c>
      <c r="D288" s="13" t="inlineStr"/>
      <c r="E288" s="13" t="inlineStr">
        <is>
          <t>[VENDA DE MERCADURIA ADQUIRIDA OU RECBBIDA DE TERCEIROS: 21/01/2026 09:56:00</t>
        </is>
      </c>
      <c r="F288" s="16" t="n"/>
      <c r="G288" s="13" t="inlineStr">
        <is>
          <t>Produtos</t>
        </is>
      </c>
      <c r="H288" s="13" t="inlineStr">
        <is>
          <t>Baixa</t>
        </is>
      </c>
      <c r="I288" s="13" t="inlineStr">
        <is>
          <t>Revisar</t>
        </is>
      </c>
      <c r="J288" s="13" t="inlineStr"/>
      <c r="K288" s="13" t="inlineStr"/>
      <c r="L288" s="13" t="inlineStr">
        <is>
          <t>Sim</t>
        </is>
      </c>
      <c r="M288" s="15" t="inlineStr">
        <is>
          <t>NOTAS FISCAIS DE COMPRA JANEIRO 2026.pdf - p. 287</t>
        </is>
      </c>
    </row>
    <row r="289">
      <c r="A289" s="13" t="n">
        <v>288</v>
      </c>
      <c r="B289" s="13" t="inlineStr">
        <is>
          <t>JAN26-P288</t>
        </is>
      </c>
      <c r="C289" s="13" t="inlineStr">
        <is>
          <t>Outros/Documento</t>
        </is>
      </c>
      <c r="D289" s="13" t="inlineStr"/>
      <c r="E289" s="13" t="inlineStr">
        <is>
          <t>linleiaaeiaiaal Fr" anal ag SO wa na [en aw)</t>
        </is>
      </c>
      <c r="F289" s="16" t="n"/>
      <c r="G289" s="13" t="inlineStr">
        <is>
          <t>Apoio</t>
        </is>
      </c>
      <c r="H289" s="13" t="inlineStr">
        <is>
          <t>Baixa</t>
        </is>
      </c>
      <c r="I289" s="13" t="inlineStr">
        <is>
          <t>Não</t>
        </is>
      </c>
      <c r="J289" s="13" t="inlineStr"/>
      <c r="K289" s="13" t="inlineStr"/>
      <c r="L289" s="13" t="inlineStr">
        <is>
          <t>Sim</t>
        </is>
      </c>
      <c r="M289" s="15" t="inlineStr">
        <is>
          <t>NOTAS FISCAIS DE COMPRA JANEIRO 2026.pdf - p. 288</t>
        </is>
      </c>
    </row>
    <row r="290">
      <c r="A290" s="13" t="n">
        <v>289</v>
      </c>
      <c r="B290" s="13" t="inlineStr">
        <is>
          <t>JAN26-P289</t>
        </is>
      </c>
      <c r="C290" s="13" t="inlineStr">
        <is>
          <t>Outros/Documento</t>
        </is>
      </c>
      <c r="D290" s="13" t="inlineStr"/>
      <c r="E290" s="13" t="inlineStr">
        <is>
          <t>f Town joanne Toon [ow | me [on ca</t>
        </is>
      </c>
      <c r="F290" s="16" t="n"/>
      <c r="G290" s="13" t="inlineStr">
        <is>
          <t>Apoio</t>
        </is>
      </c>
      <c r="H290" s="13" t="inlineStr">
        <is>
          <t>Baixa</t>
        </is>
      </c>
      <c r="I290" s="13" t="inlineStr">
        <is>
          <t>Não</t>
        </is>
      </c>
      <c r="J290" s="13" t="inlineStr"/>
      <c r="K290" s="13" t="inlineStr"/>
      <c r="L290" s="13" t="inlineStr">
        <is>
          <t>Sim</t>
        </is>
      </c>
      <c r="M290" s="15" t="inlineStr">
        <is>
          <t>NOTAS FISCAIS DE COMPRA JANEIRO 2026.pdf - p. 289</t>
        </is>
      </c>
    </row>
    <row r="291">
      <c r="A291" s="13" t="n">
        <v>290</v>
      </c>
      <c r="B291" s="13" t="inlineStr">
        <is>
          <t>JAN26-P290</t>
        </is>
      </c>
      <c r="C291" s="13" t="inlineStr">
        <is>
          <t>NF-e</t>
        </is>
      </c>
      <c r="D291" s="13" t="inlineStr"/>
      <c r="E291" s="13" t="inlineStr">
        <is>
          <t>SERIE 001 | wow:nfe.fazenda.gov.briportal ou no site da Sefaz Autorizadors</t>
        </is>
      </c>
      <c r="F291" s="16" t="n"/>
      <c r="G291" s="13" t="inlineStr">
        <is>
          <t>Produtos</t>
        </is>
      </c>
      <c r="H291" s="13" t="inlineStr">
        <is>
          <t>Baixa</t>
        </is>
      </c>
      <c r="I291" s="13" t="inlineStr">
        <is>
          <t>Revisar</t>
        </is>
      </c>
      <c r="J291" s="13" t="inlineStr"/>
      <c r="K291" s="13" t="inlineStr"/>
      <c r="L291" s="13" t="inlineStr">
        <is>
          <t>Sim</t>
        </is>
      </c>
      <c r="M291" s="15" t="inlineStr">
        <is>
          <t>NOTAS FISCAIS DE COMPRA JANEIRO 2026.pdf - p. 290</t>
        </is>
      </c>
    </row>
    <row r="292">
      <c r="A292" s="13" t="n">
        <v>291</v>
      </c>
      <c r="B292" s="13" t="inlineStr">
        <is>
          <t>JAN26-P291</t>
        </is>
      </c>
      <c r="C292" s="13" t="inlineStr">
        <is>
          <t>NFS-e</t>
        </is>
      </c>
      <c r="D292" s="13" t="inlineStr">
        <is>
          <t>3475/U</t>
        </is>
      </c>
      <c r="E292" s="13" t="inlineStr">
        <is>
          <t>J E SILVA LIMA - ME</t>
        </is>
      </c>
      <c r="F292" s="16" t="n">
        <v>3258</v>
      </c>
      <c r="G292" s="13" t="inlineStr">
        <is>
          <t>Serviços</t>
        </is>
      </c>
      <c r="H292" s="13" t="inlineStr">
        <is>
          <t>Baixa</t>
        </is>
      </c>
      <c r="I292" s="13" t="inlineStr">
        <is>
          <t>Sim</t>
        </is>
      </c>
      <c r="J292" s="13" t="inlineStr"/>
      <c r="K292" s="13" t="inlineStr"/>
      <c r="L292" s="13" t="inlineStr">
        <is>
          <t>Sim</t>
        </is>
      </c>
      <c r="M292" s="15" t="inlineStr">
        <is>
          <t>NOTAS FISCAIS DE COMPRA JANEIRO 2026.pdf - p. 291</t>
        </is>
      </c>
    </row>
    <row r="293">
      <c r="A293" s="13" t="n">
        <v>292</v>
      </c>
      <c r="B293" s="13" t="inlineStr">
        <is>
          <t>JAN26-P292</t>
        </is>
      </c>
      <c r="C293" s="13" t="inlineStr">
        <is>
          <t>NFS-e</t>
        </is>
      </c>
      <c r="D293" s="13" t="inlineStr">
        <is>
          <t>1087/U</t>
        </is>
      </c>
      <c r="E293" s="13" t="inlineStr">
        <is>
          <t>A LUIZ NETO LTDA</t>
        </is>
      </c>
      <c r="F293" s="16" t="n">
        <v>1500</v>
      </c>
      <c r="G293" s="13" t="inlineStr">
        <is>
          <t>Serviços</t>
        </is>
      </c>
      <c r="H293" s="13" t="inlineStr">
        <is>
          <t>Baixa</t>
        </is>
      </c>
      <c r="I293" s="13" t="inlineStr">
        <is>
          <t>Sim</t>
        </is>
      </c>
      <c r="J293" s="13" t="inlineStr"/>
      <c r="K293" s="13" t="inlineStr"/>
      <c r="L293" s="13" t="inlineStr">
        <is>
          <t>Sim</t>
        </is>
      </c>
      <c r="M293" s="15" t="inlineStr">
        <is>
          <t>NOTAS FISCAIS DE COMPRA JANEIRO 2026.pdf - p. 292</t>
        </is>
      </c>
    </row>
    <row r="294">
      <c r="A294" s="13" t="n">
        <v>293</v>
      </c>
      <c r="B294" s="13" t="inlineStr">
        <is>
          <t>JAN26-P293</t>
        </is>
      </c>
      <c r="C294" s="13" t="inlineStr">
        <is>
          <t>NF-e</t>
        </is>
      </c>
      <c r="D294" s="13" t="inlineStr"/>
      <c r="E294" s="13" t="inlineStr">
        <is>
          <t>Re Ee tet CAT SARS fan BEST INn LSC RAL EXORTSNIA NDC STWA ECOMERCIOLION: AN PRIDA ASO NF 4</t>
        </is>
      </c>
      <c r="F294" s="16" t="n"/>
      <c r="G294" s="13" t="inlineStr">
        <is>
          <t>Produtos</t>
        </is>
      </c>
      <c r="H294" s="13" t="inlineStr">
        <is>
          <t>Baixa</t>
        </is>
      </c>
      <c r="I294" s="13" t="inlineStr">
        <is>
          <t>Revisar</t>
        </is>
      </c>
      <c r="J294" s="13" t="inlineStr"/>
      <c r="K294" s="13" t="inlineStr"/>
      <c r="L294" s="13" t="inlineStr">
        <is>
          <t>Sim</t>
        </is>
      </c>
      <c r="M294" s="15" t="inlineStr">
        <is>
          <t>NOTAS FISCAIS DE COMPRA JANEIRO 2026.pdf - p. 293</t>
        </is>
      </c>
    </row>
    <row r="295">
      <c r="A295" s="13" t="n">
        <v>294</v>
      </c>
      <c r="B295" s="13" t="inlineStr">
        <is>
          <t>JAN26-P294</t>
        </is>
      </c>
      <c r="C295" s="13" t="inlineStr">
        <is>
          <t>NFS-e</t>
        </is>
      </c>
      <c r="D295" s="13" t="inlineStr">
        <is>
          <t>71/U</t>
        </is>
      </c>
      <c r="E295" s="13" t="inlineStr">
        <is>
          <t>M H F SANTOS AUTOPECAS</t>
        </is>
      </c>
      <c r="F295" s="16" t="n">
        <v>120</v>
      </c>
      <c r="G295" s="13" t="inlineStr">
        <is>
          <t>Serviços</t>
        </is>
      </c>
      <c r="H295" s="13" t="inlineStr">
        <is>
          <t>Baixa</t>
        </is>
      </c>
      <c r="I295" s="13" t="inlineStr">
        <is>
          <t>Sim</t>
        </is>
      </c>
      <c r="J295" s="13" t="inlineStr"/>
      <c r="K295" s="13" t="inlineStr"/>
      <c r="L295" s="13" t="inlineStr">
        <is>
          <t>Sim</t>
        </is>
      </c>
      <c r="M295" s="15" t="inlineStr">
        <is>
          <t>NOTAS FISCAIS DE COMPRA JANEIRO 2026.pdf - p. 294</t>
        </is>
      </c>
    </row>
    <row r="296">
      <c r="A296" s="13" t="n">
        <v>295</v>
      </c>
      <c r="B296" s="13" t="inlineStr">
        <is>
          <t>JAN26-P295</t>
        </is>
      </c>
      <c r="C296" s="13" t="inlineStr">
        <is>
          <t>NFS-e</t>
        </is>
      </c>
      <c r="D296" s="13" t="inlineStr">
        <is>
          <t>240/U</t>
        </is>
      </c>
      <c r="E296" s="13" t="inlineStr">
        <is>
          <t>BOA VISTA AUTO ELETRICA LTDA</t>
        </is>
      </c>
      <c r="F296" s="16" t="n">
        <v>685</v>
      </c>
      <c r="G296" s="13" t="inlineStr">
        <is>
          <t>Serviços</t>
        </is>
      </c>
      <c r="H296" s="13" t="inlineStr">
        <is>
          <t>Media</t>
        </is>
      </c>
      <c r="I296" s="13" t="inlineStr">
        <is>
          <t>Sim</t>
        </is>
      </c>
      <c r="J296" s="13" t="inlineStr"/>
      <c r="K296" s="13" t="inlineStr"/>
      <c r="L296" s="13" t="inlineStr">
        <is>
          <t>Sim</t>
        </is>
      </c>
      <c r="M296" s="15" t="inlineStr">
        <is>
          <t>NOTAS FISCAIS DE COMPRA JANEIRO 2026.pdf - p. 295</t>
        </is>
      </c>
    </row>
    <row r="297">
      <c r="A297" s="13" t="n">
        <v>296</v>
      </c>
      <c r="B297" s="13" t="inlineStr">
        <is>
          <t>JAN26-P296</t>
        </is>
      </c>
      <c r="C297" s="13" t="inlineStr">
        <is>
          <t>Outros/Documento</t>
        </is>
      </c>
      <c r="D297" s="13" t="inlineStr"/>
      <c r="E297" s="13" t="inlineStr">
        <is>
          <t>IRUA SIMPLICIO MENDES N.599 CENTRO [rexeswa or ioaaeszes |</t>
        </is>
      </c>
      <c r="F297" s="16" t="n"/>
      <c r="G297" s="13" t="inlineStr">
        <is>
          <t>Apoio</t>
        </is>
      </c>
      <c r="H297" s="13" t="inlineStr">
        <is>
          <t>Baixa</t>
        </is>
      </c>
      <c r="I297" s="13" t="inlineStr">
        <is>
          <t>Não</t>
        </is>
      </c>
      <c r="J297" s="13" t="inlineStr"/>
      <c r="K297" s="13" t="inlineStr"/>
      <c r="L297" s="13" t="inlineStr">
        <is>
          <t>Sim</t>
        </is>
      </c>
      <c r="M297" s="15" t="inlineStr">
        <is>
          <t>NOTAS FISCAIS DE COMPRA JANEIRO 2026.pdf - p. 296</t>
        </is>
      </c>
    </row>
    <row r="298">
      <c r="A298" s="13" t="n">
        <v>297</v>
      </c>
      <c r="B298" s="13" t="inlineStr">
        <is>
          <t>JAN26-P297</t>
        </is>
      </c>
      <c r="C298" s="13" t="inlineStr">
        <is>
          <t>NF-e</t>
        </is>
      </c>
      <c r="D298" s="13" t="inlineStr"/>
      <c r="E298" s="13" t="inlineStr">
        <is>
          <t>f (861 3248-2654 64001490 NP: 80160 ‘ww wanie,fazcada. gor.b¢ uu na site da Sefaz Autorizadora</t>
        </is>
      </c>
      <c r="F298" s="16" t="n"/>
      <c r="G298" s="13" t="inlineStr">
        <is>
          <t>Produtos</t>
        </is>
      </c>
      <c r="H298" s="13" t="inlineStr">
        <is>
          <t>Baixa</t>
        </is>
      </c>
      <c r="I298" s="13" t="inlineStr">
        <is>
          <t>Revisar</t>
        </is>
      </c>
      <c r="J298" s="13" t="inlineStr"/>
      <c r="K298" s="13" t="inlineStr"/>
      <c r="L298" s="13" t="inlineStr">
        <is>
          <t>Sim</t>
        </is>
      </c>
      <c r="M298" s="15" t="inlineStr">
        <is>
          <t>NOTAS FISCAIS DE COMPRA JANEIRO 2026.pdf - p. 297</t>
        </is>
      </c>
    </row>
    <row r="299">
      <c r="A299" s="13" t="n">
        <v>298</v>
      </c>
      <c r="B299" s="13" t="inlineStr">
        <is>
          <t>JAN26-P298</t>
        </is>
      </c>
      <c r="C299" s="13" t="inlineStr">
        <is>
          <t>Outros/Documento</t>
        </is>
      </c>
      <c r="D299" s="13" t="inlineStr"/>
      <c r="E299" s="13" t="inlineStr">
        <is>
          <t>VENDA DE MERCADORIA ADQUIRIDA OU RECEBIDA DE TERCE. XEAOOOND A466 - 06/01 72026 LI:LOSY</t>
        </is>
      </c>
      <c r="F299" s="16" t="n"/>
      <c r="G299" s="13" t="inlineStr">
        <is>
          <t>Apoio</t>
        </is>
      </c>
      <c r="H299" s="13" t="inlineStr">
        <is>
          <t>Baixa</t>
        </is>
      </c>
      <c r="I299" s="13" t="inlineStr">
        <is>
          <t>Não</t>
        </is>
      </c>
      <c r="J299" s="13" t="inlineStr"/>
      <c r="K299" s="13" t="inlineStr"/>
      <c r="L299" s="13" t="inlineStr">
        <is>
          <t>Sim</t>
        </is>
      </c>
      <c r="M299" s="15" t="inlineStr">
        <is>
          <t>NOTAS FISCAIS DE COMPRA JANEIRO 2026.pdf - p. 298</t>
        </is>
      </c>
    </row>
    <row r="300">
      <c r="A300" s="13" t="n">
        <v>299</v>
      </c>
      <c r="B300" s="13" t="inlineStr">
        <is>
          <t>JAN26-P299</t>
        </is>
      </c>
      <c r="C300" s="13" t="inlineStr">
        <is>
          <t>NFS-e</t>
        </is>
      </c>
      <c r="D300" s="13" t="inlineStr">
        <is>
          <t>115/U</t>
        </is>
      </c>
      <c r="E300" s="13" t="inlineStr">
        <is>
          <t>J K B FIALHO LTDA</t>
        </is>
      </c>
      <c r="F300" s="16" t="n">
        <v>3000</v>
      </c>
      <c r="G300" s="13" t="inlineStr">
        <is>
          <t>Serviços</t>
        </is>
      </c>
      <c r="H300" s="13" t="inlineStr">
        <is>
          <t>Media</t>
        </is>
      </c>
      <c r="I300" s="13" t="inlineStr">
        <is>
          <t>Sim</t>
        </is>
      </c>
      <c r="J300" s="13" t="inlineStr"/>
      <c r="K300" s="13" t="inlineStr"/>
      <c r="L300" s="13" t="inlineStr">
        <is>
          <t>Sim</t>
        </is>
      </c>
      <c r="M300" s="15" t="inlineStr">
        <is>
          <t>NOTAS FISCAIS DE COMPRA JANEIRO 2026.pdf - p. 299</t>
        </is>
      </c>
    </row>
    <row r="301">
      <c r="A301" s="13" t="n">
        <v>300</v>
      </c>
      <c r="B301" s="13" t="inlineStr">
        <is>
          <t>JAN26-P300</t>
        </is>
      </c>
      <c r="C301" s="13" t="inlineStr">
        <is>
          <t>Outros/Documento</t>
        </is>
      </c>
      <c r="D301" s="13" t="inlineStr"/>
      <c r="E301" s="13" t="inlineStr">
        <is>
          <t>i ‘mecdo voMmocenoN aRarOR vewse| or | ore [iow creme 'eumine vn wie aw | BS ve non</t>
        </is>
      </c>
      <c r="F301" s="16" t="n"/>
      <c r="G301" s="13" t="inlineStr">
        <is>
          <t>Apoio</t>
        </is>
      </c>
      <c r="H301" s="13" t="inlineStr">
        <is>
          <t>Baixa</t>
        </is>
      </c>
      <c r="I301" s="13" t="inlineStr">
        <is>
          <t>Não</t>
        </is>
      </c>
      <c r="J301" s="13" t="inlineStr"/>
      <c r="K301" s="13" t="inlineStr"/>
      <c r="L301" s="13" t="inlineStr">
        <is>
          <t>Sim</t>
        </is>
      </c>
      <c r="M301" s="15" t="inlineStr">
        <is>
          <t>NOTAS FISCAIS DE COMPRA JANEIRO 2026.pdf - p. 300</t>
        </is>
      </c>
    </row>
    <row r="302">
      <c r="A302" s="13" t="n">
        <v>301</v>
      </c>
      <c r="B302" s="13" t="inlineStr">
        <is>
          <t>JAN26-P301</t>
        </is>
      </c>
      <c r="C302" s="13" t="inlineStr">
        <is>
          <t>Outros/Documento</t>
        </is>
      </c>
      <c r="D302" s="13" t="inlineStr"/>
      <c r="E302" s="13" t="inlineStr">
        <is>
          <t>FANT.” BRAL MOSPORGARRLZACAD ETECNOLOGA (FAVOR CONPERIE AMERG. NO ATODA ENTREGA Welisoffde Paula</t>
        </is>
      </c>
      <c r="F302" s="16" t="n"/>
      <c r="G302" s="13" t="inlineStr">
        <is>
          <t>Apoio</t>
        </is>
      </c>
      <c r="H302" s="13" t="inlineStr">
        <is>
          <t>Baixa</t>
        </is>
      </c>
      <c r="I302" s="13" t="inlineStr">
        <is>
          <t>Não</t>
        </is>
      </c>
      <c r="J302" s="13" t="inlineStr"/>
      <c r="K302" s="13" t="inlineStr"/>
      <c r="L302" s="13" t="inlineStr">
        <is>
          <t>Sim</t>
        </is>
      </c>
      <c r="M302" s="15" t="inlineStr">
        <is>
          <t>NOTAS FISCAIS DE COMPRA JANEIRO 2026.pdf - p. 301</t>
        </is>
      </c>
    </row>
    <row r="303">
      <c r="A303" s="13" t="n">
        <v>302</v>
      </c>
      <c r="B303" s="13" t="inlineStr">
        <is>
          <t>JAN26-P302</t>
        </is>
      </c>
      <c r="C303" s="13" t="inlineStr">
        <is>
          <t>NF-e</t>
        </is>
      </c>
      <c r="D303" s="13" t="inlineStr"/>
      <c r="E303" s="13" t="inlineStr">
        <is>
          <t>REDERETOR BE NORDESTE DESL FDR GY RODU OREO SERVICES CONT ANTES DA ROTA PRLACELETRONNCA POH ESTO TOTP</t>
        </is>
      </c>
      <c r="F303" s="16" t="n"/>
      <c r="G303" s="13" t="inlineStr">
        <is>
          <t>Produtos</t>
        </is>
      </c>
      <c r="H303" s="13" t="inlineStr">
        <is>
          <t>Media</t>
        </is>
      </c>
      <c r="I303" s="13" t="inlineStr">
        <is>
          <t>Revisar</t>
        </is>
      </c>
      <c r="J303" s="13" t="inlineStr"/>
      <c r="K303" s="13" t="inlineStr"/>
      <c r="L303" s="13" t="inlineStr">
        <is>
          <t>Sim</t>
        </is>
      </c>
      <c r="M303" s="15" t="inlineStr">
        <is>
          <t>NOTAS FISCAIS DE COMPRA JANEIRO 2026.pdf - p. 302</t>
        </is>
      </c>
    </row>
    <row r="304">
      <c r="A304" s="13" t="n">
        <v>303</v>
      </c>
      <c r="B304" s="13" t="inlineStr">
        <is>
          <t>JAN26-P303</t>
        </is>
      </c>
      <c r="C304" s="13" t="inlineStr">
        <is>
          <t>NF-e</t>
        </is>
      </c>
      <c r="D304" s="13" t="inlineStr"/>
      <c r="E304" s="13" t="inlineStr">
        <is>
          <t>SERIE 001 | wowmnie.fazenda gov bripartal ou no site da Sofa Autorizadona</t>
        </is>
      </c>
      <c r="F304" s="16" t="n"/>
      <c r="G304" s="13" t="inlineStr">
        <is>
          <t>Produtos</t>
        </is>
      </c>
      <c r="H304" s="13" t="inlineStr">
        <is>
          <t>Baixa</t>
        </is>
      </c>
      <c r="I304" s="13" t="inlineStr">
        <is>
          <t>Revisar</t>
        </is>
      </c>
      <c r="J304" s="13" t="inlineStr"/>
      <c r="K304" s="13" t="inlineStr"/>
      <c r="L304" s="13" t="inlineStr">
        <is>
          <t>Sim</t>
        </is>
      </c>
      <c r="M304" s="15" t="inlineStr">
        <is>
          <t>NOTAS FISCAIS DE COMPRA JANEIRO 2026.pdf - p. 303</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D7"/>
  <sheetViews>
    <sheetView showGridLines="0" workbookViewId="0">
      <pane ySplit="1" topLeftCell="A2" activePane="bottomLeft" state="frozen"/>
      <selection pane="bottomLeft" activeCell="A1" sqref="A1"/>
    </sheetView>
  </sheetViews>
  <sheetFormatPr baseColWidth="8" defaultRowHeight="15"/>
  <cols>
    <col width="25" customWidth="1" min="1" max="1"/>
    <col width="45" customWidth="1" min="2" max="2"/>
    <col width="75" customWidth="1" min="3" max="3"/>
    <col width="28" customWidth="1" min="4" max="4"/>
  </cols>
  <sheetData>
    <row r="1" ht="36" customHeight="1">
      <c r="A1" s="12" t="inlineStr">
        <is>
          <t>Etapa</t>
        </is>
      </c>
      <c r="B1" s="12" t="inlineStr">
        <is>
          <t>Critério</t>
        </is>
      </c>
      <c r="C1" s="12" t="inlineStr">
        <is>
          <t>Aplicação_Janeiro_2026</t>
        </is>
      </c>
      <c r="D1" s="12" t="inlineStr">
        <is>
          <t>Status</t>
        </is>
      </c>
    </row>
    <row r="2">
      <c r="A2" s="24" t="inlineStr">
        <is>
          <t>1. Varredura</t>
        </is>
      </c>
      <c r="B2" s="11" t="inlineStr">
        <is>
          <t>Cobertura integral do arquivo</t>
        </is>
      </c>
      <c r="C2" s="11" t="inlineStr">
        <is>
          <t>303 páginas registradas no Controle_Paginas e OCR_Raw</t>
        </is>
      </c>
      <c r="D2" s="24" t="inlineStr">
        <is>
          <t>Concluído</t>
        </is>
      </c>
    </row>
    <row r="3">
      <c r="A3" s="24" t="inlineStr">
        <is>
          <t>2. Classificação</t>
        </is>
      </c>
      <c r="B3" s="11" t="inlineStr">
        <is>
          <t>Separar NF-e, NFS-e, CT-e, NF3e, NFCom e documentos de apoio</t>
        </is>
      </c>
      <c r="C3" s="11" t="inlineStr">
        <is>
          <t>Tipo por página preservado; baixa confiança sinalizada</t>
        </is>
      </c>
      <c r="D3" s="24" t="inlineStr">
        <is>
          <t>Concluído</t>
        </is>
      </c>
    </row>
    <row r="4">
      <c r="A4" s="24" t="inlineStr">
        <is>
          <t>3. Duplicidades</t>
        </is>
      </c>
      <c r="B4" s="11" t="inlineStr">
        <is>
          <t>Não somar cópias do mesmo documento</t>
        </is>
      </c>
      <c r="C4" s="11" t="inlineStr">
        <is>
          <t>8 duplicidades exatas excluídas da soma; 1 par comercial em revisão</t>
        </is>
      </c>
      <c r="D4" s="24" t="inlineStr">
        <is>
          <t>Concluído</t>
        </is>
      </c>
    </row>
    <row r="5">
      <c r="A5" s="24" t="inlineStr">
        <is>
          <t>4. Valores/tributos</t>
        </is>
      </c>
      <c r="B5" s="11" t="inlineStr">
        <is>
          <t>Extrair totais, bases e tributos</t>
        </is>
      </c>
      <c r="C5" s="11" t="inlineStr">
        <is>
          <t>Campos estruturados + correções visuais de documentos críticos; incertezas ficam em Revisar</t>
        </is>
      </c>
      <c r="D5" s="24" t="inlineStr">
        <is>
          <t>Concluído com pendências de revisão</t>
        </is>
      </c>
    </row>
    <row r="6">
      <c r="A6" s="24" t="inlineStr">
        <is>
          <t>5. Contabilização</t>
        </is>
      </c>
      <c r="B6" s="11" t="inlineStr">
        <is>
          <t>Totalizar apenas documentos confirmados</t>
        </is>
      </c>
      <c r="C6" s="11" t="inlineStr">
        <is>
          <t>Soma_Contabil=Sim alimenta KPIs; Revisar fica fora do total confirmado</t>
        </is>
      </c>
      <c r="D6" s="24" t="inlineStr">
        <is>
          <t>Aplicado</t>
        </is>
      </c>
    </row>
    <row r="7">
      <c r="A7" s="24" t="inlineStr">
        <is>
          <t>6. Auditoria</t>
        </is>
      </c>
      <c r="B7" s="11" t="inlineStr">
        <is>
          <t>Preservar origem e OCR</t>
        </is>
      </c>
      <c r="C7" s="11" t="inlineStr">
        <is>
          <t>Cada linha possui página/fonte; OCR bruto disponível</t>
        </is>
      </c>
      <c r="D7" s="24" t="inlineStr">
        <is>
          <t>Concluído</t>
        </is>
      </c>
    </row>
  </sheetData>
  <pageMargins left="0.25" right="0.25" top="0.5" bottom="0.5" header="0.5" footer="0.5"/>
  <pageSetup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C304"/>
  <sheetViews>
    <sheetView showGridLines="0" workbookViewId="0">
      <pane ySplit="1" topLeftCell="A2" activePane="bottomLeft" state="frozen"/>
      <selection pane="bottomLeft" activeCell="A1" sqref="A1"/>
    </sheetView>
  </sheetViews>
  <sheetFormatPr baseColWidth="8" defaultRowHeight="15"/>
  <cols>
    <col width="8" customWidth="1" min="1" max="1"/>
    <col width="120" customWidth="1" min="2" max="2"/>
    <col width="42" customWidth="1" min="3" max="3"/>
  </cols>
  <sheetData>
    <row r="1" ht="36" customHeight="1">
      <c r="A1" s="12" t="inlineStr">
        <is>
          <t>Pagina</t>
        </is>
      </c>
      <c r="B1" s="12" t="inlineStr">
        <is>
          <t>Texto_OCR</t>
        </is>
      </c>
      <c r="C1" s="12" t="inlineStr">
        <is>
          <t>Fonte</t>
        </is>
      </c>
    </row>
    <row r="2" ht="75" customHeight="1">
      <c r="A2" s="13" t="n">
        <v>1</v>
      </c>
      <c r="B2" s="15">
        <f>
Set te
s
ae
gra noma sn ARK STA PSC DET
aemnch
ava
a
Equatorial Piaui Distribuidora de Energia S.A.
Pagina 172
Rua Jodo Cabral, 73
GNPJ: 08.840.748/0001-29 | Insc. Estadual: 19:301.389-5
Rene
Centro Sul Teresina - PI CEP: 64,001-29
Gaza: Conarial- COWERGIOVARERSTADE
"Tee deForacnanns OFAC
Sonne aereog uaa
as Rare 3 3
THAT
ETO na SOY Tp eT
Data das ] Leltura Antorior | Lelura Atuat
de Dias | Prouma Letra
Lelteras
34/42/2025
34/01/2026
34
2802/2028,
'SKAL ENGENHARIA INDUSTRIAE C. L.A
INSTALAGAO: 7953394
Farcoire de Negécio
‘ony *7",0981000"
4810155
(Oe
‘AY SAO FRANCISCO , SIN , 40902 CEP: 64076-450
or
Bic,
DATADE EMISSAO: 310172028
URBANO- TERESINA-PI
ra:
4
Tania Contra
‘Consulta peta Chave de Acesso em:
PERDAS DE TRANSFORMAGAO / RAMAL: 2:50 %
7963394
ce
lnpavioto pra tera. gou beNFEIConeut
FATOR DE POTENCIA: 0.87630855
chave de acess0:
'22200106840749000189660000679178501095737069,
Conia is
Vonsimenta
‘Toile Pagar
iy
TSB ON Protocole autorzagso:322ze00001899868
he
‘110272028 a 10:10:08
01/2026
06/02/2026
R$ 23.789,49
pit
ee
TNFORMAGOES PARA 0 CLIENTE
Sk East Pik at al CB: 2 ODO, ea ERS SO SU WT, CG TN PTT WRT TAT STOTT RSNA © PTET E TEV
{ubt- Sut” + Caonne PEN 100824 ANESL ep aOHONZS ormase eo UC ss pata om coal Ma emeySeneoncaas ce ledn=.
tens do Fatura
‘Guant,
Prope UnitiRS)
Torta,
Tous
Valor)
=
ear)
Haat)
a)
com Tributos
Uni (RS)
CORNERS)
(RS)
Tinere
Tass aamR
[Gansamo Ponta RY
Taare
3.08127
2758860
1228
855.33
Loe
sca
‘one
038,
Consume Fera Penta (eb)
wor77
0.585980
9421010
4728
3.18003
1413568
corns
set
ty
i023
Demanca Alva sonia dofCMs (i)
498
sayerte7
2.500000,
78
‘090,
167449
97.40
740.00
‘328000
Demanca ave
7548
43,500035
2.500000
[Consume Resto Exzedento NP (kVAP)
885
0402280
200870
‘ont
‘0
356
‘Grandezas Conirtadan
[Consurne Reatio Excedente FP (AVA)
4.28788
aot,
200670
1627
11038
81728
‘Demanda Contalaca Unica (kW) 125,00,
rans FiNaNcEIROS
Demanda Conralada Ponta ():
7024
lip Peb Pref Mune
‘Demands Convaiada Fora Porta (kW.
om, Reserva Cop, Unica (i):
‘Dem. Reserva Cap. Fora Ponta (kW)
(Dom Reserva Cap, Ponts (i)
Dom. de Garagto (W:
em, de Dist. Unica KW}
‘en. Dt. De Poa (HY
‘bem. Ost. Fora Ponta (A:
Tear
aa
Feats
Tae
Ta
sit
Tana] Conan
Besarvado a0 sco
Sr)
‘Sas Fas Pais
Hate |e aa
‘noo
TsaTaT
Srioon93
‘conaro Pera
ns ARO Reg
oses
sean0t
‘9800
‘anga3
‘C450,1972,9096 BD2A DEES S40F.FF7S.E900
Sraooes
rarer onesie
Donan AlaF Reg
Comme Amo Rog
°
ety
osteo
zaeo8w
Srna
‘Soran laPorts
Benanta Ava og
8
e
eco
Baan
Tifeagdas sobre Gansta
arta,
sraoontia3
ar Ret ser FP,
Semaran UCR FP ag
°
oe
‘omaco
repens
srg0o033
ars Rea ced Poe
Denso DCR eg
°
a
‘co
feaakine
‘Gansumo Mao Dio (Rtn): 838.73,
‘oo272028|
raooe i
Feat Gace FPota
cone Rstio ced eg] 1.122528
sysez8
‘orca
2sssenvie
beta dos 12 mason (Mn): 20.772.78
srinoe
est Grend Pou [eonma Renta Eat ag
pre
ease
nico
‘au
escigie AREEL
‘Dem, MxF. Pont (eV 73,60
959525
Dom, Mx, Ponta (2444
Tpeiigo sobre a conla paga apts o vercimento muita de 2%, juros de more de
10,0333% ao dia (con, Lei {0,438/02) «alualzagao monetiia com base ro
IPCA a sarora inculdos na provi ftura,
REAVISO DE VENCINENTO
oe
7
.
2
3
os
BANCO DO BRASIL |001-9|00190.00009 03373.383151 60406.234173 9 0000001
173
02378949 Paste através do PIX,
ToatoE ROOTS
mals fociidede pra
0.02 2026
PAGAVEL PREFERENCIALMENTE NO BANCO DO BRASIL
7
co
ocd.
EQUATORIAL PIAUI DISTRIB. DE ENERGIAS.A.
eesa94
[ canes
Para ratzar o pagamento,
‘Bak eeu
eer
=
ERED
i
ree
4.022026
oaoasoroeretzeso
34.01.2026,
sa7aseassea4oe23¢
Uwe © OR CODE abaixe,
S88
“Sa
SPST
om
aa
23.7809
CRO
TT
oe
File
ew
a ra
SRO COBRANES IA PREXIAFATURA
oie
ae a
[renee ———
i,
Aet
ean
‘BRATSREAPARRSITAR ECE Bass oxn002 09
oa
atoY
Ee
RTS
i
oh
tel
ah
He
ad
fe
a
ne
a5
UAE
Ficha de Compensagio
of</f>
        <v/>
      </c>
      <c r="C2" s="15" t="inlineStr">
        <is>
          <t>NOTAS FISCAIS DE COMPRA JANEIRO 2026.pdf - p. 1</t>
        </is>
      </c>
    </row>
    <row r="3" ht="75" customHeight="1">
      <c r="A3" s="13" t="n">
        <v>2</v>
      </c>
      <c r="B3" s="15" t="inlineStr">
        <is>
          <t>Rg
Sages
Shere
a
20
Pagina 22
bec ts
Pe aN
Informagées ao cliente
Greta ica force pogo, Para mexet nas insialarben,
rocure sempre um eletcisia, 2. E do
FY
sgamento da conta de luz:
‘elienta,
ier tempo, atu
e
conforme normas exact
rien
raph cadestal da Conte Cont
°
Procure o mais prévimo.
sta conta pode ser pa
age a gualuer local crodenado,
hii comsleriss, bela Assocs
Sacuarte nica © de segurangs das
ira, Nornas, Teenicas (ABNT) cu aura endade
os egos
4 Esta falura no pado sor
ga com,
ngelho Nach
Normatizapic
p80 © Cualidade Industrial (Conmetr) «|
# Auloriaa 0 dgbito eutomnat
Sem conta covente de sua
Gio nonmas culo Rare ato 'disposipao do inlatessado. 3. infor
os see
‘conta de luz.
‘vio mais cmodo, fac seguro,
condigoes de fa
scknonto,
ail, od, servos bre
‘eirbulos, encontam-se
ispos
# Caso nao efetue 0
‘de sua conta de uz. apés
nossais agéncias ou no st
he
a
‘aheol gov.br. 4. Teleatendmento: das
pare
15° dia do vencimento, vocb estaré sujeito &amp; suspensd0
SolletarSes de servos comerciais @
bara informayoes tobie falha nosistoma elu,
do fomecimento do energia © |
lusdo nes érgaos:
teqio.ao crédio,
cancun oda ental
fee.
5 Sener Syd nal eters 25 caer tne Sons
faraspsoscoes slr) Wise os inkes Se contusion rae Sota ov cena gear.
[Histérico dos ditimos meses
a
TDEWENOA NEDA
neon
TORSUHO FATURADO.
TORARIG RESERVADO
Mes,
romaPoira
eA
FORAPONTA
entivo COE
‘onsuNo
7 REATIOQEXCEDENTE
:
ap ROMA
5 EceDe Fs] =~ PONTATIOT
2a
Tae
Tara
BETA
mee
om
tai
Ez
eo
“s20
2621768
13m
eco
08
7486
Tease
a0
tama
om
oo
om
Hae
fasta
707347
ons
‘oro
000
‘ST.
78
288
“a8
32TH
RS
000
000
sta,
BECW
2075
069,
Tit
86
eo
aie
oo
09,
‘sat
aso
122800
Pasa)
ae
a0.
romat
as1209
soTea
00.
338
or]
000.
000,
vo
036
sour
60874
ou
396,
ia
040.
Ta76
am
100156
009,
B16
me
050)
208
a7
ES
O00"
340.
1208
a0.
con
Fea
ea
009,
[[Gréfico de Consumo
] [Tarifa sem tributos
RESOLUGAO ANEEL
]
‘3656/25
roo
Consumo Fora Ponta:
0.421910
0
Consumo Pont
2,756880
woe
Demanda Ativa:
32,5000
see
‘Conforme Resolugso Nomatica Anes! 681/2019 Ars 7? @
G eou dato eokictor a
vo
‘qualquer tempo &amp; Equstoal Paul o cancelamento do cobranga relatva de outios
‘Sergos cobrados na fatura, bern como a emissdo da nove fatura sem a cobranga
LELEELEE LEE
dos Sonigas cancelados.
salanse que 9 fornecimento poderd ser suspenso
‘cas0 05 valores referentas aos serigos do dsinbulga0 da energie ndo sefem
—
eres
‘devidamenta pages.
1)</t>
        </is>
      </c>
      <c r="C3" s="15" t="inlineStr">
        <is>
          <t>NOTAS FISCAIS DE COMPRA JANEIRO 2026.pdf - p. 2</t>
        </is>
      </c>
    </row>
    <row r="4" ht="75" customHeight="1">
      <c r="A4" s="13" t="n">
        <v>3</v>
      </c>
      <c r="B4" s="15" t="inlineStr">
        <is>
          <t>*
in COCO NIRURDANETAFSCA ENCE EDREAELFNCA
Pagina srt
Equatorial Piaui Distribuidora de Energia S.A.
Rua Jogo Cabral,
‘CNP: 06,840.748/0001-89 |Inse. Estadual: 19.301.983-5
Rena
Centro Sul- Terasina -PI CEP: 64,001.33
ascension
[ieee Fore NOREFICO
Taira CGR ROV USTRREY RUC
Leitura Atual
TN? de Dias
Proxima Lela
Data das
Telura Anterior
3
24/0212028
'SKAL ENGENHARIA INDUSTRI E C.L.A
Lelturas
26/12/2025
26/01/2028
INSTALAGAO: 2000077234
‘aceite de ogelo
|. clpas = 0387000"
R, GAL GSORIO,, 2919 APT 00 COND SMART
4810155
Tes
TY sorarsoa wenn. stne co
DATA De EM'SSAO: 2601/2028
RESIDENCE CEP: 64000.580 CABRAL-TERESINA-PL
oo
Conta Contato
aK
CConsute pala Chave do Acesso om:
3001754636
iv
npeulle-onalsweas.gov.niNFEIConeuts
chave de acosse:
Soe
‘22280 0e840748000189850000876205052066870030,
ania ae
Venetmants
“aa Pagar
Sm Ls
Baw
Protocol ce autoxeapso: 82220000013
20
‘2/04/2026 8 19:38:12
01/2026
02/02/2026
R$ 29,60
orf
Ble
INFORMAGOES PARA O CLIENTE
Res Pa colo 12 077 Sars is TS GESTS TED FORREST NGS A eatin Sb cos BER @ PHT Ban. aL ST
Teme sua Voce: int 001 Covlema AEN 1982 ANGELS pre OVE orien da UC aed aonazo ent ple lesrone;Seos cnt sent.
fens de Fatwa
Giant.
Toms
‘ValonR3)|
“ase
Bets) Ainoth)
vane)
m
Proge Uniti
ates)
COFINSIRS)
RS)
Tas
300.
‘oo
280
B
0.983667
6650
ae
005
wat
Ps
ao
osrre
om
(Gust de aponbads (OEY
0
90
‘008
corns
7s
pot
om
lAdicenal Sandel
vans Ca
3180
Fevies
31
MARI25 [I
10
ABRI25 CI
2
mais
14
suns CI
26
uLi2s Fo
63
AGOR5 {
3
sevas €
48
outs (3
23
Novre5 [=
30
bezns L_——)
99
JaN26
a
Teer
anaes
Pose
Tae
Ta
Tar
eseriado a0 Fico
emtor | ‘fat | ce
c
FT
ROTEL
25
Ey
798
aa
'BB0C.D3AB.E4BE AAAD.C205 TEBO.SESF ABTS
‘Rassiugde ANEEL | —~Aproseanto
‘Wee Programa Soe
‘65675
2510172028
REAVISO DE VENCIIENTO
coxa pe stout
cme
Uumeodasene css 0803
ees
oreworvensToatt
SERS
==
ve
eteacatcegrteeia vce
TES ewlerercunerimcentanrsaneuion oetunenatrrenters
Prmcopctecistis aaa
pt
og
pra enense
PR
&lt;i
Ensifeniaaae Sn
ee
concn
ee
=
=
=
—
oe
oe
Bee
=
GONE Cal
I. OS NGSSOS Ca!
25 shat
oad
a
as
{Gynosso Vinatsnpp ef coma cl
essoalag
wo
fed
he
zs
ee,
a
=a
Filgunendet
a
=
ek
ss
bee
ee
4
I
Pair
«Ss
es
ernie
lidtoriligag
vi
f
aes
%
Iss
‘Cadastro sei
iBaheaRent
eee
ida
b
fe
aoe
ng
aft
ae
i
af
i]
Kt
a
.
ia
‘6
=
al ce
Piasoyazae eae
ede
9
‘
a
om
aston
|
eee
Se
SS
a
=
a
Nore do Cigale:
rx
Unldade do Lota:
Vencimento:
Valor eobrado (RS)
IRiNOUSTRAESLLA
Soto
ia
Somnpatncs
FATURA ARRECADADA - NAO RECEBER
Ok</t>
        </is>
      </c>
      <c r="C4" s="15" t="inlineStr">
        <is>
          <t>NOTAS FISCAIS DE COMPRA JANEIRO 2026.pdf - p. 3</t>
        </is>
      </c>
    </row>
    <row r="5" ht="75" customHeight="1">
      <c r="A5" s="13" t="n">
        <v>4</v>
      </c>
      <c r="B5" s="15" t="inlineStr">
        <is>
          <t>tae
ie
gra-DoaMnT Aun AROTASCN OLLIE LE EAREIRI
2a
Pagina tit
Equatorial Piaui Distribuidora de Energia S.A.
tnenea
Rua Jodo Cabral,
CGNPJ: 06.840,748/0001-89 |Inec. Estadual: 19.30.2825
Gentio Sul- Teresina - PI CEF
001-93
Sasaki ReacanPene
[Resear MOSES
[
TESST TY UMRTERY —ea Maas
Baia des | Leitura Antovor
Teltra Alval | Ndo Dias | Proxima Letra
‘SKAL ENGENHARIA INDUSTRIAE C.L.A
Lolturas
nea
46101/2026
30
1902/2028
INSTALAGEO: 2000080450
:
Parco da Neqeclo
NPs:
= 936"00072"
Pr,
R.TREMEMBE , 199, BL.01 APT 105 CONDOMINIO
4810155
ial
iA
NOTA FISCAL N* 087003437 -SERIE 0007
‘AMARE CEP: 6222-400 ZONA RURAL - CAJUEIRO DA
Ty DATA DE EMIssKo: 160172028
PRAIA- PI
Conia Contato
ie
a
‘Gonsute pela Chava de Acessoem:
3004873890
3
‘crave de s00530:
‘Ripsiele-pata swsss gor DINFE/Consata
;
‘22250106840748000180660000670031972082880016
"|
Conia
Vancimanta,
aaa Pagar
oh
16012028 be 1:30:02
Protocole de asonaagdo: 3222600000585184 -
01/2026
23/01/2026
RG 29,78
ano
TNFORMAGOES PARA O CLIENTE
ast Pn Set 2 GDR, RTS CHS SS 8S GN PERRIS HPA a a a AT BDA TAPS wT,» PHT BB TOA
Sra era: 01st 1001
tens de Fatura
‘Quant
Prego Uni-(RS)
Tanta
Tous
Valor3)
Vane Bae)
or
ana)
com Tibutos
unit RS)
COFINSIRS)
PS)
aT
as
0
‘000
oa
[Gusto de deponbiidade GWA)
Ey
0983887
946600
m2
0.00
Ps
corins
ie
ae
curs
313
on
on
'Adconal Ganceka
oot
0.00
oa
sens Co 82
ours
33
noves F——
85
pezes L———]
76
sane
28
AH6
‘Soe
coe
Sanaa
Pome ae
or
| aac
Reservado 00 Fo
7
7
7
AVGTOT
"are
Bi
198
ER
{561,10AD.E7500CFA 520.0687 753.6406
sslugto REEL
presage
Wd Pogiama Soil
3555125
renv2020 |
[ REAVISO DE VENCIMENTO.
ora
‘urzendrsneeoes 0800
comatose ames
Soper
eee
‘Rance ucIGO SH
car fen END
ad
assent
poco See
Feng cats puatmtontaarssncucensinstunera trons
beeopeecicen
SSR occaemiisatetlgn”
rl preset so one ic
cay
By
a
oi
py
iz
mmigsnassbs caipis digital dresolvatudasen Si Site eS.
Bey
‘nosso Shatsapp, ofale coma ea
Pf” Bacesseonosie sito. balxa onosso app, para
5
tnformar faltade eneigla:
24
=
darttuladidade
K
2
Riead
Bo
es
Va Pedic ebdigosde baits
pagamcito,
sollte
al
re
Be.
Se Pedi tegind vind fatura,
oy
BS
rl
-poadastbiteronts Seca
es
aa
-Seaianzeen
oo
i
gresetbltin ombr Dae
lh
SN
a
_
ee
=
Noma do Cente:
ge:
Unidad de Leture:
Compettncia:
Vercimento:
‘Valor eobrado RS):
TNOUSTRAEG.LLA
Sistoreno
FATURA ARRECADADA - NAO RECEBER
OK</t>
        </is>
      </c>
      <c r="C5" s="15" t="inlineStr">
        <is>
          <t>NOTAS FISCAIS DE COMPRA JANEIRO 2026.pdf - p. 4</t>
        </is>
      </c>
    </row>
    <row r="6" ht="75" customHeight="1">
      <c r="A6" s="13" t="n">
        <v>5</v>
      </c>
      <c r="B6" s="15" t="inlineStr">
        <is>
          <t>a
ae
Bee coco APLAR aARCTAPSEIE EEENERGA LERCAELETNCA
Va
Equatorial Piaui Distribuidora de Energia S.A.
Pagina tit
Rua Jodo ¢:
‘CNP: 06,840.748/0007-89 | Insc. Estadual 19.901.380-5
0
RECA
‘Coniro Sul - Teresina - Pl CEP; 64,001-33
‘isa: eels
[Foes Ferecin TTSIE
J
Tas STONEY Coe Visine
Data das
Tllura Anterior
Tela Alval
‘N® de Dias | Proxima Letra
‘SKAL ENGENHARIA INDUSTRIAE G.L.A
Loitwas | 30/12/2025
29/01/2028
30
‘21102/2028
INSTAL
12078108,
Parcsine de Negi
CNP:
038/000"
RIND FRANCISCO GASTRO , 1608, 1542 CASAO1
4810155
De sornnoce comms sine or
‘CEP: 64052-580 SAO CRISTOVAO- TERESINA -PI
i
Ty, OATADE EnissAo: 2010172020,
Tonia Contato
‘Const pela Chavs de Acessoem
12076198
_ntpaefe;pora. sia gou biNFEIConeuta
‘have de acatto:
I
yal 222001052«07&lt;s000 s9¢6000057esei0s10%9688360,
Cons BE
‘Versinionte
Talat Pager
ETP MEE A cio de atorragto:3222600001510210-
cri
[-}
2101/2028 be 10:10:06
01/2026
05/02/2026
R$ 843,08
aie
fa
TNFORMACOES PARA 0 GLIENTE
Fauiz aut Vacas0101- 2801 + Coveme REN 1882 ANEEL, a pron OUI romero oa UC set pasando noel a Wlrmaea oscar Sein
"Eglin sk bd od 2. DSTEOH Sra ds aa alalion aE ano Ss jeer pueda wa wend to SWS Gea © PRRSTOE TARE TAR
Rens de Fatora
Guani,
Tail
Tous
ivwate)__ vanes)
Prero TaRS)
(RS)
corners)
ARS)
Valor RS)] veo Soci)
oe
‘0.9¢8650
283
174.00
Tas
Ps
Tous
are
78s
21
cere
Tai
ne
(Gonna AY
"165880
corms
sare
Ba
107
[Adional Bandeka
at
ott
‘050
Frens FIMANCEIROS
Cie Pub Pret Hunts
023
ANS Cod
502
reves C1
590
MaRI26 L———
508
Ais C3
609
wavs [1
suns CI
730
US Go Sar
1087
AgoI25
an
i ———
801
ours Ed
873
Novies =
928
pezes &lt;7
7006
Ese
Janes
609
Teaser
Posie
Taka
Cont
Cena
eservade a0 Fisoo
eter
ont see
TRF
TAROT
TE
TET
109
TERN
EE4F.9028.0860.3E30.0083.AE00 AEA &lt;OFF
Tissue ANEEL | ~Aevessniagao
1 a Programa Soda
955725
‘090172028
REAVISO DE VENCIMENTO
‘carat osarnpaia9
ee
sateen ets
‘ues ootm
frocunnocevio Mi
ER
debian
Fopgetda we
FSET SSPE
[eS be cmarmaunesmuanodandencusinetstenmosiceadnt
Perception
i
set
ecigeen
Taare
ord
fetches
amasaorerenene
os
7
as
a
oP
BANCO DO BRASIL.
[ao‘-s|00190.00009 03373383003 22046.088171 3 9000000084308
mats facliidade pra
PAGAVEL PREFERENCIALMENTE NO BANCO DO BRASIL
95.02.2025
ag
7
=
vos.
[EQUATORIAL PLatl DISTRIB. DE ENERGIA S.A,
2076198,
| vases
Para ratzaro pagamento,
St
Teo
Tee Sae
E
STRESS
Caaak
2.912026
Sosa
o207601067688605
20.01.2928
33733020022046088.
ullize © QR. CODE abalxo,
“ear
a
PR ESeIED
| |
ToT TTS
GCaRO
SERAO COBRADOS KAPRONAFATURA
aS EEE
erie,
2
a
ay
SRAFRREAURR ISIE EO EN oss osnonne 0
ar
Se
ur
at
Sais
st
tia
FoF
of
fi
#
£5
|
ESET
a
Mee
oe
Sat
AA
Ficha de Compensacao
ie
=
ok</t>
        </is>
      </c>
      <c r="C6" s="15" t="inlineStr">
        <is>
          <t>NOTAS FISCAIS DE COMPRA JANEIRO 2026.pdf - p. 5</t>
        </is>
      </c>
    </row>
    <row r="7" ht="75" customHeight="1">
      <c r="A7" s="13" t="n">
        <v>6</v>
      </c>
      <c r="B7" s="15" t="inlineStr">
        <is>
          <t>NOTAS DE ENTRADAS
PERIODO MES DE
JANEIRO /2026
SKAL FILIAL/MATRIZ
i. —. + |.</t>
        </is>
      </c>
      <c r="C7" s="15" t="inlineStr">
        <is>
          <t>NOTAS FISCAIS DE COMPRA JANEIRO 2026.pdf - p. 6</t>
        </is>
      </c>
    </row>
    <row r="8" ht="75" customHeight="1">
      <c r="A8" s="13" t="n">
        <v>7</v>
      </c>
      <c r="B8" s="15" t="inlineStr">
        <is>
          <t>7
at
NFe
‘RECERENOS DESKAL ENGENIARIA INDUSTRUA E CONERCIO LTDA 08 FRODUTOS CONSTANTESMA NOTA FISCAL ADLADO
1N* 000128
SERIE:
DR BERECERDTANTO
ica ‘DORECEREDOR
Fea
ay
aaa
eenny
ne
DANFE
af
ll
nal
Document Auxiliar da
OU
FEALFIX:
ct
‘Note Fiscal EtetrOnica. pegyyeBeneRSie
SKAL ENGENHARIA, INDUSTRIA E COMERCIOLTDA.
0- ENTRADA
2226 0123 6550 38000269 £800 3000 0001 2813 07202567
IeRUA- R SAO FRANCISCO, 4000 - GALPAO - Barro - PARQUE JUREMA.
1-SAIDA
Teresina - PE
‘Consulta de auenticidade no portal nacional ds NF-E
IN? 000128
SERIE:3
FL ut
‘wrwwenfefazenda.gov-briportal ou no site da Sefaz Autorizadora
ager 0 etree
ATUREZA DA O°ERAGIO
Jraorocoio pe avronizxckopE Uso
Salda para deniro do estado
‘222260002855725
30/012026 14:31:08,
SE ESTADOAL DO SUBST TRIBUTE
rene
TRSCRIGNO ESTADUAL
193446298
123.655.03870002-89
DESTINATARIO/REMETENTE,
NONEIRAZAOSOCAL
(eam
[oxTADaEwssKO,
19.377.865006-04
30/01/2025
FORNECEDORA CAMINHOES COMERCIO E SERVICOS LTDA,
fanaa oisrarro
[DATADAENTRADA/SAIDA
fewneneco
Avenida - Av. Prefeito Wall Ferra,9247 ~
Baio Lourival Perente
[feo
3001/2026
FONETEA
sscnugKo ESTADUAL
WoRA DASTRADATSAIDA
‘NUMERO
ra
Teresina
PI
(86)3366.1222
196641497
fe
1LO DO IMPOSTO
Featcuia voicus
[enon o cas soosrTucko
90
0.00
9.00
141635
[vatoR Doicas owe a
ee
mR DOrRSTE
WALORDO SEGURO
‘CUTRAS DESFESASACESSORDAS
[waioxbomr
IVALORTOIALDATOTA
Exo
0.00
0.00
131721
|
090
|
‘TRANSFORTADOR/ VOLUMES TRANSPORTADOS
[reste ron conta
'WOME/RAZKOSOCIAL
:
9 -Sem Transporie
al ima w P=
( DERECO
ee
oF eo
QUAERDADE
o
=
°
=_—
°
| ‘EsPeCIE
ie
DADOS DO PRODUTOISERVICO
vet
ao
‘con op.
escuK0 Do FROTUTES /SERVICOS
worst] esr | cro |unaol quampane Jy.tarriwo| vitorat | nesenes | v.seus | SR
000
65990] Goo
3556 | UN]
Tog
Tai635]
Ta1635)
060)
0,00]
0300)
2.0]
jorse79
ISECAODAJANELA
J
wrt,
ADOS DO 1ssQN
[VALOR TOTAL DOS SERVIGOS
TASEDECMEULODO SON
‘VALORDO SQN
0.00
=
on0sts-4
000
‘DADOS ADICIONATS
RESERNADO OFSCO
(FORNEAGDES COMPLEDENTARES
reamishto daf vermelio placa: SLOPIBS
:
4g, Y54 69% (oo04 ~ 8°
newness
Pree
7</t>
        </is>
      </c>
      <c r="C8" s="15" t="inlineStr">
        <is>
          <t>NOTAS FISCAIS DE COMPRA JANEIRO 2026.pdf - p. 7</t>
        </is>
      </c>
    </row>
    <row r="9" ht="75" customHeight="1">
      <c r="A9" s="13" t="n">
        <v>8</v>
      </c>
      <c r="B9" s="15" t="inlineStr">
        <is>
          <t>[Reo FORRES ERE COREE
TEES G5 RTT CSTE STH FSA HAN ROME
Ne
10880
RE RRTT
BETTER FRCS CERES
FORNECEDORA CAMINHOES COMERCIO SERVIC
|
~DANFE
ENDEREGOAVENIDA PRE=FITO WALL FERRA | pocuMeNTO mom
DA NOTA FISCAL
No 9247
ELETRONICA
fi
BAIRRODISTRITO: LOURIVAL PARENT
= [lit
i |
il
z
MUNICIPIO; TERESINA
Pt
4 -SaiD4,
| =
Jzz28 0119
78
0
ai
1108 5500 1000 D106 S06 “245 5407)
CEP: 6022-800
Ne 10880
FONE: (5990200477
SeRIE
on
a do auomeiace no por nacional fa NF-&lt;
|
wos nie fazends ges: roa cue ste da Sefez ALtorzadox9
mliinnesecici
‘pORRCOLE OE AToRaRENE
‘TURE onoeRRNEE
| | VENDA PEGAS BALCAO
AS WWENBWST 27101126 15:04 00
sere —————————
“aac TRSIAT SS ABER RE
——ye9r
| s9277
006-04
|
| ie6641497
ES TIATO RERETENTE
—
| y
on
TE
arma
SKAL ENGENHARIA E INDUSTRIA E COMERCIO LTDA (4404)
{ 23.655.095'0002-80
a
026
cia
are
or
i
‘aE
Te
|
| AVENIDA SAO FRANCISCO, Ne 4060.
EXTREMA
64076.
271012026
®
aR
se
a
ace ESTACEAT
re
(@s)2107-4700
Ph
194446208
1:00:00
7
{|
| TERESINA
—
FARAT BUR EATE
rae
ea
san
11
‘eas
9
ae
aT
7
a
L
eID BO WRORTO
peor eareoro
S| REE AES STE
TSA
a
hes
sem |
i
1416.85
0,00
0,00
0,00
AER
RRC ES
0,00,
ares eri
2173
TERA ERT
ERED
1
0.00
0.00)
99,14
0,00,
0,09}
0,09]
0.00 |
100.11
iad
| TRaapoRTADOR VOLUMES PaaNSPORTABOS
breweries ss
rere scONTE
|
|
oes macnn
i
REE
=
ae
ial ened iooniall ll
—
|
i
ah
c=
rar
eRe
—p
cea
\iamenal
000
| nanas ne FaonuToTseaGas
A BS PROT OTTO
oe
TT
eT
est
| ae
eae
bid al
fam_|
Tans
ros
Ta
recs
7
f
or
am
1
|
i!
CEO
cud
26
@.
ost
1
{|
1
1
ti
\|
tt
11
{I
i
{|
iH
Th,
eo
“ABICORA
—
Ul
ia
_
|
ee SPCR
ta ot 2209-COND &gt;HGTO DON DMS Pein 805A SLONTR 5-4 TTR PECABEONE FIONN
i
ai sina ciesanyengranarcem maps 00a AND MORSE tne Fa
aS en a
RAWLO SLAQQI3S
| fone
a ee
IL |
on
nt</t>
        </is>
      </c>
      <c r="C9" s="15" t="inlineStr">
        <is>
          <t>NOTAS FISCAIS DE COMPRA JANEIRO 2026.pdf - p. 8</t>
        </is>
      </c>
    </row>
    <row r="10" ht="75" customHeight="1">
      <c r="A10" s="13" t="n">
        <v>9</v>
      </c>
      <c r="B10" s="15">
        <f>
BANCO ITAU
| 341-7 |
IECIBO DO PAGADOR
Benatar
Ea
Bee
pees!
FORNECEDORA CAMINHOES COMERCIO E SERVIGOS LTDA, CNPJ:19.377.865/0006-04
‘Aabell iso Bon
'AVENIDA PREFEITO WALL FERRAZ 9247, BAIRRO:LOURIVAL PARENTE, TERESINA -Pl, CEP:64022-800
= ealans
feats
‘ati do Prosessarmento
Tiassa ome
ad desman
Tio ooeToNe
“10esart
Eepicle Boe
DM
a
arosi20ne
+109/00135816-9
271092025
eedo Banca
im
Ure emeace neti
eS
Pica
ee oe
ie
ol
‘¢)Outtas Dodges
NORA DIARIA DE 1.02 EM REASS.
HULTA APOS VENCHAENTO DE 2.00%
‘Pi iteraaatanios
aeosove
To
MORA De 0.180% AOC
[ey Gini Rae
SopRAR aT est POS WEN CMIENTO.
[PRoTesTaR APOS 6 O4MG CORRIDOSO VENCMENTO
{tenesse2a90)NF: 106501 NFe:22260110377865000845500 10000 105S01612455407
g
cee
pay
2a
is
mf
ii
a
i
Pogador
"SKAL ENGENHARIA E INDUSTRIAE COMERCIO LTDA
CCNPLIGPF - 23.655.038/0002-89
AVENIDA SAO FRANCISCO 4000 EXTREMA
184076-450 TERESINA -PI
Benefcléno Final
Tiutenticagte Mecanica
-
6
BANCO ITAU
| 341-7 [sso 09008 13591.692630 94030.190006 1 1369000043900
Sas
‘Toashae Pagans
‘i
a
Benet
CHEE
Jncia(Gicign Bovefitio
FORNECEDORA CAMINHOES COMERCIO E SERVICOS L1
49.377.868/0006-04|
;39/40301-9
[AVENIDA PREFEITO WALL FERRAZ 8267, BAIRRO:LOUR/
7AL PARENTE, TERESINA Pl, CEP:€4022-400
Fosse Niners
‘Baia do Docunenio
We de Documenio|
Eaptie Doo
"one
Dats do Prozossamonio
2012026
‘8s0r1
DM
A
z7eo2s
soonot2596.
evo Sanco
Catia
a
es
409)
i
es
0
eee | eaneee
I Valor
Rees
NST AOFOESDE RCGPOHGABRIOATE 5O GENETICS. GUALGUER DUVIOA SOBRE ESTE BGLEYO, CONTATE OBENEFCIARIO.
Eas
ia
si
tee
re
ouaetl
[MORA DIARIA DE 1.02 EM REAIS.
)Outias Dedupdes
a
MULTA APOS VENCHZENTO DE 2.00%
(Mortars
{#998 OVENCINENTO CCORAR MORA DE 016668 AODIA
(COBRARMLLTA.DE 2% APO VENCMENTO
TiGutros heecno
PROTESTAR APS OS DIAS COARDOS 00 VENCIENTO
—
i
a
a
(Lane:582990)N
986011 Ne: 22260119977B65000804550010000 16880162285487
ERE
a
Ae
ao
23
Pagaiar
“SKAL ENGENHARIA E INDUSTRIA E COMERCIOLIDA
AVENIDA SAO FRANCISCO 4000 EXTREMA
(CNPAICPF -23.685.03810002-89
(64076-450 TERESINA - PI
Boneticiéra Final
FIGHADE COMPENSAGAO
‘Autenseagio Mecniea
MOO A</f>
        <v/>
      </c>
      <c r="C10" s="15" t="inlineStr">
        <is>
          <t>NOTAS FISCAIS DE COMPRA JANEIRO 2026.pdf - p. 9</t>
        </is>
      </c>
    </row>
    <row r="11" ht="75" customHeight="1">
      <c r="A11" s="13" t="n">
        <v>10</v>
      </c>
      <c r="B11" s="15" t="inlineStr">
        <is>
          <t>-
BANCO ITAU
| 341-7 |
REci90
a
D0 pagan
I
Boretare
es
Pence
3010320
FORNECEDORA CAMINHOES COMERCIO &amp; SERVICOS LTDA, CNPJ:19:377.805/0006-04
‘AginclatCSdigo Oe
AVENIDA PREFEITO WALL FERRAZ 8247, BAIRRO:LOURIVAL. PARENTE, TERESINA +1, CEP:04027-800
Se Feanna019
Baiado Beamows
Wao beamene
Eapese Doe | — Asoo
Bata do Processamento
Tosa hares
‘211012026:
‘soso
OM
in
2riosrn02e
199/00135917-7
me
_
cy
oo
aa
i Veer
Epi | ete
-E
‘esbuntes: (Tacos infomages deni Hoge so ds eau roaparasbUCade Go benebcta)
¢
‘()Outtas Dodigies
-MORA DIARIA DE 1.02 EM REAIS.
MULTA APOS VENCIMENTO DE 2.00%
Marshes
‘ConRaR uCTA cE fs ApoS VENCEN
4°08 0 VENGNENTO COSRAR NORADE 0,(656% AODIA
Ty Cains ReaanS
PROTESTAR APCS 0 DISS CORRIDOS DO VENCINENTD
a
a
{(Leneiss2291)NF: ESO NFe:222601195778850008045500 10000 TeRsO16 24S5407
eae
ee
reek
Pagedsr
"SKAL ENGENHARIA E INDUSTRIAE COMERCIO LTDA
cnPuicPE.
23.855.038/0002-89
AVENIDA SAO FRANCISCO 4000 EXTREMA
'84076-450 TERESINA -PI
Beneficda Final
Hutoniicarae Mecanica
e
BANCO ITAU
| 341 =f [eo apne 13591.772630 94030,190006 8 1410000043900
Teeatae Pagano
‘enehirio
Cay
“AginclalCSdigo Bonefciro
FORNECEDORA CAMINHOES COMERCIO F SERVICOS L1
19,377,86510008-04|
140301-9
‘AVENIDA PREFETTO WALL. FERRAZ 9247, BAIRRO:LO\
7AL PARENTE, TERESINA -P1, CEP.£4022400,
.
Wosso Nimoro
‘do Documents
TNF da Documents
‘Expécle Dos
Dain do Prosessanionio|
27012026
1066072
DM
27myne
499/00135917-7
Woeo Banco
| Goria
Espacle | Guaniidede
avs
er
109
RS
Se
a
a
t Valor
esis
aie
=
eS
‘ay
;NGTRUGEES DE RESPONGADLIDADE OD BENGFICIAIG. GUALGUER GUMDA SOBREESTE BOLETO, CONTATEO RENEMICIATO.
ee
ef
et
‘ORA DIARIA DE 1.02 EM REAIS.
{¢) Outras Dedugdes
[MULTA APOS VENGINENTODE 200%
Pi oratAtatioros
‘AP 8 0 VENCENTO CODRAR OPA DE 0.10886 4001
‘COBRAR MULTA DE 2% POS VENCMMENTO
WOatros Aavescins
[PROTESTAR APOS O5DIAS CORRDOS OO VENGHENTO
SS
a
(eanese2339)
y8S0r1 NEw: 222601 193778850008048500 t0COOTORSOSIZISSAT
ee
ieee a
es
Pagacor
“SKAL ENGENHARIA E INDUSTRIA E COMERCIO LTOA
AVENIDA SAO FRANCISCO 4000 EXTREMA
eNPUNCPR -23.668.03610002-09
le]
(64076-450 TERESINA -PI
Benefiio Final
FICHADE CONPENSAGAO,
‘Adteneagto Nocinica
LAUT</t>
        </is>
      </c>
      <c r="C11" s="15" t="inlineStr">
        <is>
          <t>NOTAS FISCAIS DE COMPRA JANEIRO 2026.pdf - p. 10</t>
        </is>
      </c>
    </row>
    <row r="12" ht="75" customHeight="1">
      <c r="A12" s="13" t="n">
        <v>11</v>
      </c>
      <c r="B12" s="15" t="inlineStr">
        <is>
          <t>BANGO ITAU
RECIBO DO PAGADOR
| 341-7 |
ae
mz
‘Boneficar
e
See
ee
FORNECEDORA CAMINHOES COMERCIO E SERVICOS LTDA, CNPJ:19.377.805/0006-04
‘Agescey go Be
‘AVENIDA PREFEITO WALL FERRAZ 9247, BAIRRO:LOURIVAL PARENTE, TERESINA -Pl, CEP:64022-800
"Fes140301-9
Tesco nae
Daiado Docunano
Wresbeaineas
Baia do Prosesserenio
199/00135918-5
zrieta028
f06s0/3
betel (aad |
=
zriowa026
‘Wi Benes
Car
fal
re Comrade
=
TMevorton ace bormapbe date bogpel sled ex spore Ucada Go bane)
Bescon enone
of
7) Ouiras Dedigsos
ORA DIARIA DE 1.02 EM REAIS
NULTA APOS VENCIMENTO DE 2.00%
Taare
42060 VENCSIENTO.COBPAR NORA DEO. 1656% AODIA
Eeaeak ntact 2s APCs VENOMENTO.
[ey oanae ean
[PROTESTAR APOS 08 DIAS CORRIDOSDO VENCINENFO
eae
a
me
ead
(Lene:582992)NF: 10650/1 NFe:2226011097734500004850010000t0Bs01612455407
Pagedor
'SKAL ENGENHARIA E INDUSTRIA E COMERCIO LTDA
‘ONPLICPF - 23.655.038/0002-89
AVENIDA SAO FRANCISCO 4000 EXTREMA,
176-450 TERESINA - PI
Benefetilo Flat
“Autenticagso Mecdnica
=
eer
6
BANCO ITAU
| 341 -7 [seorson 43591.852630 94030.190006 6 14290000043921
ERE
=
Tessa Pagano
ra
ianzet
A
cro
‘Bereta
49.377.96510006-04]
‘Agicla/Gédgo Beret
“25381603019
FORNECEDORA CAMINHOES COMERCIO E SERVICOS
AVENIDA PREFEITO WALL FERRAZ 9247, BAIRRO:LOURIVAL PARENTE, TERESINA -Pi, CEP:64022-
‘Bata do Document
TW a Dosumente | Eapicie Doc
“heat
‘Dats do Processemenio
Tisate Namare
arate
‘oss0/3
DM
=
Ed
41091001:
itso 6o Banco
Garaa
‘Guenidade
-
Valor
issote-s
re
‘Eapécle
os
109
RS
is
fe
Eas
TRSTRUGGES DE RESPONEABIUDADE 00 BENERICAARID, GUALGUER DUVIDA SOBRE ESTE DOLETO, CONTATE OGENEFIGAROO,
an
tal
then
tine
ve
-MORA DIARIA DE 1.02 EM REALS
{-) Outras Dedugdes
MULTA APOS VENCIENTO DE2.00%
{2008 0 VENGMENTO COBRAR HORA DEG, 608% 40 O14
Py Morons
‘CoeRAR NULTA DE 2% APOS VENCMENTO
TOaivos Retecire
[FROTESTAR APOS 05 DIAS CORFRDOS DO VENGMENTO
3
RAE
ee
oe
=
(Lancss82352)F: 1088011 NF: 22280119377895000604550010000 100801012489487
es
ate
pa
oe
se
ce
Pagator
'SKAL ENGENHARIA E INDUSTRIA E COMERCIOLIDA
AVENIDA SAO FRANCISCO 4000 EXTREMA,
‘CNPUGPF -23,658.038/0002-89
(64076-450 TERESINA -PI
6
‘enatoio Fes!
FICHADE CONPENSAGAO
‘Autenteagio Mectalea
WONG LACM</t>
        </is>
      </c>
      <c r="C12" s="15" t="inlineStr">
        <is>
          <t>NOTAS FISCAIS DE COMPRA JANEIRO 2026.pdf - p. 11</t>
        </is>
      </c>
    </row>
    <row r="13" ht="75" customHeight="1">
      <c r="A13" s="13" t="n">
        <v>12</v>
      </c>
      <c r="B13" s="15" t="inlineStr">
        <is>
          <t>Li
Prefeitura Municipal de Teresina
Fao}
Mihi
re
Secretaria Municipal de Finangas
3
peat!
oy
Nota Fiscal de Servicos Eletrénica
Pe
oF
Bee
NFSe - Prestador
iZOacAXay
Tease tans BS poe
DADOS DA NFSe
‘ees pats eur aera co0
bale commute o Codigo ae vec
oe
Data e hora de emissio
Gompeténcia
Numero / Série
Si" stendciae time No poral
31/12/2025 19:40:35
12/2028
863/U
se
EMITENTE PRESTADOR DO SERVICO
CPF CNPJ/ NIF
Inserigao Municipal
Teletone
20,504.019/0001-82
489791-0
(98) 99042-3494
Nome / Nome Empresa
7
E-mall
GESTAO - INOVACAO EMPRESARIAL LTDA
matlanibero88@hotmall.com
(M)
Enderego
RUA MAGALHAES FILHO 1055 MARQUES.
Municipio
cer
TERESINA / P| BRASIL
6402-450
TOMADOR DO SERVIGO
GPF /CNPJINIF
Insetiggo Municipat
Teletone
23.655.098/0002-88
080815-4
i
Nome / Nome Empresarial
E-mail
‘SAL ENGENHARIA INDUSTRIA E COMERCIO LTDA.
Enderego.
Municipio
cEP
[AVENIDA SAO FRANCISCO 4000/0 BAIRRO EXTREMA,
TERESINA! PI BRASIL
4076-460
SERVIGO PRESTADO
cn ceo
£8295-,/99.01 - OUTRAS ATIVIDADES DE SERVICOS PRESTADOS PRINCIPALMENTE AS EMPRESAS NAO ESPECIFICADAS ANTERIORMENTE
Servigo
17.01 - ASSESSORIA OU CONSULTORIA DE QUALQUER NATUREZA, NAO CONTIDA EM OUTROS ITENS ESTA LISTA; ANALISE, EXAME, PESQUISA, COLETA,
Local da prestacae do servico
TERESINA! PI
BRASIL
Pais da prestagdo do servigo
DESCRIGAO DO SERVIGO PRESTADO
SERVIGO DE ACOMPAEARITO DE PROCESEOE ADNENZETRATEVOS.
REFERENTE AD MES OE ROVENDND DE 2025
2
2.
y
2
10/
pu
DOCUMENTO EMITIDO POR ME OU EPP OPTANTE PELO SRIPLES NACIONAL
TRO TAGAO MUNICIPAL
Exigibilidade do ISSN
Municipio da Incidéncia do ISSQN
Responsével pelo recolhimento do ISSQN
Exigivet
TERESINA. PI
Retengao do ISSN
PRESTADOR DO SERVIGO
NAO RETIDO
OPTANTE
Situacao do prestador do servigo perante 0
iples Nacional
Regime especial de tributacao do ISSON
Simples Nacional
CALCULO DO ISSQN
Valor total da NFSe (RS)
Total das dedugées (RS)
osc. incondicionade (RS)
Base de célculo do ISSQN (RS)
Alig, (%)
759,00
0,00
0.00
759,00
i
:
Vator do ISSQN (RS)
RETENGOES
ISSQN (RS)
IRRF (RS)
PIS (RS)
CCOFINS (RS)
INSS (RS)
SLL (RS)
Outras retengées (RS)
0,00
0.00
0,00
0,00
0,00
0,00
0.00
VALOR TOTAL
Base de célculo do ISSON (R$)
Retengées (RS)
Dese. incondicionade (RS)
Desc. condicionade (R$)
Valor Liquide da NFSe (RS)
759,00
0.00
0,00
0,00
759,00
INFORMAGOES COMPLEMENTARES</t>
        </is>
      </c>
      <c r="C13" s="15" t="inlineStr">
        <is>
          <t>NOTAS FISCAIS DE COMPRA JANEIRO 2026.pdf - p. 12</t>
        </is>
      </c>
    </row>
    <row r="14" ht="75" customHeight="1">
      <c r="A14" s="13" t="n">
        <v>13</v>
      </c>
      <c r="B14" s="15" t="inlineStr">
        <is>
          <t>Prefeitura Municipal de Teresina
Bate
sf
ee
Secretaria Municipal de Finangas
sate
ae
at
se
Nota Fiscal de Servicos Eletrénica
e
5
NFSe - Prestador
S2
IZoa0AXay
TaMaaas at WISE Fo
DADOS DA NFSe
‘ected pater nae GR
Data o hora do emissio
Competinela
Niimoro / Série
Be" seemeeinie nes to pote
Fis connabe do Codigo se Vetere
3471212028 19:40:35
i205
36370.
Nise
EMITENTE PRESTADOR DO SERVICO
CPF/CNPSINIF
Inscrigdo Munleipal
Telefone
20.504,019/0001-82
4497910
(6) 99442-9494
Nome / Nome Emprosarial
E-mall
GESTAQ - INOVACAO EMPRESARIAL LTDA
‘mariadbelroB8@hotmal.com
Enderego.
Muntel
cep
(m)
RUAMAGALHAES FILHO 1855 MARQUES
TERESINA PI BRASIL.
4002-460
TOMADOR DO SERVIGO
OPE/CNPJINIF
Inserigo Muntejpal
Telotone
23,855.03810002-89
0803154
Nome / Nome Emprosasfal
SKAL ENGENHARIA INDUSTRIAE COMERCIO LTDA.
E-mall
Avent
End
3 Sao FRANCISCO 4000/0 BAIRRO EXTREMA
Municipio
TERESINA/ PI BRASIL
6076-450
‘0 PRESTADO
10
o
11 - OUTRAS ATIVIDADES DE SERVICOS PRESTADOS PRINCIPALMENTE AS EMPRESAS NAO ESPEGIFICADAS ANTERIORMENTE.
Servigo.
17.01 - ASSESSORIA OU CONSULTORIA DE QUALQUER NATUREZA, NAO CONTIDAEM OUTROS ITENS DESTA LISTA; ANALISE, EXAME, PESQUISA, GOLETA,
Local da prestago do servigo
Pais da prestagdo do servigo
TERESINA/ PI
BRAS!
DESCRIGAO DO SERVIGO PRESTADO
SERVIGO DE ACOMPAMNAKERTO DE PROCESSOS ALMINTETEATIVOS,
REPERINTE AO WES DE NOVENDRO DE 2025
‘DOGUHENTO ENITIDG POR ME OU EPP OPTANTE PELO SIMPLES NACIONAL
‘AGAO MUNICIPAL
Exigiblidade do [SSN
Muntctplo da IncldBncta do ISSQN
Rosponsdvel polo recolhimanto de ISSGN
Bigivet
‘TERESINA -PI
PRESTADOR DO SERVICO.
Rotongiio do ISSN
Situago do prestadior do servigo perante o Simples Nacional
Regime especial do tributagdo do ISSQN
NAO RETIDO
OPTANTE
‘Simples Nacional
CALCULO DO ISSQN
Valor total ds NFSe (RS)
Total das dedugses (RS)
Dose, Incondicionado (RS) Base de eéleulo do ISSQN (RS)
Allg. (%)
Valor do 1SSQN (RS)
75,00
0.00
00
759,00
RETENGOES
ISON (RS)
IRRE (RS)
is (Rs)
COFINS (RS)
INSS (RS)
SLL (RS)
Outras retengdes (RS)
0.00
0,00
0,00
0,00
0,90
0.00
0,00
VALOR TOTAL
Base de céleule do ISSON (RS)
Retengies (RS)
esc. incondiclonado (RS)
Desc. condicionado (RS)
Valer Liquide da NFSe (RS)
759,00
0,90
9,00
0,00
75900
INFORMAGOES COMPLEMENTARES</t>
        </is>
      </c>
      <c r="C14" s="15" t="inlineStr">
        <is>
          <t>NOTAS FISCAIS DE COMPRA JANEIRO 2026.pdf - p. 13</t>
        </is>
      </c>
    </row>
    <row r="15" ht="75" customHeight="1">
      <c r="A15" s="13" t="n">
        <v>14</v>
      </c>
      <c r="B15" s="15" t="inlineStr">
        <is>
          <t>DOCUMENTO AUXILIAR DA NOTA FISCAL FATURA DE SERVICOS DE COMUNICACAO ELETRONICA
TELEVISAO PIONEIRA LTDA
Godotredo Freire, 1642 - Monte Castelo
CEP: 64016-830 - Teresina - PL
NPI: 09.590.480/0001-62 - IE: 194236897
‘Skal Engenharia Ind. e Com. LTDA
NOTA FISCAL N®: 000,000,303
SERIE: 001
‘Av Sao Francisco, 4000 - D - Parque Jurema
itn
CEP: 64075-450 - Teresina - PI
DATA DE EMISSAO: 12/01/2026
a
rr
NPI: 23.655,038/0002-89
CONSULTE PELA CHAVE DE ACESSO EM:
oT
Te: 194446298
hitips:/dfe-portalsvrs.rs.gov.br/nfeom
CODIGO DO CLIENTE: 1011
fon
CHAVE DE ACESSO:
fr:
2226 0109 5904 8000 0162 6200 1000 0003 0310 6296 3074
N° TELEFONI
PERIODO:
Protocolo de Autorizagio: 3222600001984677 - 12/01/2026 as 11:12:10
O/
'REFERENCIA,
1026/01
AREA DO CONTRIBUINTE:
VEICULACAO VT 30, PATROCINIO - CIDADE VERDE ESPORTE. PERIODO: JANEIRO.
‘A DEZEMBRO DE 2026. PRODUTO: KALFIX - CIMENTO APODI, PARCELA: 01/12.
ITENS DA FATURA,
UN QUANT PRECOUNIT VALOR TOTAL PISICOFINS
BCICMS
ALIQ_ VALOR ICMS.
Ve
-AGAO VT 30, PATROCINIO - CIDADE
UN
1,00
10,000,00
10.000,00
365,00
0,00
0,00
0.00
= ESPORTE, PERIODO: JANEIRO A’
OM
ePRAS
VALOR TOTAL NEF
TOTAL BASE DE CALCULO
VALOR IcMs.
VALOR ISENTO
VALOR OUTROS
10.000,00
0,00
0,00
0,00
0,00,
INFORMAGOES DOS TRIBUTOS
RESERVADO AO FISCO
TRIBUTO
VALOR
PIs
65,00
CoFINS
300,00
COMPRA:
FUST
OEM:
Ie
0,00
FUNTTEL
0,00
INFORMAGOES COMPLEMENTARES,
PARCELA? 01/12.
VEICULACAO VT 30, PATROCINIO - CIDADE VERDE ESPORTE. PERIODO: JANEIRO A DEZEMBRO DE 2026. PRODUTO: KALFIX - CIMENTO APODL.</t>
        </is>
      </c>
      <c r="C15" s="15" t="inlineStr">
        <is>
          <t>NOTAS FISCAIS DE COMPRA JANEIRO 2026.pdf - p. 14</t>
        </is>
      </c>
    </row>
    <row r="16" ht="75" customHeight="1">
      <c r="A16" s="13" t="n">
        <v>15</v>
      </c>
      <c r="B16" s="15" t="inlineStr">
        <is>
          <t>REGED:
MOS DE F &amp; | INDUSTRIA E COMERCIO DE PRODUTOS DE LIMPEZA LTDA
NF-e
| 0 PRODUTOS CONSTANTES DA NOTA FISCAL INDICADA AO LADO CARREGAMENTO: 143901
4
|
N°, 21005
=
a
130841 SKAL ENGENHARIA INDUSTRIA E COMERCIO LTDA
1.400,00
SERIE 1
a
=e
Tdentifeagas do Ealteate
DANF-e
Fe
InbUSTHIN E COMEREIO DE PRODUTOS:
Decumento Auriliar da
{ADA EMPRESARO ANTONIO JOSE DE
Mota Fiscal
Nore
NST PEDRA MDA TERESINA PL
I
WO
a 6) 948768735
24070
lo - exemapa
a
Ss
h -
sexton
2226 0733 3268 2700 0149 5500 1900 0710 6510 6805 9151
"roo pontalprodtasdtinpers
=
ne 21065
—
=
finds com.
rltosportal come
SERIE 1
FLidet
Consulta de auter
ticidade
ne po
act
2
4
Nee way. ae, fazenda.33
5
a
aT
rm
‘34326.22710001-49
ezzeoo02207726
e101 12026 11:39:21
SRTINATANTO [REET
z
TTF
Tan
{WIHT SKA. ENGENHARIA INDUSTRIA E COMERCIO LTDA
251655 038/0002-69
2510172026
a
aT
a
5
7m
c
nc
ANCISCO.
DE 12 goage
40000
EXTREMA
auar2008
ies
SRT
TE
7
a
:
&gt;
6480
TERESINA
PI
s94aaez08
ey
(86) 2222-470
FATURA
i
70
90
os
Te
Ta
315.00
0.00
2.90
1.400,00 |
=
T
TR
TERT
a
ce
r
"
om
0.90
0.00
0.00,
0.00
"TRARSPORTADOS
=
r
a
7
=
F
5
a
= Sem Frate
]
a
aT
a
F
OT
P
-
—
60
foo
400,00,
[ADOS BO PROBUEO/SERVECOS
ie
T
=
:
pane] ra
Ee
=]
a
Ta
Ta]
AY
Ee
SUPAS SACTE COCO PONTALIIDEIT
a
ear
cs
2m
THOUS
7m
i"
EKA
i}
Ed
sy
TOHUTO:
—
chvcuve 99 1ssN
:
=a
=
=
roa
aa
7
mr
a
—
7
TET
as
.
Welison de, Paula
ALMOXABIEADO
Almo:
ari oe jo
ssinatura
Prices
&lt;
Cobranga: 4</t>
        </is>
      </c>
      <c r="C16" s="15" t="inlineStr">
        <is>
          <t>NOTAS FISCAIS DE COMPRA JANEIRO 2026.pdf - p. 15</t>
        </is>
      </c>
    </row>
    <row r="17" ht="75" customHeight="1">
      <c r="A17" s="13" t="n">
        <v>16</v>
      </c>
      <c r="B17" s="15" t="inlineStr">
        <is>
          <t>———
oa
TET oT Ty
Distribuicao de Ali
DANFE
sntos Vanguarda S/A - Mercadio Direeu |
Ay, Deputado Paulo Rerraz, Loja 02, 1817 - | Document Auxiliar da
Ter
PI- CEP: 64078-835,
Nota Fiscal Eleténica
il
I
|
in
Pome: (86) 3216-8251 / 3216-1627
(0- ENTRADA
——
sain
a
Le sala
2520 5500 1000 0610741
w
oes
a
61074
2226 0131 83
acional da NF
GRUPO
i
/
de autenleidade no poral
VANGUARDA
sénie
| www.nfe.fazenda.gov.br/portal ou no site da Sefaz Autorizadora
=
-
rouna
wi
PERE
Sie
eae
7
=
TAL
TROT
aT FTA
qaer
| RGTOCOLS BE ATTRACT IO
WWOs38725
-
—
31.838.1280025-20 _}""
222260002184160 28/01/2026
01-0
Delp ib eT
wy
yaa
ENGENHARIA E
MLIDA
.685.038/0002-1
2026
oy
me
w
aRRTTTTTE
KODOVLA ROD BR 343
Trea
185,
_SA0 RAIMUNDO.
BAC
7
28/01/2026,
TERESINA
15407:
621074700
PL
194446298
08:88:86
ATMs PNET
itr
CY
ae
rer
TT
ase
=
ci
m7
co
27102/2026
1580.10
|
|
|
—_
C110 90 HHFORTO
ee
un eH
TARE CALETA HORST
LR BOTS STTTEAT
[aR BOS FROETTOS —
0,00,
0,00
00
0,00
300,00
i
sess
-
TaBIE
—_
VALOR DO SESTRG
[CORT
SETAE DEAE NETRA
‘Vik RTORREDOT
VaR OTKLOANGTE
0
i
0,00
“119.90
0,00
0,00,
1.580,10_
—_
piecrs
‘OLIMS TuansPORTADOS
—
=
aes
[RETESET RENEE
Ta
i
|
|
at
ari
—
TRAD
0 Remetente)
=
w linecuea
a.
aE
aac
Rana
a
[oa
2000
[2.000.000
anos po
°
0
a
enige
sew
om
cro wo guanrioaoe /o onan
oo
[wowe
eg
Vis
wi
cnigh BOS
hse
Ea
i
sion
SAL MOD
INCURSTRELAS C1000 1G
sto
200
1358)
‘a]
‘a
0)
|
emilee ‘sjuni| 2000 oa
||
=
ee
=
—_
AOS ABIGIONAIS
=
—
——=
—=
‘FRMAGOES
OMPLEMESTARES
ss ERVADO-AOFISCO
yn seas 1/3008 282026 - Chen: SKA. Repesenare: CARVALMO &amp; FERNANDES LIDA
ar
ote Fen Pai: BOLETO
|
va
Welisor
Ge Paula
Almo:
arifado
ARMOR
sinatura
Spejiexoully
ujhlig see Henne
-
=
=
k
—
—
pres pele Siem e-F ort - NDDIgital NA = Fe. (49) 3251-9006</t>
        </is>
      </c>
      <c r="C17" s="15" t="inlineStr">
        <is>
          <t>NOTAS FISCAIS DE COMPRA JANEIRO 2026.pdf - p. 16</t>
        </is>
      </c>
    </row>
    <row r="18" ht="75" customHeight="1">
      <c r="A18" s="13" t="n">
        <v>17</v>
      </c>
      <c r="B18" s="15" t="inlineStr">
        <is>
          <t>———
_—
‘DECTARG GUE RECESIO5 VOLUMES DESTE CONREGNENTO EM PERFEITO EBTADO PELO GUE DOU POR CUWPRIDO O PRESENTE CONTRATO DE TRANSPORTE
TERO Dx PRESTAGAO- DATA HORA
CTE
Iso cocumenro 446
"RIE BE PREETIGAD OSTA TGA
seme
sgonaruna/ x00
‘ACT
WOOK.
RODOVIARIO
pRGRA 1
[DOGUMENTO AUKILIAR 00 CONHECINENTO DE TRANSPORTE ELETRONICO,
FG INTELIGENCIA EM LOGISTICA LTDA.
‘TE GLOBALIZADO
nko
a=]
SET CACINIBA FUNDA Sem amero
TO 00 CTE
MARJOLANDIA 62800.970
ria
Pa
NORMAL
‘Transportes ARACATI- CE
TPO 00 SERVIGO
‘3
(€NPH:42708.757/03-77 TE:072061073,
NORMAL
need
RNTRC:S4216099 TELEFON
) 99917-0068
THI OA PRESTAGO
fs
MODEL] SERE | NUMERO
‘DATAE HORA DE EMISSIAO
TNSE, SUFRAMA
ce
11504 QUIXERE
if:
+
so
i
Me
2801/M26 7.122068. 0800
TTERWIN DA PRESTAGAD
~ Consulta om ww ciefazenda.gov br/portal
f
21 TERESINA
PROTOCOLO DF AUTORIZAGRO DE USO
-325260011869860
250172026
20 GMT-03:00
HUQ A
TU
{FOP NATUREZA DA PRESTAGAO
'2326.0142.7097 700.0377 57001000.0008.4610.000.0000
£35) PRESTACAO DE SERVICO DE TRANSFORTE 4 ESTABELECIMENTO COMERCI
FBESTWATARD: SKAL ENGENHARIA INDUSTRIA ECOMERCIOLTDA
ween
‘CONPANIHA INDUSTRIAL DECIMENTO APODI
exceneco.
ROD CE 384,-SN- BOM SLCESSO
enoereco
[AVSSAO FRANCISCO 4000 YD- EXTREMA
lucro:
cor: oan.
muncin
TERESINA
cam ress
‘quixt
lowes
o2ma290m3.51
nscelOESTACUAL amNY
sce
ess ome
IReCRIGADESTAOUNL 19s
uF ce
PAS BRASH
rene
on
Pai. BRASIL
rove cco0000
peDOoR
foo
enoeneco:
ewoereco
cn
yor:
seco
comer
scmgsoeSTADUA
lewracer
scrip eT
roe
&amp;
als
one
ve
oc
TORGOR BO SERNGS. SKAL ENGENHARIA INDUSTRIA ECONEROIO LTDA
corre
TERESINA
Corrs)
a
PAG BRASIL
JEMOEREGO AV SAD FRANCISCO {0 VD- EXTREMA
exert
_zisssonk0o02 99
ISCRGAO ESTADUAL 144408
ronan
PRODUTO PREDOINANTE
[OUTRIS CaRACTERETCASOA CARGA
VALOR TOTAL OA MERDORA
[CINENTO FORTLAKD CP ARL
ns ix8e.26
PESO BRUTO
PESO LIQUIDO
TRIDADES
uwmosce
37900
sto
S000
cana
xo
xo
LNtoaDe
‘COMPONENTES DO VALOR DA PRESTAGKO DE SER
OWE
VALOR [NOME
‘VALOR NOME
‘VALOR VALOR TOTAL DO SERIO
umes
Free pos
‘|
Insta
eer
VALOR A RECEBER
reece
00]
tna ecoegs
‘no
lesirm2s0
TRFORMAGBES RELATIVAS AO MPOBTO
TBASE DE CALCULO
[ALIENS
aOR ENS
FRED BC
Ty cREDITO
(GIRSSIRCAGRO TRIBUTARIADO SERVICO
hi73s0
0
nerely
loa
low
ab reagan tao rma OMS.
I
Te06
I
Berar ETERS
Eno DOCS
Tr dee
10260 2 0009-51
oT
260
55D DDOSTOORTT TITS
FRESNO 00 FINO DA CARGA
 SSLN GUE TDR LAHORTSESTACHOREROPORTO DE GRSGEN SLA TCBGGO NOX UMLPORTOESTACIGREROPORTO OE PS
a
LK TRIO TT BK PRTC ROMS HE ETT
RaTOsE
STE
ALMOXA\
LANCADQ)
SOROS BSCE SLDALEIDS
SETI.
Faratara
TSDEXCIUSNO 0 EMSSOR DO CTE
RESERVADO AD ASCO
Comers
a
Welisor
te Pater
Almoxaritado
f
2
6.485
aa} ot} 26_</t>
        </is>
      </c>
      <c r="C18" s="15" t="inlineStr">
        <is>
          <t>NOTAS FISCAIS DE COMPRA JANEIRO 2026.pdf - p. 17</t>
        </is>
      </c>
    </row>
    <row r="19" ht="75" customHeight="1">
      <c r="A19" s="13" t="n">
        <v>18</v>
      </c>
      <c r="B19" s="15" t="inlineStr">
        <is>
          <t>SEGLARO QUE REGEEI OS VOLINES BESTE CONNECIENTO EM PERFEITO FSTADO PELO QUE DOU POR CUMPRIDO O PRESENTE CONTRATO DE TRANSPORTE
TERING OA PHESTAGHO-DATATHORA
CTE
Juve. Docuvenro 448
TRIO DE PRESTAGAO™ DATATHORA
[seme
1
sSSNATURA CARBS
WODAL
PAGINA
mm
‘DACTE
[DOCUMENTO AUXILIAR DO CONHECIMENTO DE TRANSPORTE ELETRONICO
RODOVIARIO
‘CTE GLOBALIZADO
FG INTELIGENCIA EM LOGISTICA LTDA
NAO.
SIT CACIMBA FUNDA Sem mimero
ee
Tipo 00 CTE
-MARJOLANDIA 62800-970
NORMAL
ia
Transportes ARACATI-CE
TIBO 0 SERVIGO
‘ONP§:42.700:787/0003-77 1B-072061073
‘NORMAL
rr.
RNTRC:54210099 TELEFONE:(84) 99917-0068
TICIO DA PRESTAGAO
I
TSG. SUFRAMA
a.
/NODELO] SERIE] NOWERO
TATA E HORA DF EMISSAO
(CE 2311504- QUINERE
st
1
445
roves W138 GMT 0
TTERVINO DA PRESTAGAD
‘Consulta erm wiv ctefazenda. gov Br/pOral
PL. 201101 TERESINA
‘PROTOCOLO DE AUTORIAGAO DE USO
323260011720851
27/01/2006 12:34:55 GMT03:00
HOM AL
il
HM
‘CFOP - WATURETA DA PRESTAGAO
'2826.0142.7087:8700:0277 5700, 1000,0004.4510.0000,0002
6353 PRESTACAO DE SERVICO DE TRANSPORTE A ESTABELECIMENTO COMERCI
were
‘COMPANHIA INDUSTRIAL DE CRMENTO APODT
DERTWATARD, SKAL ENGENHARIA INDUSTRIA E COMERCIO LTDA
leocreco
ROD CE366-SN- BOM SUCESSO
ewoereco
[AV SNO FRANCISCO. 4000-VD.
EXTREMA
eunicm.
‘quncere
xP: asaneto
sci,
TERESINA
exp 4076450
lowucrr
10260 248005:51
IscraGho ESTADUAL: 061204805,
leweverr
265s0m4ont2
ImSCRGhO ESTADUAL: 194446208
lr ce
PAS: BRASIL
Foe
ur:
PAS: BRASIL
FONE onan
REDO
RECEREDOR
ewocreco.
exoereco
cn
0
cor
owen:
err:
scraglo ESTADUAL
lowacer
sce Ao ESTADUA
ur
pas
rove
ve
pas
FONE
CPO
TERESINA
Corer
FTOWADORDOSERVIGO SKAL ENGENWARIA NDUSTRIA E CONERCIOLTDA
ENOEREGO! AV SAO FRANCISCO. - iD -EXTRENA
ue
PAs: BRASIL
lexescrr
za 0ssoswo0ne 0
escagho ESTADUAL 194446098
Font: otoreno
PRODUTOPREDONIANTE
[OUTRAS CARNCTERISTCAS OM CARGA
[avon TOTAL BA WERCADORA
[INENTO PORTLAND -CP V ARI
Rs 6.90405,
PESO BRITO
FESO LIQUIDS
TRIDADES
oumnnsce
‘190.0000
00000
231900000
ARCA
Ke
Ke
UNIDADE
‘COMPONENTES DO VALOR DA PRESTACKO DE
WOME
VALOR JNOME
YVALOR|NONE
‘VAUOR VALOR TOTAL BO SERVIGO
apn
1183830
Rs 1.538.90
Pre alr
‘m0
Team cola
00
VALOR A RECEBER
as 1938.90
Toad rege
‘0
TNFORMAGOES RELATIVAS AO MPOSTO
JaAse De cALCULO
Tao ews
VALOR IOUS
SERED BS
WV CREDO
[CCASSIFICNGRO TRIBUTARIA GO SERVIGO
s1ases0
1200
Laaoe7
ooo
00
00 Presse seo buch normal do IMS
|
I
Troe.
I
RPT TENT
SERRE INO, DOGIMENTO.
Ts ce
703260 2400003-57
‘DOT RCOESENEE
23260 1102002490003515500 T0005 90000TOTADIOGTO
e
‘PREWSRO 00 FADED GA CARGA
A GT CHGS RT OA FR PORT OTS HERE ROPORTS OE ORE
"SABI CSOO AT ON FUPOR TONSA AONE RGPORTO DE PASSAGE
GEA GU COOISD TOR FIOATFORTOTSSTAGNONEROPORTO DE GESTS
SEARS
[ison
ALMOXARIEADQ.
HESRATETG OO CTE CORA
SETS
var
"USO EXCLUSIVO DO EVISSORDO CTE
RESERVADO AOPISCO
rer
fear aro pms ae SO
Welisof: de
aula
Almdxarifado:
2.958.
agi
{_O3}
Os)</t>
        </is>
      </c>
      <c r="C19" s="15" t="inlineStr">
        <is>
          <t>NOTAS FISCAIS DE COMPRA JANEIRO 2026.pdf - p. 18</t>
        </is>
      </c>
    </row>
    <row r="20" ht="75" customHeight="1">
      <c r="A20" s="13" t="n">
        <v>19</v>
      </c>
      <c r="B20" s="15" t="inlineStr">
        <is>
          <t>‘DECLARO QUE REGEBIOS VOLUMES DESTE CONHECIMENTO EMI PERFEITO ESTADO PELO GUE DOU POR GUMPRIDO O PRESENTE CONTRATO DE TRANSPORTE
|
TERUAN DA PRESTAGHO DATATHORA
CTE
7
Ineo. cocumenro 443
TRIG BE PRESTAGIO. ONTATHORR
ASSINATURA CARO
seme
DACTE
OOAL
PAGINA
im
RODOVIARIO
DDOCUMENTO AUXILIAR DO CONHECIMENTO DE TRANSPORTE ELETRONICO
FG INTELIGENCIA EM LOGISTICA LTDA
‘TE GLOBALIZADO
NAO
‘SIT CACIMBA FUNDA Sem nimero
Ofeare sO)
MARJOLANDIA 62800.970,
TPO 00 CTE
Ti
NORMAL
Transportes aRACATI-CE
TIPO 00 SERVICO
i
1
bs
(CNPS:42.709.787/0003-77 TE:072061073
wert
[NORMAL
RNTRC:54216099 TELEFONE:(84) 99917-0068
TRICIO DA PRESTAGRO
(DATA E HORA DE EMISSAO
TNSC. SUFRAMA
(MODELO] SERIE] NUMERO
Ce_231505 - QUUKERE
Lik
s
L
mn
2401/2026 16:35:57 GMT-03.00
TTERUINO DA PRESTAGAO
Coniulta em wirw.cte fazenda.gov.br/porl
12211001 TERESINA,
'PROTOCOLO DE AUTORIZAGRO DE USO
-323260010139094
2/01/2026 16:47:40 CMT-03:00
TOM
HII
‘CFOP- NATUREZA DA PRESTAGAO
£2326.0142.7097.8700.0377-5700.1000.0004.4310.0000.0008
£6353 -PRESTACAO De SERVICO DE TRANSPORTE A ESTABELECIMENTO COMERCI
RERTENTE
‘COMPANHIA INDUSTRIAL DECINENTO APODI
[DESTINATARIO. SKAILENGENHARIA INDUSTRIA E COMERCIO LTDA,
Noereco:
RODCE 356,-/N - BOM SUCESSO
ENOEREGO,
[AV SAO FRANCISCO 4000
VD EXTREMA,
uwciro
cep. 6476-50
Munro:
‘QUINERE
cer e2n20.000
TERESINA
lenrscer
toa .2¢9000 51
ISCRIGAO ESTADUAL: 161204809
lcwruerr:
23.4655. 0380000-89
IscR AO ESTADUAL B8LHA258
Fone
ue ce
Pals: BRASIL
ue Pt
ais: BRASH
Fone: ecco
EDoOR:
ReCEREEOR
Nene go:
enoeneco
cer,
acini
cer.
nsensgho ESTADUAL
lexwuerr.
iscasgho est#0uaL:
ve
als
Fone:
ur
Pai
roe
[rouAGOR DO SERUGO" SKAL ENGENHARIA INDUSTRIA E COMERCIO LTDA.
NO,
TERESINA
CEP aes
JeACERECO. AVSAO FRANCISCO 400 -D-EXTREMA
rar
PAS BRASIL
lowwacer.
2sass.asn0000-
InScRIGAO ESTADUAL 184446208
Fone: oo0000
[PRoDuTO PREDOMNANTE
[OUTRAS CARAGTERITCAS OA CARGA
[Vaan TOTAL GA WERCADORIA
CIMENTOPORTLAND-CP ARI
las insass
PESO BRUTO
PESO LIQUIDS
TUNIDADES
qunmonne
805000
3800.00
ror
can,
KG
Ko
UNIDADE
‘COMPONENTES DO VALOR DA PRESTAGKO DE SERI
NOME
VALOR [NOME
VALOR] NOME
VALOR|VALOR TOTAL BO SERVIGO
Frc pow
11783
Fre valor
|
es11.799:90
asa de ots
00
IVALOR A RECEBER
axed ec
00
es 1.79930
TRFORMAGUES RELATIVAS AO IMPOSTO
[GLASSIFICAGRO TRIBUTARIA DO SERVICO
JBASE DE CALCULO
TALIG cS
VALORICMS
RED. BC.
V_CREDITO
Pret aso taco wma do CMS,
799.20
20
Laie?
law
looo
TOE,
‘GaPl/ GPF BaTENTE
I
‘ERE TRO DOELENTO
Nr chne
10.260 2400009-51
DoT eCOSETS
"232601 1088024000035 5057000538748 T6SSZSIBD
a
TPREVAO bo FLURD BA Can
HGCA GU CODGO WT. BA LAL PORTOESTAGRGTEROPORTO OE GROCER
SEKOT
TAT OA FUAIPORTOEST
OPORTO OE PRTC
GIA GU CGDiGO WT. BR LAL POR TOESTAGROREROPORTO DE DEST
aE
IWANILCO FERNANDES MACHADO NFESI@705
es
TRFORAGKS BO ETE GLOBAL
CIESURETTUOS
——~fesnatura
{USO EXGLUSIVO OO EMISSOR 00 CTE
[RESERVADO AQ/FISCO
rae pean atcan aaa io mr eR
Welis
or
‘de.
aula
Alm
i:
arifado
958.385
126...
16%
Los! 26</t>
        </is>
      </c>
      <c r="C20" s="15" t="inlineStr">
        <is>
          <t>NOTAS FISCAIS DE COMPRA JANEIRO 2026.pdf - p. 19</t>
        </is>
      </c>
    </row>
    <row r="21" ht="75" customHeight="1">
      <c r="A21" s="13" t="n">
        <v>20</v>
      </c>
      <c r="B21" s="15" t="inlineStr">
        <is>
          <t>NFe
RECEBEMOS DE APODI IsTRI
CAOF LOGISTICAETDA OS PRODUTOS CONSTANTES DA NOTA FISCAL INDICADA AO LADO
N'.0042508,
| DATA DERECHNENTO
TBENTIIENGROE NSSINATORA DO RECEBEDOR
SERIE 1
a aT
DANFE
noceatinto sty
noni
TBO PAULO FERRAZ SN
ISTRIBLICAO E LOGISTICA LTDA
ROrA ICG LEB
ll
SAO RAIMUNDO.
A
FGHAVEDE ACESSO
0
HERESINA: Pr
1
2226 0129 1904 9400 0368 5500 1000 0425 0819 0248 8401
ce siors.ns
1-SAiDA
N10042508
PL.
Consulta de wuteneidads no poral nacional da NF-&lt;
www nfefazenda,gov.briportal ou no site da Sefiv Autorizadora
SERIE 1
RATOREZA DA OPERACO™
IFROTOCOLO DE AUTORIZACRO DE USO
VENDA DE MERCADORIA ADQUIRIDA OU RECEBIDA DE TERCEIROS.
29/01/2026
10:46:03
INSCRICRO ESTADUAL
INSCK EST SUBS TRIBUTARIO|
Rie
196308801
29.190.494/0003-68,
Seema OREN
ROME RAZAO
[exc
DATA FMISSAO
SKAL ENGENHARIA INDUSTRIA E COMERCIO LTDA.
[23.655.038/0002-89
29/01/2026
[RAIRROOSTRITO
car
[DT ENTRADA SATB
ENDERECO
}64076-450
29/01/2026
AV SAO FRANCISCO 4000 VD.
EXTREMA.
MUNICIPIO
FONE FAX
UF
INSCRIGAO ESTADUAL
Hor Salo.
TERESINA
PL
194446208
10:46
rewire
FATURA DUPLIC
VINCENT
VALOR
FATURATDURLIC
VENETO
VALOR
FATURNDURLIC
VRCMENTO
VALOR
12508001
2610272026
431400
aoa:
@
SE BE CALEULS DOTS
ATOR DOTONS
BASEDE CRECULO DOIONS ST
TURLOR DO TONS SORSTITITO
"WALDR TOTAL DOS PROBUTOS
0,00
0,00
[vara
sans
EE
0,00
0,00
4.514,00
VALOR DO SEGURO
‘OUTRAS DESPESAS
NALOR DOI
VACORTOTAL-DN NOTA.
000]
Xx
Pao
.
0,00
000]
4.514,00
"aco TaasromTanon woLUMS
NOME RAZAO SOCIAL
FRETEPORCONTA
CODIGO NNT
LACK DO WEICUO [UF
or
immtone
1 Porconta do destin
YAS
mi
co
MONICTRIG
oF
FNSCRIGRO ESTADUAL —
‘GURNTIDNDE
HCE
ARCH
SORTER
STRUTT
PESOTIRNDT
1,00
APODI DISTRIB
4,016,000
4,000,000
0s
‘cOpIGo
rrr
SCRICRO PRODUTO SERVIC
NOM SH] ST CRORT ON
GANT
UNTTARIO
VALOR
VALOR
‘ort
ETaNT
ros
VALOR
evs
TAIOR
mm
am
ews 1
Tas
CRENTO PORTLAND - CPV ARIORG POR SSTRETCT
saasT@ Yom [505 [SC
Toa
Si
Ta
70}
on
a]
an] oi
[|
|
caccawos
TNSCRIGRO MUNICIPAL
[NATORTOTAT DOS SERVIQDS
ASEDE CRLCUTO DO RRS
VALOR DO SN
M
K
0,00
‘oxnos acon
INFORMA OS CONPLEMINTARIS
RESERVABO AO FISCO
Ico CONRADO ANTERIORMENTE FOR SUBSTITUICAO TRIBUTARIA. Nr Pedi: 131368 Rewer de C8.
Prous tbe cad ela tal ee ree ple anne cman ap CNM) ISMN READEIS
CSWNattngao Reid am: Lo WTS Hane 83S8a0 Valor CMS. MSD Tao FCP ST Oo)
ALMOXA\
LANGA
ve Paula
MARS
We
cy
‘ssinatura
Almogarifado
RG: loss. 3%
£9,101 12
Ororvs</t>
        </is>
      </c>
      <c r="C21" s="15" t="inlineStr">
        <is>
          <t>NOTAS FISCAIS DE COMPRA JANEIRO 2026.pdf - p. 20</t>
        </is>
      </c>
    </row>
    <row r="22" ht="75" customHeight="1">
      <c r="A22" s="13" t="n">
        <v>21</v>
      </c>
      <c r="B22" s="15" t="inlineStr">
        <is>
          <t>NF-e
TRECEBEMOS DE APODI DISTRIBUICAO E LOGISTICA LTDA OS PRODUTOS CONSTANTES DA NOTA FISCAL INDICADA AO LADO
X°.0042498
TSENTIFICACROE ASSINATURA BO RECERIDOR
SERIE 1
DATA DE RECERIENTO
aia
DANFE
|APODL DISTRIBLICAO E LOGISTICA LTDA
cen atx
SOHNE CESS
on
ACDEPURABOTAUEO FERRAZ SN
sO
SAO RAIUNDO
o-
NTRADA.
EIAVE DE ACESSO
tesa
1-SAIDA
/2226 0129 1904 9400 0368 $500 1000 0424 9819 0145 8403
Oo
cer e4ns.os
Consul de autenivedade ro portal nacional da NF-e
Neo042498 FLT / 1
SERIE 1
www. nfe.fazenda,gov.br/portal ou no site da Sefaz Autorizadora
JPROTOCOLO DE NUTORIZNCRO DESO
INATUREZ DA OPERACTO
VENDA DE MERCADORIA ADQUIRIDA OU RECEBIDA DE TERCEIROS
29/01/2026 09:01:51
IScRIg ROESTADUAL
FNSCK EST SUBS TRIFUTARIO|
ENATEPF
196308801
29.190.494/0003-68,
SEAT OTST
Nowe, RAZAO
enn crr
DATA BMASSAO
SKAL ENGENHARIA INDUSTRIA E COMERCIO LTDA.
123.655.038/0002-89
29/01/2026
FNDERECO
TaRIRROT DISTRITO
car
[DT ENTRADASAIDA
AV SAO FRANCISCO 4000 VD
EXTREMA
64076-450,
29/01/2026
FONETEAR
ae
INSCRICAD ESTADUA
HORA SAIDA.
MUNICIPIO
PL
194446298
09:01
TERESINA
rE
AerLICATA
TaLoR
EATURA DUPLIC
TENCIMENTO
VALOR
FATURA BUPLIC
VENCIMENTO
VALOR
FATORATDURLIC
FENCIMENTO
‘00240801
2022026
11 285,00
TRIE
roa.
®
X
SE DE CALCULO DOIN
VALOR DO TENS
TASEDECKLOUD DOTS ST
VALOR DOTOMSSURSTITUTO
VALOR TOTAL BOS PRODUTOS
0,00
0,00
0,00
0,00
11.285,00
VALOR DOFRETE
VALOR DO SEGURO
VALOR D0 DESCONTO
‘OUTRAS DESPESAS
FEALOR DOT
VAORTOTAL DR NOTA
0,00
00
0,00
0,00
11.285,00
0,00
ANSON VOLLS
co
=
ONE RAZAO SOCIAL
TRETEFOR CONTA
1 Por sont do destin
CONG ANT
Praca DO VEICULO [UF
eects
BAND
FNDEREGO
ONTEIR
to
TRSCRGROTSTADIAT
‘GUANTIDADE
REC
ARCH
ROMER
FESOBRUTO,
FESOLIOUDO
1,00
APODI DISTRIB
10,040,000
10,000,000,
1s pos abpiox SCOR
‘e016
‘DESCRICRO PRODUTOTSERVICO
NENTS ST CROP ON
Gut
VALOR
‘ATOR
CoN
VALOR
VALOR
ALIQUOTA
UNITARY
oral,
ios
eos
ft
ews] Pe
Tons
[EINENTO PORTLAND = CPV ART@ORG POR'S STRETCH
san om [S05 [SC
EI
Aa
TSA]
7
78
Tl
‘ual 0
at
/
/
gf
‘Gucera paso
TNSCRIGRO MUNTCIFAT
[VALOR TOTAL DOS SERVIQUS
BASE DE CRECULO DO ISON
ALOR DOBSON
\
0,00
0,00
xn Anica
TNFORMACOES COMPLEMENTARES
TSTRVADO AOFISCO
CMS CODRADO ANTERIORMENTE POR SUBSTITUICAO TRIBUTARIA. Nr Psi. 131368. Ban’ Mean a
La
etistSoat Sa DHS
COT Valimpoto Reo: hen Int DaTs Buse 085 Vale Teh ST Sopa Vale FCP ST. 1.0 |
Pre Wns eat em els nasal ma rau ple crib ce
|
Welisdi de Paula
MOXAI hud
Alm
xarifado:
RG
2.958.385,
natura
DIOL | 26
Powered by ©) toTvs</t>
        </is>
      </c>
      <c r="C22" s="15" t="inlineStr">
        <is>
          <t>NOTAS FISCAIS DE COMPRA JANEIRO 2026.pdf - p. 21</t>
        </is>
      </c>
    </row>
    <row r="23" ht="75" customHeight="1">
      <c r="A23" s="13" t="n">
        <v>22</v>
      </c>
      <c r="B23" s="15" t="inlineStr">
        <is>
          <t>RE
{MOS DE COMPANHIA INDUSTRIAL DE CIMENTO APODI_OS PRODUTOS CONSTANTES DA NOTA FISC
INDI
DA AO LADO
NF-e
0537098
RECERINENTO
TDENTIFICATAO E ASSINATURA BO RECEREDOR
SERIE 1
rae
DANFE
aa
octammero tn
opee
icons.
INDUSTRIAL DE CIMENTO AFODL
Sor REE ALES
NID
ox sucesso.
0- ENTRADA.
“i
FeHAVEDE ACTSSO
uixines ce
1-SAiDA
1
12326 0110 2602 4900 0351 $500 1000 5370 9817 3731 9522
@o
cer cavzo.om.
Consulta de autetcidads no poral aacional da NF-*
0837098
ryt
—
SERIE 1
swww:nfe.fazenda,gov.br/portal ou no site da Sefaz Autorizadora
TURE
OFERRGAO
JpROTOCOLO DE ATTORIZACRO DEUS
28/01/2026 06:10:17,
|
INSCRICRO ESTADUAL
VENDA DE PRODUCAO DO ESTABELECIMENTO.
TNSCR EST SUBS TRIBUTES
ERIITEPF
(068204839
195320565
10.260.249/0003-51
isiirarts
NOME” RAPA
enor
DATA FARSSAO
SKAL ENGENHARIA INDUSTRIA E COMERCIO LTDA.
[23.655.038/0002-89
7
{29/01/2026
ESDEREGO
THAIRRO DISTRITO
cer
[DT ENTRADASATDA
AV SAO FRANCISCO 4000 VD.
EXTREMA
64076-450
aNicino
FONETFAN
ions
28/01
‘TERESINA
Pi
INSCRIGAO ESTADUAL
194446298,
06:10
=
6:
aroewberacaTa
F STURADUPLIC
TVRCMENTO
TENCMENT
Yaron
TaLon
VALOR
FATURATDUPLIC
FATURATDURLIC
aNCRANTO
0s3705801
2902/2006
188
=f
=
=
@
SEDE CALCILO BOICNS
ToT
VALOR
ios
BASE DE CALCULO DO TOMS ST
[VALOR DO TONS SURSTITITO
‘VALOR TOTAL DOS PRODUTOS
VALOR DOTRETE
18,686.25
VALOR DO SEGURO
2.242,35
0,00
0,00
18,686.25
‘SUTRAS DISPESAS
EALOR DOT
VALORTOTALDA OTA
0.00
0,00
T ALOR DO DESCONTO
0,00 |
0,00
0,00
18,686.25
ROME RAZ
AL
DESTINATARIO
FRETEPORCONTA
1 Poe conta do desinati
comco AT
ACA DO VEICUO [UF
[ener
eiemetente
loxkaa99
iG
—
INDEREGS
NUNIT
a
INSCRIGRO ESTADUAL
‘CUANTDNBE
BATE
ARE
ORT
FESO RUTT
PESOTIOUDT
37.750,00
GRANEL
APODI
5
50,000
37,730,000]
pana
COpIGO.
0s
7
DISCRIGRO PRODUTOTSERVICO
RENT RN CFO TAT
ANT
UNTTARIO
TAR
VA
oy
ERIE
YaLOR
VALOR
zr
om
aT
CRESTS PORTLAND CPW ART
ies
ews
7
rea
im
fea
Fee Jara Pr
WH
visa] A
co
Trews
Tas]
Tia}
t
a)
warggu TICKET DE PESAGEM OX B3
N- Sequencial:
0406630
0
Ae
Entrada: 28/01/2026 04:38
Saida:
28/01/2026 06:07
Transportadora: DESTINATARIO
Placa: QXK2G99
Pesagem Inicial; 20320
kg
Pesagem Final: §8070
kg
Peso Liquido: 37750
kg
‘chucecopoman
|
LL 1|
[
|
|
|
CRIGKO MUNICIPAL
zs
=
001
VALOR TOTAL BOS SRVICOS
BASEDE CHICO BO RGN
0.00]
i
haa al
0.00
bos ABCA
=
a
IN FopMACOs ci
NPR
7
900735 /281136/291108/231130/ 231175 Nr Pedi, 49800 - Cmat Deny Meneres |e 4
ALMOXAR'
Welisor
Me Paula
LANCADGE!
Almofarifado
RG
25,
241.05 126
ssinatura
_
-
owered by © Tors</t>
        </is>
      </c>
      <c r="C23" s="15" t="inlineStr">
        <is>
          <t>NOTAS FISCAIS DE COMPRA JANEIRO 2026.pdf - p. 22</t>
        </is>
      </c>
    </row>
    <row r="24" ht="75" customHeight="1">
      <c r="A24" s="13" t="n">
        <v>23</v>
      </c>
      <c r="B24" s="15" t="inlineStr">
        <is>
          <t>DANFE
Tai rem
ocean a1
[COMPANIIIA INDUSTRIAL DE CIMMENTO APODE
Rory ea a
on
ay
LAAN
HOM SUCESSO
RopcE 6.35
0- ENTRADA.
FEHAWEDE ACESSO
{QUIXERE- cE
1-SAIDA,
2326 0110 2602 4900 0351 S500 1000 $369 6610 7402 9379
|
(cep cm.
G4
Consul Je autentidads no portal nacional da NF-e
110536966
rds 1
I
SERIE 1
awww. ne Fazenda gov.be/portal ou no site da Sefaz Autorizadora
z
INNTUREZA DA OPERAGRO,
{FROTOCOLO DE AUTORIZACNO DE WSO
27/01/2026
11:21:26
VENDA DE PRODUCAO DO ESTABELECIMENTO.
INSCR TST. SUBS. TBUTARIO
RPC
INSCRIGRO ESTADUAL
10.260.249/0003-51
=)
STARRETT
064204839
198320565
NOME, RAZAO
ance
DATA FAISSAO
[23.655.038/0002-89
27/01/2026
SKAL ENGENHARIA INDUSTRIA E COMERCIO LTDA.
RAIRRO DISTRITO
cer
DTENTRADASAIDS
FXDERECO
EXTREMA
(64076-450
27/01/2026
AV SAO FRANCISCO 4000 VD.
FOE FAR
iF
HORA SAID
MUNICIPIO
PL
NSCRIGAO ESTADUAL
194446298
TERESINA
121
yavenpuneaTa
VALOR
FATORADURUC
VaNCRENTO
FATIRADUPLIC
T
VALOR
FATURADUPLIC
VERONENTO.
VALOR
VERCNENTO
T
0536966001
24022006
15.904 05
=
[
-
DE CALCULO DO TCS
co
VALOR DOTONS
BASE DECKLCULODOTONS ST
VALOR DO TONS SURSTITUTO
‘VALOR TOTAL DOS PRODUTOS
18,904.05
18.904,05,
2.26849
0,00
0,00
‘VALORTOTAL BA NOTA
VALOR DOFRETE
VALOR DO SEGURO
VALOR DO DESCONTO
SUTRAS BESPESAS
VALORDOTHL
0,00
0,00
0,00
0,00
0,00
18,904.05
‘snco wansromranon VOLUME
=
NOME RAZHO SOCIAL
1 Por coma do desta
RETEPORCONTA
PACA BO VEICULO [UF
BDPGFOS
jor
ENT
DESTINATARIO
fvemetene
E
ee
ENDEREGO
acini
iF
FRSCRCRO ESTADUAL
L
‘QUANTIDADE
AE
ARCH
NORE
C
l
|
38.190,00
GRANEL.
APODI
ROTO i 0 ee ooo
F
Hooio8
eco
God
‘DESCRIGRO PRODUTO SERVIC
INCH SHYT] CFORT ON
GANT.
UNITARIO
VALOR
TAD
in
TREE
ros
VALOR] VALOR
(ous
i
IRSA
ems] 1Pt
| foorons
i
[CINENTOPORTLAND-CPVART
mil
fsaain | [aro |
bss
55H
=
kaa
oo)
oui
=
Ta}
Taf
cc
ws
aml
| tootozs
{CIMENTO PORTLAND -CP V ARE
psssane favo fai |r
3
er
‘ato
vo} 12.0
|
owen
wy TICKET DE PESAGEM GX B4
dl
(| N° Sequencial: ' 0406467
Ae
Entrada; 27/01/2026 09:14
Saida:
27/01/2026 11:07
Transportadora: DESTINATARIO.
Placa: BDP6FOS
Pesagem Inicial: 20230
kg
Pesagem Final: 58420
kg
Peso Liquido: 38190
kg
&lt;=
J
aieuopaRoN
RIGAO MUNICIPAL
ERLOR TOTAL BOS SERVOS
ASEDECHLCULO DORN
0,00
00120 |
.
hc?
premrenmets
NTORMACES
TT
 RESERVADO NOFISCO
ace: 29181, 20158, 20138
210354 Nadi, 328482
Conte: Desay Benes |e: 6 98426-1901 Lace:
i
ALMOXARI
Welisonfde Paula
LANCADQEM.
FADO.
Almodarifado
RG: 2
58,385
[sinatura
2E/ OS 26
ls
Powered by © ToTvs</t>
        </is>
      </c>
      <c r="C24" s="15" t="inlineStr">
        <is>
          <t>NOTAS FISCAIS DE COMPRA JANEIRO 2026.pdf - p. 23</t>
        </is>
      </c>
    </row>
    <row r="25" ht="75" customHeight="1">
      <c r="A25" s="13" t="n">
        <v>24</v>
      </c>
      <c r="B25" s="15" t="inlineStr">
        <is>
          <t>:
acti re
DANFE
| COMPANHIA INDUSTRIAL DE CIMENTO APODE
pocumesro atin Da
Ropes SantwONe
ropcess6.8N
ll
il
PU
OMSUCESSO
o
NTRADA
1
FERAVEDE ACESSO
JounxeRe ce
1-SAIDA
2326 0110 2602 4900 0351 $500 1000 5367 4816 1352 3383
B®
eer 62920.00
Consulta de autenticidade no poral nacional da Ne
1N?.0536748,
FLL 1
SERIE 1
swwwnfe.fizenda, gov br/portal ou no site da Sefaz Autorizadora
INATUREZA DA OPERAGKO
PROTOCOL ODE AUTORIZAGRO DEUSO
24/01/2026
14:18:13
|VENDA DE PRODUCAO DO ESTABELECIMENTO.
CRTC
TNSCRIGNO ESTADUAL,
a ]INSCR EST. SUBS. TRIDUTARIO
1064204839
195320565
10,260.249/0003-51
Sevier OORENETERTE
[enra7orr
[DATA EMISSAO
[NOME RAZAO
23.655.038/0002-89
}24/01/2026
SKAL ENGENHARIA INDUSTRIA E COMERCIO LTDA.
oo
[BT ENTRADASAIDA
TNDIREGO
[BAIRRO DISTRITO
AV SAO FRANCISCO 4000 VD
JEXTREMA
64076-450
4/01/2026
MUNICIFIO
TONETEAR
ir
RSCRIGAD ESTADUAL
THORASAIDA
TERESINA.
PI
194446298
14:18,
FaTonwpurucaTa
FATURADDUPLIC
VENCIMENTO
VaLoR
FATURADURLIC
VENCIMENTO!
VALOR
FATURADUPLIC
VENCIMENTO
VALOR
(S3674801
73/02/2026,
TRAD
FEU
ASE DE CALCULO DOGS
ALOR DOTS
[BASE DECKLCULD DO ICN ST
[VALOR DO TNS SUBSTITUTO
VALOR TOTAL DOS FRODUTOS
18,824,85
2.258,98
0,00
0,00
18,824,85
VALOR DOFRETE
[VALOR DO SEGURO
VALOR BO DESCONTO
‘OUTRAS DESPERAS
RALORDOT
‘VALOR TOTAL DA NOTA
0,00
0,00
0,00
18,824.85
0,00
0,00
“ToronTapow [VOLUMES
FRETEPORCONTA
COD ANTT
THEACADOVEICULO [OF
oo
RAZKO SOCIAL
1 Por conta do destin
POASBRD
ce
DESTINATARIO
iemeserne
fispaneco
ONICHA
iF
TISCRICAO ESTADO
WANTIDADE
TREE
ARCH
TOMER
FSR
PESO TIOUIDO
38.030,00
GRANEL
APODI
38,030,000
38.030,000
aos
FRO
SER
ODIO
DESCRIGRO PRODUTO 7 SERIGO
NCHTSH] HT] CORON] QUANT
VALOR
VALOR
Beate
Vator
TACO
EOIN
UNITARIO.
TOTAL
CMS
rows
m
eas tet
ToT
CENTO PORTLAND CPV ART
aoe [sm form
Ta
Tap]
Ta
To
THT
Tay 1200
or
ef
_
bi i
a
ts
“|
el
ror0022
[CIMENTO PORTLAND -CPV ARI
10 | son fron fr
3800
9500]
isxiv0
e009
2)
on
201] 0.04
i
cwanpa TICKET DE PESAGEM QX B3
N° Sequencial
0406238
d
NM
P
Entrada: 24/01/2026 13:37
Saida
24/01/2026 14:12
Transportadora: DESTINATARIO
Placa: POASB80
h~
Pesagem Inicial: 20700
kg
Vv
Pesagem Final: 58730
kg
Peso Liquido: 38030
kg
"
-
‘Gicio pos
INSCHIGAO MUNICH?
VALOR TOTAL DOS SERVIGOS
[BASE DECATCUL DOTSON
VALOR DORE
000120
x
0,0
0,00
aos apiONAIS
TNFORMAGD,
COPE ENTARS
7
7
[RESERVADO AD FISCO
Lavo: 216f1, 281689, 28168, 261620, 21690, Ne Pedi. 33881 - Conte eilany Mencars| Cl: 869426490! Lact:
ALMOXARIFAD‘
Weliso’
‘de Paula
LANCADQ EM;
Alin
arifado
ONE
ARG:
58,385,
sinatura
totes 176
Powered by © toTws</t>
        </is>
      </c>
      <c r="C25" s="15" t="inlineStr">
        <is>
          <t>NOTAS FISCAIS DE COMPRA JANEIRO 2026.pdf - p. 24</t>
        </is>
      </c>
    </row>
    <row r="26" ht="75" customHeight="1">
      <c r="A26" s="13" t="n">
        <v>25</v>
      </c>
      <c r="B26" s="15" t="inlineStr">
        <is>
          <t>aoe
: a
:
oat
TRANS VNC TRANSPORTES EIRELI
TORT
*
—
AVPAPALJOAO PAULO | 687
DACTE
13/01/26 11:17
vi
|
t
¢
RESIDENCIAL PARQUE
FONE: (1122182063
sont ti
ec
ange
a
A
sind
GUARULHOS &lt;SP -CEP.GT174005.
Re
TERS
Tea
ODEO |W PROTOOOO
]
otaao ivansviciog com br
990219508 | aopovraaro | 57
Tyezeone3e70396 | [W
CowinolE GOFRCD
be 12062-s20 gont.s5 we heorsa0stt2 Ruri 47272500
Trane seRco
FOF -WATUREDA DIP
ee
tel
NORWAL
Ne
6352 Transp aos nau
a
c
zr
=
7eke
TER Don onESTAGFS
HOSS
TERESI
= AU
Wo FERNAFLEX IND E COM DE ADITIV
‘hav ae
i nat os rsa
.
AVENIDA INDUSTRIAL 463 PARQUE SAO PEDRO
sean
aye
fun
‘TAQUAGL
-ETUBA- SP
cep eb86=150
'35.2604.12.062.520/0001-86-57-003-000.218,508-100,030.90-3
96.948.6010001-04
®
_sroysarasig
=
TSOOFRETE
aD
ae
Fone (1466462872
FRETE PESO
703,00
PROS PREDSAR
TaNTFERRO auto |
{A142 SKAL ENGENHARIA INDUSTRIA E CO
erry
esrece.
DIVERSO:
AVENIDA SAO FRANCISCO 4000 D EXTREMA
VALOR HERCABORA 86)
9.135,0)
|
TERESINA -P1
cep 4076-450
TOE PanesivoUMeS
°
zat
25.965.03010002.89
soeees200
ove (9621064100
i
©, 6000
510,000
me
oe
FERMAFLEX INDE COM DE ADIT
CusscinsyPeso ik
SO CACULO a)
510/00
AVCHIDA INDUSTRIAL 463. PARQUE SAO PEDRO
FTAQUAQUECETUBA- SP
cep 8586-150
4 349.60170001-04
:
"
-
aroiseracite
owe (11)46462872
oa
s
=
RECA. SKAL ENGENHARIA INDUSTRIAE CO
oy
AVENIDA SAO FRANCISCO 4000 EXTREMA
TERESINA -PI
cep 64075450
CS TELTAA
BORMAL
arg”
BASE CALCULORS)
703, 00 |
23.65.038/0002-99
e
soasaszae
ove (96121064100
REFORRTRSTTIRE
AL OFALICN)
0,00
7100
7
aOR
SKAL ENGENHARIA INDUSTRIAE CO.
/ENIDA SAO FRANCISCO 4000 O EXTREMA
ore
0,10
0,38
vasoR ious
49.2
‘SS MUNICIPAL CARS)
0,00
0,00
OFFAL CHS ORGOESTIRS) 0,00
0,00}
RESINA -PL
cer 64076-150
8 (4
0,90
5,34
RED PRESICNS STIRS)
9,00
0,00}
€
.655.038/0002-99
spaseszoe
owe (2621064100
FRETE TOTAL
2
F03, 00)
TALON ARECESER RST
703-05}
TRIE
BETTIE SETS
Teme
TR
aia
mm
aa
unas (03)
Ores
est! 00 -
ice segura: 5400009409
Susie
ae es ee
10,73
ns
49,69 101A
09,69
|
A
004036 ~ Seguradora:
S7o2iseacoo1a9
ERRLEY THTERHACIONAL &gt;
CaNES Rr ECTE
rs)
TARELA: COMBINADA CO7S969
ROTA: SAOP/THBE ” TARE: 260
|
100 WEACAO, BIVEREOS. Conferenve
EVERALDO FRANCESCO ~ Tratemen
TE
260
oy
TOTO,
TOIT
‘pode ser dado para exasucao de cowrato do tr
| srapoese a
| tose aden person
oe
é
oF
ALMOX:
LANCAL
ABT ADO
rs ARMAZEM
 25082404674395
2051404676327
©
ssinatura
wi
3
i
DEST
Eo
"ABRAZO | PREVENTREGA
2170-776 |
CLAD GOL REGED OS VOLUMES DESTE CONEGMENTO EN PERFETTOESTIOO ELD
SGD POR CONPRON O PRESENTE CONTATOOE TUNSPORTE
=
—] SAO 2223708
1
revi
cs
ASRATURAT CARUSO
‘GHEGAOR ATAMORA
SHIDAGATAHORA
i
THE / CEN
L
rl
a
—
a</t>
        </is>
      </c>
      <c r="C26" s="15" t="inlineStr">
        <is>
          <t>NOTAS FISCAIS DE COMPRA JANEIRO 2026.pdf - p. 25</t>
        </is>
      </c>
    </row>
    <row r="27" ht="75" customHeight="1">
      <c r="A27" s="13" t="n">
        <v>26</v>
      </c>
      <c r="B27" s="15" t="inlineStr">
        <is>
          <t>[SRMAFLEX IND E COM DE ADITIVOS LTE
DANFE
DOCUMENTO AUXILIAR
‘
AV INDUSTRIAL, 463,
DA NOTA FISCAL.
i
I OO
:
’
ELETRONICA,
CHAE DE ACESSO
0- Entrada}
13526 0104 9496 0100 0104 SS00 1000 0661 6010 0464 0329
PARQUE SAO PEDRO
1-Saida
a)
ITAQUAQUEC
UBA
=
TELIFAX:
1146451033
N® 000.066.160
‘Consolia de autenticidade ao portal nacional da
SERIE
NF-e ww fe faenda gov beporal
CEP:
08586150
FOLHA:1 de 1
NATUREZA DA OPERAGAO
TE5TOCOLO DE AUTORLZNGRODEUSO
VENDAS,
138260139697113
12172026 18:46:39,
wr
INSCRIGAOESTADUAL
TNSCRIGAOESTADUAT SUB TRIBUTAKOA
04,949,601/0001-04
379154786114
DESTINATARIO/REMETENTE,
.
NOMERAZAOSOCIAL
ora
DATA DA EMISSAO
23.655.038/0002-89
12/01/2026
SKAL ENGENHARIA INDUSTRIA E COMERCIO LTDA.
BAIRRODIS (AITO
cP
TENDERECO
DATA DE SAIDATNTRADA
D
EXTREMA
64.076-450
12/01/2026
| AVENIDA SAO FRANCISCO, 4000
wD
TORETAN
ISSCRIC AO ESTADUAL
HORA DE SIDA
INA
8621064100
om
194446298
15:46:30
FATURADUPLICATA,
Numero
Data Veto.
Valor
Namero Data Veto
Valor
Namero Data Veto,
Valor
or
pireet
Bry
on
benaame
2s
‘os
Toniaoae
30
CALCULO DO IMPOSTO
[BASE DE CALCULODE 1eMS
VALOR DOTS
BASE DECALCULOTONS ST
VATOR BOIS SUBSTITUIGRO
VALOR TOTAL DOS PRODUTOS
9.135,00
639,45
0,00
0,00
9.135,00
‘OUTRAS DESPESAS ACERSORIAS
VALORDOTPI
‘VALOR TOTAL DOS IMPOSTOS | VALOR TOTAL DANOTA
VALOR DO FRETE
T VALOR BO SEGURO
DESCONTO
0,00
0,00
0,00
0,00
0,00
|
0,00
9.135,00
‘FRANSPORTADORIVOLUMES TRANSPORTADOS:
RAZAO SOCIAL
FRETEFOR CONTA
COOK ANT
[PLACADO VEICULO | UF
ExPicrr
[TRANS VMC TRANSPORTES EIRELI
1- Dest.
7
12.062.320/0001-55
TNDEREGO
ONICTRO
ry
TNSCRIGAO ESTADUAL
GUARULHOS
sp
796016805112,
4 AVENIDA PAPA JOAO PAULO 1,687,GALPAO04 _
FSPECIE
MARCA
PESO BRUTO
PESO LIQUIDS
[aeastipane
[
‘Go
(24
VOLUMES
&lt;
—-
510,000
510,000
On.
DADOS DO PRODUTOSERVICO
=
oo
esciugdo Do PRODUTOSERVIGO
Naw
vaton
moras
Walon ToT
400,
=
cs
=|
woos
a
AAILCELESTE SG
Taos
sea
ae
ro
Taal
z
ween
FET
FET
a
a0
To
oH
xe]
if
THAVFERKOX PRETO URUBU KG
eon
or
rs)
$2000
FET
760.9
000
7.0
am]
aa
ha
TOX V2 AMARELOZOKG
Be080
ooo
or
acer
Tos000
000,
eucn|
em
00
7.0
o00|
on
yor?
sve
\y
0
yh
&amp;
CALCULO DO ISSON
—
—
TNSCRICAO MUNICIPAL,
VALOR TOTAL DOS SERVICOS
Tease 5: °att L DOTSSON
VALOR DO ISSO
i
0.00
0,00
0,00
DADOS ADICION.
“No
ORMAGOES COMPLEMENTARES
daa
vs
] sexvano
isco
SORTA A
BA PEL
RATARIO EM
US
ALMOXA\
30 NA
c
‘ coNvENo Tons
Teas
‘ost
8
wer 2a
On
set
A a
5070
LANCADQEM.
Pos!
70
oe
RACER
ESTRADA F
oe
ang
aD ALPE
in = TTAQUAQUECETUBA
i
7 er
sponta Te Saag
sinatura
—
a
oo</t>
        </is>
      </c>
      <c r="C27" s="15" t="inlineStr">
        <is>
          <t>NOTAS FISCAIS DE COMPRA JANEIRO 2026.pdf - p. 26</t>
        </is>
      </c>
    </row>
    <row r="28" ht="75" customHeight="1">
      <c r="A28" s="13" t="n">
        <v>27</v>
      </c>
      <c r="B28" s="15" t="inlineStr">
        <is>
          <t>bd 3 hs [td
0p 0, 60K S, 0X4, 06
e
: |
°
‘ ° co -</t>
        </is>
      </c>
      <c r="C28" s="15" t="inlineStr">
        <is>
          <t>NOTAS FISCAIS DE COMPRA JANEIRO 2026.pdf - p. 27</t>
        </is>
      </c>
    </row>
    <row r="29" ht="75" customHeight="1">
      <c r="A29" s="13" t="n">
        <v>28</v>
      </c>
      <c r="B29" s="15" t="inlineStr">
        <is>
          <t>—
‘MUNICIPIO DE TERESINA P|
DANFSe v1.0
Site
VARIA MUNICIPAL Ue FOUN SS
aa
Documento Auxiliar de NFS-e
Noten
Eu
ons
irarnrPicov er
NFSe
aud
wills
(Chavo de Acesso do NFS-e
22110012250269092000188000000000003426021920159502
ay
Nomero da NFS-0
Competéncia de NFS-«
Data e Hora da emisade da NFS-0
3010/2026,
(02/02/2026 13:28:46
aa
ea
hes
Numero da OPS
‘Stria da DPS
Data # Hora da emissto da DPS
900
02/02/2026 13:24:46
sje dea Ne poe vericna
Dalene dots o198 GF lace 3
ose
-
=
te
issn mo pana
—
CHPITCPRTNE
Tnscigdo Moricipal
Telefone
ENITENTE DA NFS-6
Prestacor do Servigo.
50,269,082/0001-88
Esmall
‘Nome / Noma Empresariat
50,269,092 CARLOS CLAY ARAUJO DE OLIVEIRA
:
Ende
Municipio
cep
TERRA NOVA (LOT. Meco 16459, SAO SEBASTIAO.
Teresina -P
6a084.025
‘Simples Nacional na Data de
Rela de Apureeo Tabuténa pete SN
Gplonte = Metoempreendedor haivaual (ME)
_
GRESCPFI NF
Tnserigao Muricijal
Talotone
| TOMADOR DO SERVIGO
23,655,038/0002-89,
(88) 2222-4700
Nome / Nome E
Emal
SAL ENGENHARIA INDUSTRIA E COMERCIO LTDA.
:
Enderago
Municipio
cep
AV SAO FRANCISCO, 4000/0, EXTREMA
Teresina -PI
6076-480.
INTERMEDIARIO DO SERVIGO NAO IDENTITICADO NA NTS
iGO PRESTADO
(Calg de THbutardo Nacional
Céaigo de THbutagso Munictpal
Lecal da Prastago
Pale da Prastagto
17.02.02 Expediente, secretara em
:
Teresina =P
‘aera apoio @ infra-estrutura
Descricéo do Serv
SERVIQOS ESPECIALIZADOS EM APOIO ADMINISTRATVO.
=
=
=
_
a
TRIBUTAGEO MUNICIPAL
“Tributagdo do ISSN
Pale Resultado da Prestaqio do Servo
Municipio de incidence do 1SSQN
Regime Especial ca Trbutagao
Operago Tributdvet
Teresina -Pi
Neahurs
“Tipo de tmuridade
Suspensde da Exigiblldade do ISSON
Numero Processo Suspeness
Bonefilo Municipal
Nao
Z
Velor do Servi
Descante Incondicionsd
Cowie do BIA
S-4,287,50
Total Dedugdes/Redusses
8c ISSN
Aliquota Aplicada
Retengo do ISSON
ISON Apurado
Nao Ratio
=
—
a
_
“TRIBUTAGAO FEDERAL
IRRF
CP Retido
PISICOFINS/CSLL Ratios
PIS Devido
COFINS Devido
Retengo de PISICOFINS/CSLL
TOTAL TRIBUTAGAO FEDERAL
_
‘VALOR TOTAL DA NFSE
elor do Servico
Desconto Condicionado
Desconto incandicionado
ISON Retido
3 4,287.50
RS
RS
:
a.
laa
I, CP, PIS, COFINS, CSLL
PIS/COFINS Devidos
RS 0,00
Volor Ligudo da NFS-2
=e
—
PS 4.267,50
—
‘TOTAIS APROXIMADOS DOS TRIBUTOS
Federale
Estaduolo
Munieloals
—
=
INFORMAGOES COMPLEMENTARES
Nas: 118064000
PRAS.
Lat
EMOMOUIL
Assinatura</t>
        </is>
      </c>
      <c r="C29" s="15" t="inlineStr">
        <is>
          <t>NOTAS FISCAIS DE COMPRA JANEIRO 2026.pdf - p. 28</t>
        </is>
      </c>
    </row>
    <row r="30" ht="75" customHeight="1">
      <c r="A30" s="13" t="n">
        <v>29</v>
      </c>
      <c r="B30" s="15" t="inlineStr">
        <is>
          <t>—
——
MUNICIPIO DE TERESINA.PI
AEERETARA MUNICIPAL BE FIMAIKAS -
DANFSe v1.0
ata
Documento Auxiliar da NFS-©
OtAPISCALELETRONICA SE
raPnT rs
wR
NFSew:
zi
‘Chave de Acoso de NFS-0
S2119012240439061000174000000000004726021276815024
ee
ee
Data ¢ Hora de emissso da NFS-©
amano da NFS-6
‘Compatincia da NFS-2
(02/02/2026 08:42:03,
Fo
5
47
oyo1/2026
Sérig da DPS
Data a Hora da emisaéo da DPS
ead
Nomare da DPS
80000
0210212026 08:42:02
auencaae 4st Sc dee
a7
‘absense c63g9 CR 5s ala cons co
faved aesse rapt nacional da NF See
EWITENTE DA NFS-6
GNPITOPF NF
inacriglo Moricieal
Taare
Prestader do Servigo
40,439,061/0001-74
Ennai
[Nome / Nome Empresarial
5
RIGARDO RODRIGUES DE SOUSA 90931442370
Ender
Municipio
TANCREDO NEVES, 202, TANCREDO NEVES
Teresina - PL
Sa070-085
‘simples Nacional na Data do
Reale ce Apureco Tun plo SN
Optant
Microompreendedor
Thelvidual (MEN
Talafone
TOMADOR DO SERVICO
‘CRP CPF TNF
Tago Marit
23.855,038/0002-89,
Nome / Nome Empresarial
Email
Z
SKAL ENGENHARIA INDUSTRIA E COMERCIO LTDA,
Enderogo
Municipio
cep
SAO FRANC!
CO, 400000, EXTREMA
Teresina -Pl
6076-850
INTERWEDIARIO DO SER
GO NAO IDENTIFICADO NA NFS-¢
OQvservigorrestiDo
(Calg de THbutaro Nacional
Local da Pres:aga0
Pais da Prastagto
13.03.01 - Fotografia e
ago de Trbutagto nici
Teresina -PL
cinamategratia, nclusive revelagao,
ampliag.
Doscrigo ¢o Senvigo
“Teahalho de Marketing Digital
=
TRIBUTAQKO MUNICIPAL
Municip de insidone:a do ISSQN
FRecime Especial oe Tributacso
Trioutaga do ISSQN
Pua Resutao de Prosincto do Seren
Teresina -PI
Neahum
Operagéa Tributével
Tipo de tmuniaade
Suspense ca Exgiblikiade do ISSQN
Numero Processe Suspeneso
:
Nao
'
Benefco Munepat
Céloulo do BMA
Voor do Serica
Toto! Deducdes/Reduces
RS 2.000,00,
Desconta neandtoned
Ratengto do |SSaN
ISSON Apurado
ec1ssan
‘Aliquots Apticase
=
No Retido
&lt;
TRIBUTAGAO FEDERAL
1RRF
CP aide
PISICOFINSICSLL Raton
‘COFINS Devido
FIs Devito
2
:
Retengo do PISICOFINS/CSLL
TOTAL TRIBUTAGAO FEDERAL
=
&lt;
=
Vi
‘OTAL DANFS-E
Valor uo Servigo
Descente Condicionado
Devoonte Incondicionado
RS 2.000,00
RS
RS
ISON Retiso
C)
IRRF, CP, PIS, COFINS, CSL
PISICOFINS Devidos
Velox Liquico da NFS:
0,00
:
RS 2,000,00
TOTAIS APROXIMADOS DOS TRIBUTOS:
Feceraie
Estadunis
Municipals
=
:
x
INFORMAGOES COMPLEMENTARES
NBs: 114081900
AS
COMPR:
on
OEM,
ae
ate</t>
        </is>
      </c>
      <c r="C30" s="15" t="inlineStr">
        <is>
          <t>NOTAS FISCAIS DE COMPRA JANEIRO 2026.pdf - p. 29</t>
        </is>
      </c>
    </row>
    <row r="31" ht="75" customHeight="1">
      <c r="A31" s="13" t="n">
        <v>30</v>
      </c>
      <c r="B31" s="15" t="inlineStr">
        <is>
          <t>AO}
Pm
Prefeitura Muni
al de Teresina
al
eh
oe:
53
Secretaria Municipal de Finangas
a
Nota Fiscal de Servigos Eletrénica
oReas
NFSe - Prestador
=
CORGORIGOEG,
=
ea
mie wha deste ca
oe
DADOS DA NFSe
Numero | Série
Data @ hora de emissio
Competéncia
1868
‘26/01/2026 09:47:28
12028
CCéudigo do Verificaao
TPDAhYZie
EMITENTE PRESTADOR DO SERVIGO
Tolefone
CPF /CNPJ/ NIF
Inscrigao Municipal
(88) 3228-8790
24,626,077/0001-15
458508-2
E-mail
Nome / Nome Empresarial
JESUINO@APOIOCONTABILP.COM
‘AUTO SHOP RASTREAMENTO LTDA
Municipio
cep
Enderego
TERESINA / P| BRASIL
64053-010
JAVENIOAGOAG XXII 5325 SALA 02 SANTA ISABEL
TOMADOR DO SERVICO
Teletone
Inscricao Munici
CPF/CNPJINIF
000815-4
(@6) 2107-4700
23,655.038/0002-89
E-mail
Nome / Nome Empresarial
financeiro.grupokltix@ gmail.com
SKAL ENGENHARIA INDUSTRIA E COMERCIO LTDA.
cep
Municipio
4076-450
Endoreco
FVENIDA SAO FRANCISCO 4000/0 BAIRRO EXTREMA
TERESINA/ PI BRASIL
SHMYICO PRESTADO
ch} cB
4520-0/07-03 - SERVIGOS.
Servigo
114.05 - INSTALACAO E MONTAGEM DE APAI
RELHOS, MAQUINAS E EQUIPAMENTOS, INCLUSIVE MONTAGEM INDUSTRIAL, PRESTADOS AO USUARIO FINAL,
Pals da prestagao do servigo
Local da prosta
do servigo
BRASIL
TERESINA / PI
DESCRIGAO DO SERVIGO PRESTADO
wsaLtonDe 25/12/2025
= nounto UNIFrCADO (26 VEICULOS) RB 958,40
HonenLsonDe 25/42/2025
2 suania = RS 59/90
2 Suoaaa = Bg 59,90
NeneALEDADe 25/12/2025
eneactonDe 25/12/2025
1 soaa0e = ne 59,90
Yonsatroabe 25/12/2025
2 nsven0a Rg 59/90
SOIL: RE 1.199,00
=
COMPR
AS.
1g
Aas
ano sMce
—
=
&lt;a
aaa
DOCUWENTO EMTIOO POR NE OU E
)PTANTE PELO SIMPLES NACIONAL
7,.:BUTAGAO MUNICIPAL
Municipio da Incidéncia do 1SSQN
Responsivel pelo recothimento do ISSAN
Exigibilidade do ISSQN
TERESINA Pi
PRESTADOR DO SERVICO
Exigivel
Rotengio do ISSGN
Situagao do prestador do servigo perante o Slmples Nacional
Regime especial de tributacdo do ISSQN
NAO RETIDO
OPTANTE
simples Nacional
CALCULO DO ISSQN
Total das dedugées (RS)
ese. incondicionado (RS)
Base de célculo do ISSN (RS)
Alig,
Valor do ISSQN (RS)
Valor total da NFSe (R$)
0,00
4.198,00
é
4.198,00
0,00
RETENGOES
utras retences (RS)
TSSQN (RS)
IRF (RS)
PIs (RS)
CCOFINS (RS)
INSS (RS)
SLL IRS)
0,00
0.00
0,00
0,00
0.00
0.00
oc
VALOR TOTAL
Desc. condicionado (RS)
Valor Liquide da NFSe (RS
‘Base de célculo do ISSQN (RS)
Retengdes (RS)
ese. incondicionado (RS)
0,00
4.198.0"
1.198,00
9,00
0,00
INFORMAGOES COMPLEMENTARES</t>
        </is>
      </c>
      <c r="C31" s="15" t="inlineStr">
        <is>
          <t>NOTAS FISCAIS DE COMPRA JANEIRO 2026.pdf - p. 30</t>
        </is>
      </c>
    </row>
    <row r="32" ht="75" customHeight="1">
      <c r="A32" s="13" t="n">
        <v>31</v>
      </c>
      <c r="B32" s="15" t="inlineStr">
        <is>
          <t>_
rao}
Prefei
ura Municipal de Teresina
fore
Te
ee
ae
ia
4
Secretaria Municipal de Finangas
ek
2)
zat
Eis
Nota Fiscal de Servigos Eletrénica
e
a
us
as
NFSe - Prestador
4icgrgvMR
Tae aos
DADOS DA NFSe
we
pista dete
fe co Cog We
=
Data e hora de emissa0
Competéncia
Numero / Série
Ee" auanciade acne Poral"&amp;t
05/12/2025 21:21:09
1272028
2040
Noe
EMITENTE PRESTADOR DO SERVICO
CPF /CNPSI NIE
Inserigao Municipal
Tolotone
29.100.059V0001-33,
600379-6
(88) 9904-5457
Nome / Nome Emprs
ial
E-mail
F-ALVES CAMINHA ME.
\VOXCONTABILIDADED1 @HOTMAIL. COM
Endorec
Municipio
cep
AVENIDA PRESIDENTE JANIO QUADROS 2248 SANTA LIA
‘TERESINA PI BRASIL
64058-780
TOMADOR DO SERVICO
CPF ICNP /NIF
Inserigdo Municipal
Telefone
23,655 036/0007-06
044140-6
:
Nome / Nome Empresarial
Email
SKAL ENGENHARIA INDUSTRIA E COMERCIO LTDA,
Enderego
Municipio
cep
[AVENIOA SAO FRANCISCO 4000 COMPLEMENTO:SALA C; BAIRRO EXTREMA
TERESINA / P| BRASIL
4000-001
SERVICO PRESTADO
CNAE,
4613.
- REPRESENTANTES COMERCIAIS E AGENTES DO COMERGIO DE MADEIRA, MATERIAL DE CONSTRUCAO E FERRAGENS,
Service
10,09 - REPRESENTAGAO DE QUALQUER NATUREZA, INCLUSIVE COMERCIAL.
Local da prestacie do servigo
Pais da prestagdo do servigo
TERESINA PL
BRASIL
DESCRICAO DO SERVIGO PRESTADO
raf a comiseso de vendas outubeo  novesbro de 2025
‘DOGUNENTO EMITIDO POR ME OU Eh
"OPTANTE PELO SIMPLES NACIONAL
TRIBUTAGAO MUNICIPAL
Exigil
ie do ISSQN
Municipio da Incidéncia do ISSQN
ssponsdvel pelo recothimento do ISSQN
Exigivel
TERESINA - PI
PRESTADOR 00 SERVICO
Retengdo do ISSQN
Situaco do prestador do servico perante 0 Simples Nacional
NAO RETIOO
OPTANTE
Rogime especial de tributagio do ISSQN
‘Simples Nacional
CALCULO DO ISSQN
Valor total da NFSe (RS)
Total das dedugées (R$)
Desc. incondicionado (RS)
Base de calculo do ISSON (RS)
Alig. (4)
791,96
0.00
0,00
797,58
Vator do 18SQN (RS)
RETENCOES
ISSQN (RS)
IRRF (RS)
PIs (RS)
COINS (RS)
INSS (RS)
CSLLIRS)
Outras retengdes (RS)
0,00
0.00
0,00
0,00
0.00
0,00
0,00
VALOR TOTAL
Base de edleulo do ISSQN (RS)
Retengdes (RS)
Dese. incondicionado (RS)
797.56
0,00
ese. condlcionado (RS)
Valor Liquido da NFSe (RS)
0,00
0,00
797.56
INFORMAGOES COMPLEMENTARES
Cl — WAL</t>
        </is>
      </c>
      <c r="C32" s="15" t="inlineStr">
        <is>
          <t>NOTAS FISCAIS DE COMPRA JANEIRO 2026.pdf - p. 31</t>
        </is>
      </c>
    </row>
    <row r="33" ht="75" customHeight="1">
      <c r="A33" s="13" t="n">
        <v>32</v>
      </c>
      <c r="B33" s="15" t="inlineStr">
        <is>
          <t>ee
—_—
.
rm
CORI MINAS MINIRACOES LTDA os pods eu segs constants da
acl Hic ea aoa.
NF:
Dest Skin NGENHARIA INDUSTRIA E COMERCIO LTDA AVENIDA SAOTRANCISCO, 100 -PAROUE JUKEMA » TERFSINA 1
nos 141/296 Wal Tet RS 15,5800
N° 000,000,222
=
BCA CSTR RECTOR
Série 001
=
=
-
DANFE
i"
NORTH MINAS MINERACOES
Docume Aur a
1
i
LTDA
Non Pe! havo
UM
il
o-enraana,
Pa
shoe
ef
FAZVILU.O
FAZVILU- SOLEDADE -PB
" 000.000.222 | 2526 0146 0912 8900 0100
04 L000 0002 22 10 0007
69
Fone (82)9804.0118 CEP: 50185-000
Série 001
CConauita de aentcede no portal oa NF-c
Folha 1/1
i fe Fazenda go fora no tess SEFAZ Asteria
55
6102-VENDA DE MERCADORIA ADOUIRIDA OU RECEBID
-
22526(0002371783 14/01/2026 10
a
GRE
=
7
oo
46,091.289/0001-410
Lessin
TINATARIO / REMETENTE
=
arr
cr
‘SKAL ENGENHARIA INDUSTRIA E COMERCIO LTDA,
—
25.685. 038/0002-49
Lror/2026
ic
m=
AVENIDA SAO FRANCISCO, 4000,
PARQUE JUREMA,
| 61076-178
Hf01/202H
hai
191446298
102418
TERESINA,
n |
ULo Do IMpOsTO
2
=
ry
oo
15,550.00
1.8665,00
om
—
50.0
ca
seo
i
=F
0.00
0.00
0.00
0.90
000 |
S00)
TRANSPORTADOR / VOLUMES TRANSPORTADOS
aaa
aa
ar
fr
wn
Pad0,
1 DESTINATAR|
“1
ara
=
Ry HY STO
=
e
rae
Tommie
=
“Ry N9c0
=
—
1
=
—
=
DADOS DOS PRODUTOS / SERVICOS
=
7
0180
on)
vee
ry
maree
ae
|
voere
sesoncAaporecUTosemHCo
ven
or
‘ec | mo | ouawroace
ven
Es
ane.
cS
L
S
ss
ERB
| fecoanooarar
AKGITA
onion
we
aie
nN
500
7)
a
‘50000
So
000
somo
ovo
tea
1
100
5000
00
nose
00
sam
|ocoomaanona |caUune MALIA 328
|
\®
—_
i
CALCULO DO ISsaN,
seems
as
—
[rsexctouiner
ace To oor ERS
on
l
0.00
0.00
‘DADOS ADICIONAIS
=
:
i
ou
sewn
MOTORISTA RICARDO JOSE DE SOUZA CPF: 061 607 814.67 VEICULO: CAMINHAG PLACA. AGTTECO,Trinos RS 090 00 (32.08 % |
Fonte 1BPT
DATA MOKA DA MERESSHO” Hn v2028 104294 ~USLARIO
Prac: AC en</t>
        </is>
      </c>
      <c r="C33" s="15" t="inlineStr">
        <is>
          <t>NOTAS FISCAIS DE COMPRA JANEIRO 2026.pdf - p. 32</t>
        </is>
      </c>
    </row>
    <row r="34" ht="75" customHeight="1">
      <c r="A34" s="13" t="n">
        <v>33</v>
      </c>
      <c r="B34" s="15" t="inlineStr">
        <is>
          <t>[Caio ete
FieiA Do CONTRI
Detaharnanta Carpe 11
oy
[tense
od
(Gxt. Pepa = 000
2
2051-6
1617
‘000
‘aoe 000
lao tpo [racine CoO
ESTADO DA PARAIBA
‘Setlc= a0
2
23,656,098/0002.89
‘SECRETARIA DE ESTADO OA
PF -eapeieaa oar
eae
Frm
ian
Treas
ers
FAZENOA- SEFAZ
(50112026.
Ls
DAR NOD:
od
3048075743
12026
baci
ir abo HORT
os
[aoe
'SKAL ENGENHARIA INDUSTRIA E COMERCIO LTDA.
fava seer
[ences
[AV SAO FRANCISCO, 4900,
8971,20
fers
oF
nae
Frere
EXTREMA
4076-850
TERESINA
0,00
[= pioranie Coa
Fata aa ae ae
LLOCAIS DE PAGAMENTO ITAL, SANTANDER, BANCO DO BRASIL, CAIXA ECONOMICA FEDERAL,
z
0,00
‘SRADESCO, SICOOB NAO RECEBER APOS 15/01/2026
intapariee
$0.00
fare
$0.00
area
‘cunnsirod = SETAE UUREAS EVETECENTAYOS
Te
as
at
ou
_RSSTh20
[- Ons rem
faerie
[=m aces
-101/2026
a
ES
By
Fas
a
as
et
PRON
3
Ss
oH
srg
fae
Que e Cola:
enon tit ani ht TN ELON HEAD CAPO PSSA
eee
—
eee
seen
Pecan aoe
TFICHA DO ESTADOICADA
“Delaanents Campe 15
ir
[ie
Ta
‘Cor. Pepa:
o
20518
1817
(oi. narae = 0.60,
ates
[FF mreionsaanrcooerr
Soros» 0.00,
BELic=0.00
ESTADO DAPARAIBA
2
73,955036/0002-89
'SECRETARIA DE ESTADODA
[reece car
Tea
amar
atone
oad
ame
'FAZENDA.- SEFAZ
evs rare
OI
3048075743
0112026
2028.
DAR.NOD2
aoa
oo)
Ta a Fe ov Faro
'SKAL ENGENHARIA INDUSTRIAE COMERCIO LTDA.
ena
oar
S571,20
‘AY SAO FRANCISCO, 4000
ro
Tae
EXTREMA
Fecraso
TERESINA
0.00
[2 Haneies opener
a AIST INES TT
50,00
LOGAIS DE PAGAMENTO ITAU, SANTANDER, BANCO DO BRASIL, CAIXA ECONOMICA FEDERAL,
[BRADESCO, SICOOB NAG RECEBER APOS 15/01/2026
sap
59.00
Tar
0,00
ad
Tapa ms
Ese
y
zs
RT,
oY
ta
Jurecer0S€SETENTAE WRENS E VIXTECONTAVOS
Eee
.
i
fa
ae.
5" RSB7420
Raison
Dra res
pai
aot2026
aa
i
Serna
is
i
a}
man
a
sect
tified
Copia e Cola:
see ri ta hs ta nn} ERECTA DESC DALAM DH?</t>
        </is>
      </c>
      <c r="C34" s="15" t="inlineStr">
        <is>
          <t>NOTAS FISCAIS DE COMPRA JANEIRO 2026.pdf - p. 33</t>
        </is>
      </c>
    </row>
    <row r="35" ht="75" customHeight="1">
      <c r="A35" s="13" t="n">
        <v>34</v>
      </c>
      <c r="B35" s="15" t="inlineStr">
        <is>
          <t>a
pos
GOVERNO DO ESTADO DA PARAIBA
Date. de Emissao:
SECRETARIA DE ESTADO DA RECEITA
14/01/2026
GERENCIA DE FISCALIZAGAO DE MERCADORIA EM TRANSITO
EXTRATO DEMONSTRATIVO DE DOCUMENTOS FISCAIS
DAR: 3048075743
Recelta:
1617 - [OMS - FRETE
IMés de Referéncia: 01/2026
IEICNPJICPF:
+23,655,036/0002-89
Raziio Social:
'SKAL ENGENHARIA INDUSTRIA E COMERCIO LTDA.
Enderego:
AV SAO FRANCISCO, 4000 - EXTREMA - TERESINA,
=
jonto|
wae
ay
3s
jee:
.
#
sate |
as
euniento.
e
‘posi’ 2 Valor CMs (
poe
y
path
ne tela
6014609 128000010056001000000222 1000076
NFe
=
222
571,20)
[Segue aiees
=
571,20)
Pagina 1 det
oO</t>
        </is>
      </c>
      <c r="C35" s="15" t="inlineStr">
        <is>
          <t>NOTAS FISCAIS DE COMPRA JANEIRO 2026.pdf - p. 34</t>
        </is>
      </c>
    </row>
    <row r="36" ht="75" customHeight="1">
      <c r="A36" s="13" t="n">
        <v>35</v>
      </c>
      <c r="B36" s="15" t="inlineStr">
        <is>
          <t>Prefeitura Municipal de Tere:
ee
ee
Secretaria Municipal de Finangas
re:
Bi
ee
Nota Fiscal de Servicos Eletrénica
ake
NFSe - Prestador
SyERZ97Sa
Tareas ea
cal
Costes pista
wend
DADOS DA NFSe
fais co
bape
io Cosine Vertes
‘mite me poral
Data e hora de emiss3o
Competéncia
Numero / Série
ase
0/01/2026 16:29:38
012028
3331/0,
EMITENTE PRESTADOR DO SERVIGO
Insetigde Municipal
Telefone
CPF/CNPJ/ NIF
084379-2
{(@6) 4009-9000
04.704.45210001-05
Nome / Nome Empresarial
E-mail
CONSULTING AND INFORMATION SERVICES LTOA
lem@rmteresina.com.br
Municipio
cep
Endereco
TERESINA / PI BRASIL
64017-045
[RUA JOSE DOS SANTOS E SILVA 2689. PICARRA
TOMADOR DO SERVIGO
Telefone
CPF) CNPJ/ NIF
Inserigao Municipal
23,655,038/0002-89
080315-4
E-mail
Nome / Nome Empresarial
financeiro@kalfix.com
‘SKAL ENGENHARIA INDUSTRIA E CONERCIO LTDA.
cep
Endereso
Municipio
4076-450
[AVENIDE SAO FRANCISCO 4000/0 BAIRRO EXTREMA
TERESINA PI BRASIL
SERVIGO PRESTADO
cr
BO
e208
‘9-00 - SUPORTE TECNICO, MANUTENCAO E OUTROS SERVICOS EM TECNOLOGIA DA INFORMACAO
servigo
01.07 - SUPORTE TECNICO EM INFORMATI
(CA, INCLUSIVE INSTALACAO, CONFIGURACAO E MANUTENCAO DE PROGRAMAS DE COMPUTACAO E BANCOS DE
Pals da prestacdo do servigo
Local da prestagao do servigo
BRASIL
ERESINA/ Pl
DESCRIGAO DO SERVIGO PRESTADO
REFERENTE A Propeste; T0PI00;
127/2028, PROCEDINENTO OEFRACEONNL CREDITO E COBRANGA, PARCEIA 03/03
(\
DOGUMENTO EWITIDO POR ME OU EPP OPTANTE PELO SIMPLES NACIONAL
TRIMNTACAO MUNICIPAL
‘Municipio da Incidéncia do ISSN
Responsavel pelo recolhimento do ISSQN
Exigibuidade do ISSQN
TERESINA - PI
PRESTADOR DO SERVICO
Exigivel
Regime especial de tributagao do ISSGN
Retengao do ISSQN
Situagdo do prestador do servigo perante 0 Simples Nacional
‘Simples Nacional
NAO RETIDO
OPTANTE
CALCULO DO ISSQN
Valor total da NFSe (RS)
Total das deducdes (RS)
ese. incondicionado (RS)
Base de céleulo do ISSQN (RS)
Alig, (%
Valor do ISSQN (RS)
0,00
0,00
9.689,93
9,689.93
RETENGOES
SLL IRS)
utras retengoes (RS)
TSSQN (RS)
IRRF (RS)
PIS (RS)
OFINS (RS)
NSS (RS)
0,00
0,00
0,00
6,00
0,00
0,00
0,00
VALOR TOTAL
ese. incondicionado (RS)
Desc. condicionado (RS)
Valor Liquide da NFSe (RS)
Base de calculo do ISSQN (RS)
Retengdes (RS)
0,00
0,00
9,688,338,
9,689.33,
0,0
INFORMACOES COMPLEMENTARES</t>
        </is>
      </c>
      <c r="C36" s="15" t="inlineStr">
        <is>
          <t>NOTAS FISCAIS DE COMPRA JANEIRO 2026.pdf - p. 35</t>
        </is>
      </c>
    </row>
    <row r="37" ht="75" customHeight="1">
      <c r="A37" s="13" t="n">
        <v>36</v>
      </c>
      <c r="B37" s="15" t="inlineStr">
        <is>
          <t>.
.
—
[incicow daNORTH WHNAS
INERACOES LTDA os pu ese
rats da Na Fs etic ia 0 lk
euitie S
\CPNGENIARIA INDUSTRIA F COMERCKO LTDA AVENIDA SAO FRANCISCO, 4000- PARQUE JUREMA - TERESINA =
NF-e
6 Nolo Taal RS 158000.
eae aan OREO
N° 000.000.222
Série 001
DANFE
NORTH MINAS MINERACOES,
Documants Aa ae
y}
Ie
LTDA
‘ots Pasa Eaves
MO
vee
9 - ENTRADA
ety
Faz viLU,o
ca
comers
FRE VILU- SOLEDADE - PS
N* 000,000,222 | 2526 01.46 0912 8900 0100 5S00 1000 0002 2210 0007 6869
Fono-(83)9604-0113 CEP: 58185-000
Série 001
CConsuta de autentcidade no portal da NF-6
swum. azonda gow brzertl ou o ie da SEFAZ Autentcadora
—
Folha 1/1
PRSTORA Do MTOREATIO OF RO
6102-VENDA DE MERCADORIA ADQUIRIDA OU RECEBID
225260002371783 14/01/2026 10:36:85
et
fee
ecimocsncun
nro Ea Ga RRTHURSTRNITANS
[toast 1122
46,091.289/0001-00
—_
DESTINATARIO/ REMETENTE
row hoe
lewre
pore)
SKAL ENGENHARIA INDUSTRIA E COMERCIO LTDA,
23.655.038/0002-89
1401/2026
faa
Jer
Euroerry
AYENIDA
0 FRANCISCO, 4000
1410/2026,
PARQUE JUREMA
[4076-178
revere
mr
ores
=
INA,
ae
94486298
lo:2a:18
“LO DO IMPOSTO
6
AERO GOIN
Tae Sno ROR HSTTOS
eres
recency
50,00
=
1866.00
0.00
0.00
15.550,00
fas
ono
zenro
ae PEE ES
concer
pecorery
0.00
0.00
0.00
0.00
0.00
15.550,00
‘TRANSPORTADOR / VOLUMES TRANSPORTADOS.
~
rae roca
cron
=
L- DESTINATAR|
—_—
cine
le
Tcmcacara,
[comma
com
rors
rey
is
=
ee
1
=
DADOS DOS PRODUTOS | SERVICOS
eae
cry
Tao
“aa
rod
cry
am
T
ae
oo
Descae40 9 HeOWT ERIE
Ebsss
rows
on
oo
‘ae. ournase
owns
osseons
voi
cciene
‘en
oa
ic
Wa
bsikiona | oo
on
i
150
Yo0.08
oo
“ss0a0
70000
Sa
vie fea [ooo
in
CAULIM MALIA 28
bsuroa| am
aan
iN
nm
som
neo
Hosen
Hs
Lage
ve f2.00 Joon
|
Pes.
oe
:
LM
os
=e
CALCULO DO ISSON
errr
omen
Janna
000
0,00
0,00
DADOS ADICIONAIS
ses
eemnoororace
| Fon ar:
| soTORISTA’ RIGARDO JOSE DE SOUZA CPF 081.807 814-57 VEIGULO: CANINHAO PLACA. AGTTFON;Trulos R$ 4990.00 (32.09%)
ALMOX,
FAI
Welisorf'de Paula
25002
Almokarifado
‘LANCADO
G: 2.958.385
é
I
Inatura
48!
Os I.
fa:
—
_
7
AIRE NOIADA MPRESSAO teovzen8 a's - USUARIO
Prt ACO wa roe com tr</t>
        </is>
      </c>
      <c r="C37" s="15" t="inlineStr">
        <is>
          <t>NOTAS FISCAIS DE COMPRA JANEIRO 2026.pdf - p. 36</t>
        </is>
      </c>
    </row>
    <row r="38" ht="75" customHeight="1">
      <c r="A38" s="13" t="n">
        <v>37</v>
      </c>
      <c r="B38" s="15" t="inlineStr">
        <is>
          <t>7
TRS aT
FICHA DO CONTRIBUNTE
Dotanamonio Cameo 11
fr
Tene
ara
ovr. Pre
Sooo
oe
2051.8
1617
Sore Inracas = 0.00
ros = 000,
[te
=
aaa
ESTADO DAPARAIBA
Sélic =0.00
2
23.655,036/0002-89
SSECRETARIA DE ESTADO OA
ae
[Fon cavers
FAZENDA- SEFAZ
Fi-epecane Rea
paar
Tr nnaoe
eas FETE
048075743
01/2026
15/01/2026
‘bale-MoD2
[ar Bremen
[Foca
Sasa ake TO
SKAL ENGENHARIA INDUSTRIA E COMERCIO LTDA,
Frese
oR Pa
s671,20,
‘AV SAO FRANCISCO, 4000,
z
ar
ramen
Hine SETE
4076-450
TERESINA
$0.00
EXTREMA
re TTT
ER Ta ST
Rs0,00
LOCAIS DE PAGAMENTO ITAU, SANTANDER, BANCO DO BRASIL, CAIXA ECONOMICA FEDERAL,
BRADESCO, SICOOB NAO RECEBER APOS 15/01/2026
Ra pa ae
S000
fe rciao
80.00
aa
TS ToTAC ARCO
971,20,
LINENTCS FE SETENTAE UMREAISE VITECENTAVOS
br
‘rica Wook
ftom otro
[a wera
14/01/2026
Pacctiny
Soe
Hs
es
2
rare
Copia e Cola:
ee
i
seston ct hth SA ERT ADGA
Lona escnsoren
=
mie
me
7
aac
a TS
TFICHA DO ESTADOICADA
Detanamenta Campo 11
ier
ios
pea
(Cor Prnpal = 0.00
oer inracao = 000
@
2051-6
1617
urs = 00,
aaa
[a rears aaa SET
SeLic = 0.00
23.655,038/0002-89
ESTADO DA PARAIBA
2
[SECRETARIA OE ESTADO OA
oo
c
——
ro
[aaa
[r-bome verano
FAZENOA-SEFAZ
s0ago7s7as
01/2026
‘
11/01/2026
‘DAR-NOD2
eas.
Faere
7
a
[amen
aos
SKAL ENGENHARIA INDUSTRIA E COMERCIO LTDA,
a Fra
{AV SAO FRANCISCO, 4000
ss71.20,
oar
ed
aaa
TREMA
4076-480
TERESINA
80,00
an Conan
Rea TT
80,00
LOCAIS DE PAGAMENTO ITAU, SANTANDER, BANCO 00 BRASIL, CAIXA ECONOMICA FEDERAL,
BRADESCO, SICOOB NAO RECEBER APOS 18/01/2026
Passa
80,00
eae
80,00
ETOAC
oar
Ee
‘DUNENTOSESETENTAE UMREAI EVIE CENTAVOS
3571.20
7
ir
F-Gr or Erma
Eta
1410172026
Ges
Sats
ce
=)
be
2
Feit
Saeed
Copia e Cola’
.
rae amas or eo mme EACARA DE ESOO EAR OO</t>
        </is>
      </c>
      <c r="C38" s="15" t="inlineStr">
        <is>
          <t>NOTAS FISCAIS DE COMPRA JANEIRO 2026.pdf - p. 37</t>
        </is>
      </c>
    </row>
    <row r="39" ht="75" customHeight="1">
      <c r="A39" s="13" t="n">
        <v>38</v>
      </c>
      <c r="B39" s="15" t="inlineStr">
        <is>
          <t>CAE SS took genie tnt tae en
GOVERNO DO ESTADO DA PARAIBA
Data de Emissao:
SECRETARIA DE ESTADO DA RECEITA
14/01/2026
GERENCIA DE FISCALIZACAO DE MERCADORIA EM TRANSITO
EXTRATO DEMONSTRATIVO DE DOCUMENTOS FISCAIS
DAR: 3048075743
Recolta:
4617 - ICMS - FRETE
Més de Referéncia:
01/2028
IEICNPurcl
123.655,03810002-89
Razio Soci
'SKAL ENGENHARIA INDUSTRIA E COMERCIO LTDA.
Enderego:
AV SAO FRANCISCO, 4000 - EXTREMA - TERESINA
7
‘ETiper.
aro"
imento|
a
Ie
ia
Doitinerit
AROS
)
fe
2526014609128900070056007000000222 1000076860
INFo
222|
871,29)
ER
Eee
oe iNeearaiamunnee
Beebe
Teal
571,20)
“agina 1 det</t>
        </is>
      </c>
      <c r="C39" s="15" t="inlineStr">
        <is>
          <t>NOTAS FISCAIS DE COMPRA JANEIRO 2026.pdf - p. 38</t>
        </is>
      </c>
    </row>
    <row r="40" ht="75" customHeight="1">
      <c r="A40" s="13" t="n">
        <v>39</v>
      </c>
      <c r="B40" s="15" t="inlineStr">
        <is>
          <t>Prefeitura Municipal de Teresina
sie
we
ct
HAR
Secretaria Municipal de Finangas
pee
ey
ie
Bi
Nota Fiscal de Servigos Eletrénica
ee
em
NFSe - Prestador
S2
FT ameaie ae
Eat
‘ettesde pas tr
nobis
DADOS DA NFSe
Data e hora de emiss3o
Competéncis
‘Namero / Série
2101/2028 08:
91/2026
4666 /U
TPDARYZie
Gédlgo de Veritlesgo
EMITENTE PRESTADOR DO SERVIGO
Telofone
(CPF FONPSINIF
Inserlgo Muntclpal
(88) 3228-8790
24,625.077/0001-15
458506-2
Nome / Nome Emprosasial
AUTO SHOP RASTREAMENTO LTDA
SeBuNNo@APoIocoNTABILPL.COM
Munleipto
cEP
Endes
[BVENIDA JOAO XXII 8325 SALA 02 SANTA ISABEL,
TERESINA/PI BRASIL
154053.010
‘TOMADOR DO SERVIGO.
Inserigdo Munleipal
Tolefone
(CPR / CNPSINIF
0803154
(@8) 2107-4700
-23.658,036/0002-89
E-mall
Nome / Nome Empresaria!
financelra.grupokalix@gmallcom
‘SKAL ENGENHARIA INDUSTRIA E COMERCIO LTDA.
Munteipio
cep
Enderego
TERESINA/PIBRASIL
4076-460
[AVENIDA SAO FRANCISCO 4000/D BAIRRO EXTREMA
si
GO PRESTADO
ok Jczo
45200/07-03 - SERVIGOS...
ie:
Se
MAQUINAS E EQUIPAMENTOS, INCLUSIVE MONTAGEM INDUSTRIAL, PRESTADOS AO USUARIO FINAL,
114.08 INSTALACAO E MONTAGEM DE APARELHOS, |
Local da prostasao do servigo
Pals da prestagio do servico
TERESINA/ PI
DESCRIGAO DO SERVIGO PRESTADO
ansaurnane 25/12/2025 - noueTo Ustricano (16 vEtcwion) As 958,40
MENSALIDADE 28/12/2025
‘suisaai ~ Be 59,90
MoxexiraAbE 25/12/2025
Suoaaa3
35 $9590
yeneaLtoaan 25/22/2025
Resac0e
3g 83,90
MENSALIDADE 25/12/2025 - RSYSDOR - 25 59,90
TOTAL: RE 1.290,00
‘DOCUMENTO ElNTIDO POR NE OU EPP OPTANTE PELO SIIPLES NACIONAL
FC NUTAGAO MUNICIPAL
(Municipio da Incidéncia do 1SSQN
‘Responsdvel polo rocothimento do ISSQN
Exigibllidede do ISSON
‘TERESINA -PI
PRESTADOR DO SERVIGO
Exigivel
Regime especlal de tributagao do ISSQN
Retengio da ISSQN
Situagdo do prestador do serviga parante 0 Simples Naclonal
‘Simples Nacional
KO RETIDO
OPTANTE
CALCULO DO ISSQN
Votor do ISSQN (RS)
‘Valor total da NFSe (RS)
Total das dedugdes (RS)
ese, Incondlclonado (RS) Bas0 de célculodoISSQN (RS) Alia. (4)
1.198,00
1.198,00
0,00
0,00
RETENGOES
Outras retengs
(Rs)
IRE (RS)
PIs (RS)
‘COFINS (RS)
ANSS (RS)
SLL ERS)
TSSQN (RS)
0,00
0,00
0,00
0.00
0,00
0,00
0.00
VALOR TOTAL
ese. incondlielonado (RS)
‘Dose. condicionado (RS)
‘Valor Liguldo da NFSo (RS)
‘Base de célcule doISSON (RS)
Rotengées (RS)
090
9,00
41.198,00
41.198,00
0,00
INFORMAGOES COMPLEMENTARES</t>
        </is>
      </c>
      <c r="C40" s="15" t="inlineStr">
        <is>
          <t>NOTAS FISCAIS DE COMPRA JANEIRO 2026.pdf - p. 39</t>
        </is>
      </c>
    </row>
    <row r="41" ht="75" customHeight="1">
      <c r="A41" s="13" t="n">
        <v>40</v>
      </c>
      <c r="B41" s="15" t="inlineStr">
        <is>
          <t>PREFEITURA MUNICIAPAL DE
DANFSe v1.0
CAXIAS
mica
Documento Auxiliar da NFS-e
_fealnenoie@earnems. 90% be
=
‘Chave de Acesso da NFS-¢
Sigs
a
acl
2)030002207352685000184000000000000225122645617305
Rae
ata © Hora da emissio da NFS-o
bee
ae
Ki
5
Numero da NFS-€
Competéncla da NFS-2
ae
ei
2
2411212025
2412/2025 09:36:04
ec
Numero de DPS
Data @ Hora da emisso da DPS
at
3
Sére da pPS
2411 2/2025 09:36:04
Auton desta NFS
Frio date cadign OA
&amp;
:
rear paralnocueal so Ness
z
ITENTE DA NFS-€
‘CNPITOPFTNIE
Tnserigdo Municipal
“Telelone
107.352,685/0001-84
31888
Prestador do Servigo
Nome / Nome Empresarial
E-moll
JUYENCIO REPRESENTACOES LIMITADA
z
Endorogo
Municipio
cep
RODRIGO OTAVIO, 330, TREZIDELA
Caxias ~ MA
5606-050
‘simples Nacional na Data de Competéncia
Regime de Apuraciio Tributéria palo SN
Opiate - Microempresa ou Empresa de Pequeno Porte (ME/EPP)
=
Regime de apuracao dos tributes federais e municipal pelo Simples Nacional
_
Z
“TOMADOR DO SERVIGO
ONPITOPF TNF
Talofene
23.655.038/0002-89
“nscigdo Manica
:
E-mail
Nome / Nome Empresarial
SKAL ENGENHARIA INDUSTRIA E COMERCIO LTDA.
:
Municipio
cer
Teresina - PI
64076-450
a
dia
—_
_—
INTERMEDIARIO DO SERVIGO NAO IDENTIFICADO NANFS-6
—
“SERVIGO PRESTADO
igo de Tributagio Nacional
Local da Prestagao
19,01 - Representacdo de
Cbaigo de Trbutagto Municipal
Caxias - MA
Pais Prostagto
«
{ siquer natureza, inclusive
comercial,
Deser
0
COMISSAO SOBRE VENDAS REFERENTE AO MES DE NOVEMBRO DE 2025.
-
_
—
—
TRIBUTAGRO MUNICIPAL
‘TelbutagBo do ISSON
Pale Resultado da Prostagio do Servico
Municipio de incidéncia do ISON
Regime Espacial de Trbutacéo
Operagao Tributavel
:
Caxias - MA
Nenhum
Tipo de imunidade
Suspansto de Exighitinde do ISSQN
Numero Processo Suspensio
:
Beneticio Municipal
Valor do Servigo
Desconte Incondicionado
Céleulo do BM
RS 12,641.11
-
Total Dodges Redes
3
BC IssaN
Aguota Aplicada
RRetengo do ISSQN
|'SSQN Apurado
Nao Retido
sil
=
=
—
_
=
TRIBUTAGAO FEDERAL
IRE
cp
cst
:
pis
corns
eter do PISICOFINS
TOTAL TRIBUTAGAO FEDERAL
pacts
VALOR TOTAL DA NFS-E
Valor do Servigo
Desconto Condicionado
Desconto Incondicionado
e4t,tt
RS
RS
IS8QN Resde
P.CSLL - Retidos
PISICOFINS Retidos,
Valor Liquide do NFS-¢
RS
é
RS 12.641,11
ee
“TOTAIS APROXIMADOS DOS TRIBUTOS:
Fecerais
Entaduas
Munidpais
INFORMAGOES COMPLEMENTARES
nas: 102010000
eure
&gt;)
One!
it
wa 008
AW
owt
col
MPRA
eM
AN Zoe
— 200</t>
        </is>
      </c>
      <c r="C41" s="15" t="inlineStr">
        <is>
          <t>NOTAS FISCAIS DE COMPRA JANEIRO 2026.pdf - p. 40</t>
        </is>
      </c>
    </row>
    <row r="42" ht="75" customHeight="1">
      <c r="A42" s="13" t="n">
        <v>41</v>
      </c>
      <c r="B42" s="15" t="inlineStr">
        <is>
          <t>DANFE
Ta a
occa
Sone
on
‘conan!
Ronee
It INDUSTRIAL De cIMENTO AroDI
So
Say
oxtsucesso
0- ENTRADA,
i
il
I]
ie
[QUIXERE “ce
HAVE DE ACESSO
[cer asz&gt;0n0-
1-SAIDA
2326 0110 2602 4900 0351 5500 1000 5365 6414 0785 7835
1
Consulta de auiencidade no portal nacional da NF-=
N-OS36SG4— FLT
worw.nfe.fazenda.gov.br/portal ou no site da Sefaz Autorizadora
SERIE 1
SAFOREZA BA FERRER
JPROTOCOLO DE AUTORIZAGRO DESO
VENDA DE PRODUCAO DO ESTABELECIMENTO.
23/01/2026
11:41:22
INSCRIGRO ESTADUAL
SCR EST SUBS. TRIBUTARIO|
Co
1064204839
195320565
10,260,249/0003-51
RATAN o TESTE
RAZAO
ENP err
DATA EMISSAO
SKAL ENGENHARIA INDUSTRIA E COMERCIO LTDA,
[23.655.038/0002-89
__|23/01/2026
DASATDA
ENDEREGO
[BAIRRO/ DISTRITO
(cr
pr
AV SAO FRANCISCO 4000 VD.
EXTREMA
}64076-450
23/01/2026
Fr
iciPio
FORE FAK
ur
NSCRIGRO ESTADUAL
HORA SADA
LTERESINA
PL
1944462%
114i
aru
ORLA
Fa
IRADUPLIC.
ViNGNENTO
VALOR
FATURADUPLIC
VERCENTO
TAL
FATURATDUPLIC
WRCMENTO
VALOR
5365
200272026
17:79030
=
feo
‘DE CALCULO DO ICN
SST
NCOR DONS
[PASE DE CALCUL DOIG ST
OR DOTS:
TTT
‘VALOR TOTAL DOS PRODUTOS
17.790,30
2.13484
0,00
0,00
17,790.30
VALOR DOWRETE
VALOR D0 SEGURO
'VALOR DO BESCONTO
‘OUTRAS DESPESAS
WALORDOT
VALORTOTAL DA NOTA
0,00
0,00
0,00
0,00
o.00 |
17,790.30
rocernaNSronTanoH vOLEMS
FRETEPORCONTA
COIS ANT
PLACA DO VEICULO [UF
co
[ Sonte nezao socia
1 Por cota do desist
PMLAEIO
e
| DESTINATARIO
iemctene
iF
PORICIO
RSCRIGRO ESTADUAL
TREK
SOARS
1
[WRT
ERE
AR
FESOTIOTOO
35.940,00
GRANEL
APODI
35,940,000
35:940,000|
re
r
nT
hic
‘DESCRIGRO PRODUTO SERVIGO
VALOR,
TAL
TERE
VALOR
VaEoR
mm
am
i il halal
UNITARIO
TOTAL
Toss
tors
ca
ews] 11
OT
CINENTO PORTEAND-CFV ART
pe
0
on
a
599
500]
THR
1778030]
a)
Tao} 12.00} 0)
”
cen
y TICKET DE PESAGEM QX B4
0406034
N° Sequencial:
od
Entrada: 23/01/2026 10:22
Ae
Saida:
23/01/2026 11:33
Transportadora: DESTINATARIO,
Placa: PML4F 10
Pesagem Inicial: 21380
kg
Pesagem Final: 57320
kg
Peso Liquido: 35940
kg
e
t
|
LE LI
|
|
|
‘Aceuo SON
NALOR TOTAL DON SERVIOOS
cada
000124
Ms
ae
.
as
0,00
aos Amc
IMFORMACGES COPPER TNR —_ 7
Zz
RESERVABO AO FEC
are: 261592, 241591, 28155, 2158, 21587, 207028. Ne Pal, 484 - Com aly nea | 69926-4901 L
pass
ALMOXARI
Welisor
‘de Paula
LANG:
zi
Almokarifado
RG: 2.958.385,
seinatura
240i)
Powered by © torus</t>
        </is>
      </c>
      <c r="C42" s="15" t="inlineStr">
        <is>
          <t>NOTAS FISCAIS DE COMPRA JANEIRO 2026.pdf - p. 41</t>
        </is>
      </c>
    </row>
    <row r="43" ht="75" customHeight="1">
      <c r="A43" s="13" t="n">
        <v>42</v>
      </c>
      <c r="B43" s="15" t="inlineStr">
        <is>
          <t>wae
aan ae
pocrsumr a
DANFE
lcontra
foes
INDUSTRIAL DE CIMENTO APODI
Sore
ons suces:
0- ENTRADA
il
tM
IMAM
Jeeaxene ce
TEHAVE DE ACESSO
24
cep aszo.000.
1-SAIDA
2326 0110 2602 4900 0351 $500 1000 $363 5712 9249 6120
1N2.0536357
Ll
1
Consulta deaatenteidade no poral nacional da NF-=
_|
SERIE 1
wwrw.nfe.fazenda gov br/portal ou no site da Sefuz Autorizadora
NAFUREZA DR OPERAGRO
[PROTOCOL DE AUTORIZAGAO DESO
VENDA DE PRODUCAO DO ESTABELECIMENTO.
CATER
2101/2026 04:
24
INSCRICRO ESTADUAL
FNSCR EST SUBS,
FARIS
064204839
195320565
10.260.249/0003-51
_
STAR ORSTETE
DATA EMISSKO
NOME RAZAO.
[exo
}22/01/2026
-AL ENGENHARIA INDUSTRIA E COMERCIO LTDA.
123.655.038/0002-89
REGO
BAIRRO/ DISTRITO
co
DTENTRADASAIDS
AV SAO FRANCISCO 4000 VD.
EXTREMA
64076450,
12/01/2026
MUNICIPIO
FONE PAE
uF
NSCRIGAO ESTADUAL
THORS SADA
TERESINA
PL
194446298
=
04:50.
Pareanpunaesta
a
FATURADDUPLIC
VERCENTO
VALOR
TATURADUPLC.
VERCENTO
Vator
FATURATDUPLIC
VRCNENTO
TALE
0536387001
190272026
16005
-
feu
r
[BASE DE CALCULO DO TOMS
"ALOR BOTENS
ASE DECKLCULODOTCNS ST
NEOR DO TONS SUBSTITITO
‘VALOR TOTAL DOS PRODUTOS
18.607,05
2.232,85
0,00
0,00
18,607.05,
VALOR DO FRETE
VALOR DO SEGURO
VALOR DO DESCONTO
‘OUTRAS DISPESAS
ALOR DOT
‘VALOR TOTAL DA NOTA
0,00
0,00
0,00
0,00
0,00
18,607.05,
‘aco aansromranom VOLUN
NOME” RAZAO SOCIAL
FRETEPORCONTA
COBIGO ANT
FPLACA DO VEICULO [UF
co
DESTINATARIO
fremetee
1 Por con do destin
loxk2a09
he
ORICA
1F
RSCRIGRO ESTADUAL
Qn
=
(WANTADE
REE
IARC
OREO
FESOTROTT
FESOTIQUIDT
37.590,00
GRANEL
APODI
37,590,000
37,590,000
05005 HOD
oa
copied.
DESCRIGRO PRODUTO SERVICO
VALOR
VALOR
Beale
VALOR
VALOR
EANESIAN
ina dda
UNITARIO.
TOTAL
ies
reas
TH
S|”
WaT
[SENTOPORTLAND-CPV ART
pssaaie [sor fara fF
TH
ca)
Tea
TROT
TBE]
aat TE] e
|
TICKET DE PESAGEM Qx B4
N° Sequenciat
0405795
\ap
Entrada: 22/01/2026 01:48
Saida
2101/2026 04:46
Transportadora: DESTINATARIO
Placa: QXK2G99
Pesagem Inicial: 20280
kg
Pesagem Final: 57870
kg
Peso Liquido: 37590
kg
a
|
I
!
I
I
AL BOO
[INSCRICRO MUNTCIPAT
VALOR TOTAL BOS SERIOUS
oar
001
.
Lo rR
0,00
oan
7
a
INFORMAQOES CONPLEMENTA
ACRES: 26123328129,
281279 / 281298251284 Ne Ped: 8582 - Conta Delay Menezes Ce: 6 99426-4901 Lae
Es
Oy
ALMOXAI
MEAS,
PLE
Welison
je Paula
Almorfarifado
RG 2hs
v
Tangs 176
Powered by © Torvs</t>
        </is>
      </c>
      <c r="C43" s="15" t="inlineStr">
        <is>
          <t>NOTAS FISCAIS DE COMPRA JANEIRO 2026.pdf - p. 42</t>
        </is>
      </c>
    </row>
    <row r="44" ht="75" customHeight="1">
      <c r="A44" s="13" t="n">
        <v>43</v>
      </c>
      <c r="B44" s="15" t="inlineStr">
        <is>
          <t>Tata eo
ocyammre atau
DANFE
ins
|coMPANHIA INDUSTRIAL DE CIMENTO AFODI
RGEC A
veh
iN
jRoDce S538
0- ENTRADA
“OMA
SHAVE:
"ACESSO
[QUIXERE “CE
NE SUICESSO
4
cer «av20.0.
1-SAIDA
12326 0110 2602 4900 0351 $500 1000 5363 0211 6272 8767
1N1.0536302
ful
1
Consulta de aulentiidade no portal navional da NF-e
SERIE 1
www fazenda, gov.br/portal ou no site da Sef Autorizadora
{ROTOCOLO DE AUTORIZACND DE USO
NATUREZA DA OPERAGAO!
21/01/2026
19:35:57.
VENDA DE PRODUCAO DO ESTABELECIMENTO.
TRICE
INSCRIGAO ESTADUAL
INSCR EST SUBS. THBUTARION
064204839
195320865
10.260.249/0003-51
SoS NORTE
leno
DATA FNISSAO
[NOME RAZAO
[23.655.038/0002-89
21/01/2026
SKAL ENGENHARIA INDUSTRIA E COMERCIO LTDA.
lar
[DT ENTRADASATDA
ENDEREGO
BARRO DITRATO
21/01/2026
SAO FRANCISCO 4000 VD_
EXTREMA.
4076-450
HToRA SAIDA
Mt
no
TORE TFAR
i
TISCRIGAD ESTADUAL
-RESINA
PL
194446298.
19:36
EUXUTCTTS
VENCMENTO
Vato
FATURADUPLIC
VENGMENTO
VALOR
FATURADURLIG
VRCRENTO
Vator
TATURADULIC
(053630201,
1500/2026
ra7u.oo |
i
Fecrarrommr
a
‘VALOR TOTAL DOS PRODUTOS
BASE DE CALCULO DOTERS
ALOR DOTS
EMEDECKICO DOIN ST
VALOR DO TCR SORSTTUTO
18,711.00
2.24532
0,00
0,00
18,711,00
VALDRDO FETE
[VALOR DO SEGURO
‘VALOR DO DESCORTO
‘OUFRAS DESPESAS
VALOR DOT
"VALOR TOTAL BA NOTA
0,00
0,00
0,00
0,00
0,00
18.711,00
‘nrocoaNronTAbOR VOLUN
NOME RAZAO SOCIAL
FRETEFOR CONTA
CODGO ANTE
TATA DOWEICUO [UF
exe
DESTINATARIO
iemetete
Por conta do destin
QXFRESS
G
DERG
RAUNT
iF
NSCRIGRO ESTADUAL
RARE
ROMERO
FESO RTT
FESO LIQUIDS
37.800,00
GRANEL
APODI
37,800,000
37,800,000
0s PuODE
ss
Cope.
DESCRICNO PRODUTO SERVIGO
NCMT SH oT] CROTON
WNT
YALOR
Tato
TEAC
VALOR
VALOR
aniguoTa|
UNTFARIO
TOTAL
ios
ous
i
jews] 11
i
Taree
ERENTO PORTLAND “CPV
saRTG Yoon [ovr |
7m
00
Tera]
Tea]
THs
oo
Tag)
TICKET DE PESAGEM QX B3
N° Sequencial:
0405703
Aapod
Entrada; 21/01/2026 13:58
Saida:
21/01/2026 19:34
Transportadora: DESTINATARIO,
Placa: QXF8F63
Pesagem Inicial:. 19900
kg
Pesagem Final: 57700
kg
Peso Liquido: 37800
kg
|
|
|
im}
|
|
I
.)
TOON
[VALOR TOTAL BOS SERVIOOS
TBASEDE CKICULO DOTS
bio
000120
00]
rere
20]
anos AmIeIONA
[ISFORMACORp CONDLENTEN ARE
7
RESERVADO AO FISCO
[LACES 281334.28117281392-28316 Nr Ped. 49841 - Cotto: Dl Menezes | Cel: 86994264901 Laces:
if
ALMQXAI
Welisort
aula
LANCASIO EM
ido
Almox|
‘.
‘Assinatura
AIO
Foveres by @ Tos</t>
        </is>
      </c>
      <c r="C44" s="15" t="inlineStr">
        <is>
          <t>NOTAS FISCAIS DE COMPRA JANEIRO 2026.pdf - p. 43</t>
        </is>
      </c>
    </row>
    <row r="45" ht="75" customHeight="1">
      <c r="A45" s="13" t="n">
        <v>44</v>
      </c>
      <c r="B45" s="15" t="inlineStr">
        <is>
          <t>er
Taisen
DANFE
(COMPANIIA INDUSTRIAL DE CIMENTO APODE
RONEN
poceamsto wuttste oe
eet
Ropce sa sN
OT
OM sucesso
0- ENTRADA.
FSHAYE DE ACESSO
Dunxenesce
1-SAIDA
|
2326 0110 2602 4900 0351 S500 1000 $361 0810 3512 2447
5
gr car20-000-
0536108
LIT 1
Cans de autenciade no poral nacional da NE=
+
 www.nfe fazenda gov br/portal ow no site da Sefaz Autorizadora
SERIE! 1
NATURRZA DA GPERACKO
IFROTOCOLO DE AUTORIZNGAO DE USO
VENDA DE PRODUCAO DO ESTABELECIMENTO.
20/01/2026
12:50:41
JisscRicRO ESTADUAL
TRSCR EST SURS TRIBUTARIO
Con
064204
195320565
| 10.260.249/0003-51
STIS
ARTE
[NOME RAZAO
ener
[BATA EuAsSAO
SKAL ENGENHARIA INDUSTRIA E COMERCIO LTDA.
123.655.038/0002-89
20/01/2026,
FDEREGO
RRO DISTRITO
cy
DTENTRADASA
AV SAO FRANCISCO 4000 VD.
XTREMA
}64076-450
10/01/2026
MoNicinIO
TONE FAK
fig
INSCRIGRO ESTADUAL
ona sxlbA
‘TERESINA.
PL
194446298
12:50
oewoUruc aT
FATURADUPLIC
VNGRENTO
VALor
FATURADURLIC
VERCENTO
VALOR
NTURADURUC
VENGMENTO
VALOR
053610801
140272026
TRNAS
Foun
TASH DE CALCYLO DOIN
VALOR DOTS
BASE DE CALCULO DO TONS ST
VALOR DO TONS SURSTITUTO
VALOR TOTAL BOS PRODUTOS
18.814,95,
2.251,19
0,00
0,00
18,814.95
TOR DORE
VALORDO SEGURO
VALOR DO DISCONTO
[ouTRaS BESSA
TATOR DOTA
VALOR TOTAL DA NOTA.
0,00
0,00
0,00
0,00
0,00
18,814.95
n.oco HARSPONTADOR VOLS
NOME RAZAO SOCIAL
FRETE PORCONTA
Popa ATT
ACA DO VEICULO [UF
com
DESTINATARIO
(Poe cmt do destin
"aDISIIS
N
iemsone
INTC
uF
IRSCUCRO ESTADUAL
iDERECO
a
ANTIOADE
SPECIE
ARCA
NINERS
FESO BRUTO
PESOTIQUBG
GRANEL.
APODL
J
38.010,000
38.010,000
[38,010.00
Ons HANG
ps
"cob
DISCRICRO PRODITO TSERVICO
NCMTSHCST]ECRORTUN] QUANT
7
‘oR
VALOR
BEALE
VALOR
ALOR
ATQTOTN
UNITARIO
YoraL
tos
reas
cH
ews] mt
Toran
[EINENTORORTLAND-CFV ART
IasT@ fso0 faior |r
coy
ip
TI
7H
73
Baal Ta}
es
|
010022
[CINENTOFORTLAND-CPV ARI
bsavasta [son fein |r
&gt;a
500
issines]
181000
asia
‘al
vaael
0
|
TICKET DE PESAGEM OX B3
0405485,
N- Sequencial:
r
Entrada: 20/01/2026 08:59
Neo
Saida:
20/01/2026 12:35
‘Transportadora: DESTINATARIO,
Placa: BDJ9J15
Pesagem Inicial: 20160
kg
Pesagem Final: 58170
kg
Peso Liquido: 38010
kg
J
I
i
i
l
i
i
1
i
O
Tapo ISON
=
[ |SCRIGRO MUNTCPAT
[TRCOR TOTAL DOS SERVIGOS
HASE DE CALCTLO DO SOR
[NALOR DOTS
000120
ooo]
0,00
.
ane ACTON
TNFORMACDGS CONPEEVENTARES 7
f
7
RESTRVADO NOFISCO
{ACRES 24493, 28195, 28180, 21821290490 Nr Ped. :813479- Cm: Delay Menees| Ce 4 99426-4901 Lats
ALMQX.
A
Welisoitfd:
Paula
LANCAGO EI
EOI
Al
*
ado
ssinatura
N71 O8 126
Powered by © Torus</t>
        </is>
      </c>
      <c r="C45" s="15" t="inlineStr">
        <is>
          <t>NOTAS FISCAIS DE COMPRA JANEIRO 2026.pdf - p. 44</t>
        </is>
      </c>
    </row>
    <row r="46" ht="75" customHeight="1">
      <c r="A46" s="13" t="n">
        <v>45</v>
      </c>
      <c r="B46" s="15" t="inlineStr">
        <is>
          <t>™
ae
gocintenTo arian
DANFE_
compan 1NAUSTRE:L. DE CIMENTO APODL
SORE AGEL
jropet syns
|
IN
HN |
|
IL
(&gt; founent ce
gow suCESSO
0- ENTRADA
AVEDE ACESSO
oy
cer ome.
1-SAIDA
2326 0110 2602 4900 0351 5500 1000 $359 5412 2467 7316
2
ot
if
i
29535954
Al
1
Consults de auieniidade no poral nacional da NF
SERIE 1
www ne Fazenda gov.briporta ou no site da Sefaz Autorizadora
[PROTOCOLO DE NUTORIZACAO DE USO
NATUREZR DA OPERAGKO
VENDA DE PRODUCAO DO ESTABELECIMENTO.
TNPIT CRF
19/01/2026 00:51:08
INSCRICNO ESTADUAL
TNSCR EST. SUBS. TOBOTARIO)
064204839
19832056:
10,260.249/0003-51
Sia Hai oETENTE
[enn crr
DATA EMISSAO
NOME RAZAO,
19/01/2026
SKAL ENGENHARIA INDUSTRIA E COMERCIO LTDA.
23.655.038/0002-89
DEENTRADASAIDA
ENDERECO
BAIRROT DISTRITO
cor
AY.
AO FRANCISCO 4000 VD.
EXTREMA
6076-450
19/01/2026
MUNICIRO
TONED FA
iF
NSCRIGAO ESTADUAL
HORA SAIDA
TERESINA,
PL
194446298
00:51
FarauoerCaTE
FATURADUPLIC
VCMT
VALOR
FATORATDURLIC
WENCREENTO
VALOR
FATURADUPLC
VERCHINTO
ALOR
053595901
10272026
1621.90
Fact
BASE DE CALCULO DO TENS
VALOR DO TOS
ASE DECATCULODOTONS ST
VALOR DO TOMS SURSTITUTO
VALOR TOTAL DOS PRODUTOS
18,621,90
2.234,63
0,00
0,00
18,621.90
VALOR DO FREE
VALOR DO SEGURO
‘VALOR Do DESCONTO
‘OUTRAS DISPESAS
VALORDOTT
‘VALORTOTAL DA NOTA
0.00
0,00
0,00
=
0,00
0,00
18,621,90
"co TaanaronTanon! VOLS
NOME RAZAO SOCIAL
TRETETORCONTA
CONGO ANTE
PLACA DO VEICTIO uF
enti
DESTINATARIO
bivenseate
1
or cota do desist
[BDPAFOS
le
TRDEREGO
ONICIRIO
iF
RSCRIGROESTADIAL
RCE
IARC
SOMFRT
FESOURTT
FOTOS
[37,620.00
GRANEL
APODI
31.6;
37,620,000
0s pos FRO
=
copico
‘DESCRIEAO PRODUTO SERVIC
TALE
vaio ATCT
Tae
VALOR
TanaN
ina i ia id il
UNITARIO
TOTA,
ies
ross
m1
st
[|
aT
CMENTOPORTIAND-OF
ART
sae
on
Fr
a
or
Ta) 0.0
~\
apoci
4 TICKET DE PESAGEM QX
N&gt; Sequencial:
0405301
Entrad:
18/01/2026 23:21
Saida:
49/01/2026 00:49
Transportadora: DESTINATARIO
Placa: BDP6FOS
kg
Pesagem Inicial: 19920
Pesagem Final: 57540
kg
Peso Liquido: 37620
kg
|
[11]
|
|
@xu=
INSCRICRO MUNICIPAL
[VRC TOTAT BOS SENTOOS
BASEDE CALCULODOSON
000120
0,00
r
ase
0,00
‘bos CIO
MORMACOLACOMP ENTRIES 7
RESERVED NOFISCO
[EACRES: 290076 20a  2R44D 280603; Nr Peis. #3899 - Ct: Delany Meets | Cee 8H AIO Lave:
\
Weliso}
‘de Paula
ALMOXARIFADS
Almdxarifaklo
LANCAQD EM:
40°
958.381
(ssinatura
LON 1126
Powered by tows</t>
        </is>
      </c>
      <c r="C46" s="15" t="inlineStr">
        <is>
          <t>NOTAS FISCAIS DE COMPRA JANEIRO 2026.pdf - p. 45</t>
        </is>
      </c>
    </row>
    <row r="47" ht="75" customHeight="1">
      <c r="A47" s="13" t="n">
        <v>46</v>
      </c>
      <c r="B47" s="15" t="inlineStr">
        <is>
          <t>2 a
-
os
~
To aT
ocenmmero stain 06
DANFE
| COMPANHIA INDUSTRIAL DE-CIMENTO APODI
Rofktisea thar
eek
"
q
omsucesso
Roce se.ah
MA
iM
Mt
[QuixeRE= ce
(0- ENTRADA.
Ichave DE ACESSO
@B
cer sovz0000.
1-SAIDA
2326 0110 2602 4900 03S1 $500 1000 $385 0917 2804 4239
70835509
Ry
[Consuls de atenisdads no poral national da NF-e
SERIE 1
worw.nfe.fazenda gov. briportal ou no site da Sefaz Autorizadors
x
PROTOCOLO DE NUTORTENCRO DESO
NATUREZN DA OPERAGIO!
VENDA DE PRODUGAO DO ESTABELECIMENTO.
14/01/2026
14:10:19
INSCRIGAOESTADUAT
TRSCR EST. SUBS. TRIBUTARIO
CRPITER
1064204839
195320565
10.260.249/0003-51
Beans.
mee
NOME RAZAO
ENPIT CP
DATA EMISSAO
SKAL ENGENHARIA INDUSTRIA E COMERCIO LTDA.
23.655.038/0002-89
4/01/2026
ENDEREGO
TBAIRRO DISTRITO
cP
[DTENTRADASATDA
AV SAO FRANCISCO 4000 VD.
EXTREMA
64076-450,
14/01/2026,
MUNICIPIO
FOREFAR
UF
NSCRIGRO ESTADUAT
HORA SAIDA
TERESINA
PI
194446298.
AvtRNDLRLICATE
FATURADUPLIC.
VENCENTO
VALOR
FATURADORUC
VeRCINENTO
VALOR
FATURADURLIC
VENCHENTO
Vator
0535509901
022026
18.8997
eR
TASE DE CALCULODO TONS
ATOR DONS
BASE DECALCULODOTOSST
“ALOR DO TOMS SURSTITOTO
‘VALOR TOTAL DOS PRODUTOS
18.839,70
2.260,76
0,00
0,00
18.839,70
VACORDOFRETE
VALOR DO SEGURO
"VALOR BO BESCONTE
‘GUTRAS DESPESAS
TACOR DOT
"VACOR TOTAL BA NOTA
0,00
0,00
0,00
0,00
0,00
18,839,70
"L060 TRANSFORTADOR/ VOLUMES
NOME RAZAO SOCIAL
FRETEPOR CONTA
(CODIOOANTT
PLACA DOVETCULO [UF
on
DESTINATARIO
1 Por conta do destin
oxK2G99
iG
vemcinte
TRDERECO
ROCIO
ae
NSCRIGRO ESTADUAL
NARCR
NENERE
FSO BRITS
FESOTIQUBT
(/38.060,00_|GRANEL
APODI
38,060,000
38,060,000
bos 00s PROTOS
rm
cODIGO
‘DESCRICRO PRODUTO SERVICO
NMS] CST [CFO ON
GANT
VALOR
VALOR
Erenrs
Talore
VALOR [AUGUOTE
UNITARIO
Yorat
ions
TENS
”
Tews | IP
TORE
[CIMENTOPORTEAND-CPV ART
75]
500
Bah
mT
=
TaR| aan] a
a
-
ll al
oO
i
‘orem
[CIMENTO PORTLAND-CPV ARI
fszsa0 {son [ator
a
a0
9500
ato]
sia]
2astas)
‘n] 1200] 00
TICKET DE PESAGEM QX B4
N° Sequencial:
0404789
14/01/2026 12:02
Napodi
Entrada:
Saida:
14/01/2026 14:02
Transportadora: DESTINATARIO
Placa; QXK2G99
kg
Pesagem Inicial: 20300
Pesagem Final: 58360
kg
Peso Liquido: 38060
kg
L
L
I
L
i
L
Qazz=.
[VALOR TOTAL DOS SERVICOS
SEDECHICULODOTRON
RALORDORSON
ee
000124
0,00
0,00
bos spice
"NFORMACO GS COMPLEERTARE
eA
RESERVADO AOFISCO
Laer 29018, 250118, 250702, 25081, 250044 Ne Pdi, 8388
ott: Dany Meese Ce 8699264901 Lars
|
Welisonfde
aula
ALMOXARIFADS
Almo4arifado:
|
LANCADO 5M.
RG: 2.958.385
‘Asginatura
JSx/ or les
Powered by © toTvs</t>
        </is>
      </c>
      <c r="C47" s="15" t="inlineStr">
        <is>
          <t>NOTAS FISCAIS DE COMPRA JANEIRO 2026.pdf - p. 46</t>
        </is>
      </c>
    </row>
    <row r="48" ht="75" customHeight="1">
      <c r="A48" s="13" t="n">
        <v>47</v>
      </c>
      <c r="B48" s="15" t="inlineStr">
        <is>
          <t>‘DECLARG GUE RECESI OS VOLUMES DESTE CONNEGINENTO EN FERFEITO ESTADO PELO QUE DOU POR GUNBRIGO 6 PRESENTE CONTRATO DE TRANSPORTE
cy
TERMI PRESTNGAO: BATA
]
CTE
jo vccumento 438
TES DEPREETIGI ONTATHONA
scanaruna/ cane
[cme
=
DAGTE
MODAL
PAGHA
rm
DDOCUMENTO ALXILIAR 00 CONHECIMENTODE TRANSPORTE ELETRONICO
RODOVIARIO
F GINTELIGENCIA EM LOGISTICA LIDA
‘CTE GLOBALIZADD
nko
SIT CACIMIBA FUNDA Sew nimero
TS
MARJOLANDIA 6240.70
0.90 CTE
NORMAL
,
Ts sportes suscani-ce
TIPO 00 SERVIC
(CN P:42.700.147)0008.77 1072061072
NORMAL
tal
RNTRC:S4216089 TELEFON
8) 99917068
tae
TIGIO DA PRESTAGHO
DATAE HORA DE ENISSAO
ce
231504 OUINERE
we a] niall
ENgUaeN SEO GMT-OA
| ene
TTERHINO DA PRESTAGAO
fe
Conta art wud Tazenda gov bipORaT
i.
ica,
RESIN
——
PROTOOGLO DE AUTORUAGKODE US
a2 260000519646
{1001/26 1:51:85 GTT-00
‘i MO
IV
2926,0142,7097 47000377 5700, 1000,004.3410 600.0008
‘GFOP- RATUREZA DA PRESTAGHO
6354-PRESIACAO DE SERVICO DE TRANSPORTE A ESTARELECIMIENTO COMERCL
co
‘5 © CONPANIIA INDUSTRIAL BE CIMENTO APODT
TBESTRATARO: SEAL ENGENHARIA INDUSTRIA E COMERCIOLIDS
ew
0
ROD CE3S6-SN-DOMSUCESSO
escerco
AVSADERANCISCO 200)
‘O-EXTREMA
a
ro
une
cer aro
mace,
TERESINA,
cer: ous
oot
=
\
50249005 1
ECRCAOESTHOUAL OBO
erence
2s
wen
vnscfocAoestaDUAL: jo44i008
ue:
sd
a
PAS BRASIL
foe
en
Pals: BRASIL
rote: tonmo
co
co
coo
exo
e
exceneco
ve
om
wuworo
ce
eo
en
.
lexeacee
compa esTOUAL
InseragAo ESTADUAL
ur
is
rove
lr
as
rove
rea
{RDS SERUO” SEAL ENGENHARIA NDUSTRIA ECOMERGIO TDN
wNERe
TERESINA
a aor
Exoens
AV SAO FRANCISCO 4
1D PNTHEMA
em
Pus sit
ene
asassennoonr 9
E
NSCRIGAO ESTADUAL 188
FONE: cover
jeire
co
Fribownance
[ours CARACTERSTOAT OA CAG
[ton TTA BAERGA
Jom § &gt;PORTLAND CPV ARE
i
ks 1.70.90
PSO BRITO
TRADE
TISOTIQUDS
ov re
cerry
3.000
7s 9100ee
orn
ka
KG
UNIDADE
[erm
‘CONPONENTES DO VALOR DA PRESTACHO OE SERVICO
nor
ALOR NONE
VALOR]NOME
VALORIVALOR TOTAL DO SEAVICO
Freeren
sia]
Fee vas
00
lest isiso
(VALOR AREGEBER
Tenadee
‘0
os
00
sti
:
THFORWATOES RELATIVAS AO IMPOSTO:
o
SIFICAGAO TRIBUTARIA DO GERVICO
BASE DE CALCULO
ALG. en
VALOR TENS
TERED BG.
[veer
or
sash artes nal 4s ONS
histay
i240
Ties
low
ws
woe,
I
“SRG ENTE
Ea
i BOGIES
Ts cvs
0260210000 5T
Sas
P60 1626026000006 SDD ODLEDENEATADTOOTEDS
oa
RESO DO FLDKO OA EARGR
[SF GSR ATR RRR TOR
Ta
ORS NOR CRP SG TSTERRGRTS OE PASAT
ba
[53 SSS CART STETKORERGROATS TE BEETS
LE
ear
ies
z
a
Se weeTTOD,
| 3
posinature
USO EXCLUSWO BO ENISGOR DO CTE
ESE
TOD RO FISGS
=
RAT RDS HTT
Welisoy
de Paula
Im
arifado
RG
2.958.385
2416
Olt 26</t>
        </is>
      </c>
      <c r="C48" s="15" t="inlineStr">
        <is>
          <t>NOTAS FISCAIS DE COMPRA JANEIRO 2026.pdf - p. 47</t>
        </is>
      </c>
    </row>
    <row r="49" ht="75" customHeight="1">
      <c r="A49" s="13" t="n">
        <v>48</v>
      </c>
      <c r="B49" s="15" t="inlineStr">
        <is>
          <t>_
-
es
‘DECLARO GUE RECEBIOS VOLUMES DESTE CONHECIMENTO EM PERFEITO ESTADO PELO QUE 00U POR CUNPRIOO O PRESENTE CONTRATO DE TRANSPORTE
TERUBO OM PRESTAGAD. DATAT HORA
CTE
Inno oacuMENTO 488
"WO OE PRESTAGAO™ DATA
see
Assn e9seu80
‘DACTE
MODAL
PAGINA
im
[DOCUMENTO AUXILIAR DO CONHECIMENTO DE TRANSPORTE ELETRONICO
ODOVIARIU
FG INTELIGENCIA EM LOGISTICA LTDA
‘CTE GLOBALIZADD
tao
SIT. CACIMBA FUNDA Sem ssimero
Opes
MARJOLANDIA 62800-970
HPO DO CTE
NORMAL
3
ISPOrteS ARACATI.CE
(CNPJ:42.700:787/0003.77 1072061073
HPO DO SERVES
ut
NORMAL
RNTRC:54216009 TELEFONE:(B) 99917-0068
THCIO DA PRESTAGAO
i
ri
‘MOBELO] SERIE | NUMERO
‘DATA HORA DE EWSEAO
Se SOTA
CE 231159 -QUINERE
2204726 0659.01 GH. 02.00
Lit
St
1
433
TTERWINO DA PRESTAGAD
“Conaulla em www ete Tazenda gov br/paral
et sono TERESINA
‘PROTOCOLO DE AUTORIZAGAD DE USO
_s23260008842608
22/01/2006 07:
25 GMT-03:00
TAMU
Nl
AIM
‘CFOP -WATUREZA DA PRESTAGAD
226.0142, 7007, 8700.0371.5700.100.0004:3310.0000,0001
33
PRESTACAO DE SERVICO DE TRANSPORTE A ESTABELECIMENTO COMERCL
NETENTE
‘COMPANHIA INDUSTRIAL DE CIMENTO AOD
[SESTmATAR. SEAL ENGENHARIA INDUSTRIA E COMERCIO LTDA.
AVSAO FRANCISCO 4000 -VD - EXTREMA,
pnoence:
RODCE 36,-9N-BOMSUCESSO
enoemco
suc
(QUIKERE
cx samo.
rece
TERESINA
cer
wre s0
ewryerr
low scer
isssoawoane
esciagAO ESTADUAL: 194448206
oz 2490008 51
WscreCAO ESTADUAL: G6120180
ur ce
Pai: BRASIL,
roe
lure
PAIS: BRASIL
FONE ot000
[aeceneom
coos
enoereco:
enceneco-
cer
pecira
cr
save:
oa
escraghe esrAnu:
lewencor
semgho esvaDun
oats.
Foxe
oe
rome
*
a
vo, SAL
inna
SDUNTRIA E COMEASIOL
RG,
Te
co
enoereco:
AVSAO FRANCISCO. 4000-VD EXTREMA
UF PLAS: BRASIL
enna
sss.ooa0ane
NSCRIGAD ESTADUAL 194146298
Fone: onom0
PaonuT0 PREDOHmATE
[ouTRAs CARACTERETICNS DA CARA
[eae Tora na MeREADOR
(CDAENTO PORTLAND - CPV ARI
les v8.05
PESO RRUTO
ESO OUD
T
TRIDADES
‘ouroane
"750.000
10.000
[7500 00
ARCA
Ke
1
Ke
|
UNTHANE
L
‘COMPONENTES DO VALOR DA PRESTAGKO DE SERVICO
OnE
VALOR |NOWE
YVALOR]NOME
‘VALOR VALOR TOTAL BO SERVIC
Frey
sszs0)
es 1.52.90
Freer
‘00
Tana decolea
‘00
VALOR A RECEBER
0
es 1.55200
rede ras
THFORMAGOES RELATVAS KO MIPOSTO
[ELASSIFIGAGKO TRIBUTARIA DO SERVIGO
[BASE DE CALCULO
[RIOGNS
Twxconicus
Tw cREDTO
nese
hizo
ee
TE
Joo
| 00 resco set stag mma do IMS
t
TRDOE
I
ERT BENE
SERET IO DOCUMENT
Tec
70.260 248000251
DOT GDESIST
2326011026024900035 55001 000S3SSSTOSEGOTEO
oO
as
Be:
#
igs
m
he
he
wv
PRE WERO OO FLURO BA CARA,
ROT CODES TOR FAR RTORS ARREARS OCT
“HECK BICOGR Ux FEAL ORS TAG AOATHORTO UE POSTER
ROTTER
RS
CRS
=
[aNTIOSE
ALMOXA
LANCAQO
aie
ae ee
ASCH SBRTES
Femara
id
{VSO EXGLUSIVO DO EMISSOR DO CTE
RESERVADOAD FISCO
ais pms fear een a aE a
Welisony
ie Paula
Alma: arifado
58.385,
a vaio
&amp;
L</t>
        </is>
      </c>
      <c r="C49" s="15" t="inlineStr">
        <is>
          <t>NOTAS FISCAIS DE COMPRA JANEIRO 2026.pdf - p. 48</t>
        </is>
      </c>
    </row>
    <row r="50" ht="75" customHeight="1">
      <c r="A50" s="13" t="n">
        <v>49</v>
      </c>
      <c r="B50" s="15" t="inlineStr">
        <is>
          <t>TECLARO QUE REGEBI O5 VOLUNES DESTE CONNECIMENTO EM PERFEITO ESTADO PELO GUE DOU POR GUNBRIDO 0 PRESENTE CONTRATO DE TRANSPORTE,
co
TERND A PRESTAGAO-OATAT HORA
CTE
Inno. oocwenro 431
TRIES BE PRETAGEO” OTA
ssamaruna Carmo
sera
DACTE
PRGA,
T
RODOVIARIO.
{UMENTO AUXILIAR D0 CONHECIMENTO DE TRANSPORTE ELETRONICO
FG INTELIGENCIA EM LOGISTICA LTDA
‘CTE GLOBALIZADO
Mo
SIT CACIMBA FUNDA Sem nimero
TRO00 CTE
FS
MARJOLANDIA 62800970
NORMAL
3
Transportes aracati-ce
TIPO 00 SERVES
(CNPH:42.709.7871003-77 TE:072061073,
NORMAL
Lai
RNTRC:
ries
216099 TELEFONE:(84) 99917-9068
TNIGIO DA PRESTAGKO
(MODELO] SERIE] NOMERO
TDATAE HORA DE EMSSAO
TSS SUFRAWA
(Ch 7311504- QUIXERE
37
L
431
2101/2026 203038 GwT-000,
TERNINO OR PRESTAGAO
‘Congulla em ww. cle fazenda. gov br/portal
221100 - TERESINA
'PROTOGOLO DE AUTORIZAGKO DE USO
_s2zzso00nes7041
2/9106 2:
Gwr-a3:00
HI
CO
IN
‘GFOP - NATUREZADA PRESTAGAO
£2326,0142.7097.8700,0377 57001000.0004.3110.0000.0007
(53 PRESTACAO DE: SERVICO DE-TRANSPORTE A ESTABELECIMENTO CONERC!
ne TENTE
COMPANHIA INDUSTRIAL DE CRMENTO AFOOT
[BESTNATANO” SKAL ENGENHARIA INDUSTRIA E COMERCIOLTDA.
lenoereco:
ROD CE 33, SN BOM SUCESSO
exoeneco.
[AV 8AO FRANCISCO -4000- VD - EXTREMA
ce uress0
uwcr0
quoare
cap. cmec0
cP.
TERESINA
lcweucer
102402490003-51
INSCRCAD ESTADUAL (620489
weer
234s.3so00-89
InscmGAO ESTADUAL: 19446298
FONE 00000
lun ce
Pals: BRASIL
Fone
ue
PA: BRASIL
[EreDooR
recencnon
xen
wc
Inscagho ESTADUAL
exeucrr:
Inscapto ESTADUAL
e
Pas
Fone:
ie
Pa
FFounboR 50 seRvGO” SKAL ENGENIIARIA INDUSTRIA E COMERCIOLTDA.
NGO
TERESINA
wee
J@AOEREGO: AV SAO FRANCISCO. 4000. VD- EXTREMA
wen
PA: BRASIL
Jowycer _26ssaskon02 89
NSCRGHO ESTADUAL 19446298
Fone: one
[proouTo PREDOMNANTE
[ouTRas CARACTERISTERSOA CARGA
[ram Tova oa weREADORIN
[CIMENTO PORTLAND CPV ARI
ns ert,00
FESO RETO
FESOLIOUIDO
TRIDADES
cunrosce
"7.809000
S700
37.3000 |
ARCA
KG
KG
UNIDADE
‘COMPONENTES 00 VALOR DA PRESTAGRO DE SERVIGO.
INOWE
VALOR NONE
‘VALOR]NOME
‘VALOR VALOR TOTAL D0 SERVIGO
unison
Pre pe
asia. 7ig00
Fe alr
90
ALORA RECEBER
rand coat
00
Tan d es
asin. 7ig00
THFORMAGOES RELATIVAS AO IMPOSTO
faASe DE CHUL
TAG ows
VALOR IGN
ERED. BC
V-cREDTO
[CLASSIFICNGKO TABUTARIA DO SERVICO
ot  Prsugto nets 4 gio normal CMS
7490
1200
1406.6
|
love
0.00
Toe
‘SAPO ENTE
BERETS DOSIMENTO
I
Tsai
yo280.2«a0005-51
TOOT
22601 1026024600095 15500 OOOSBORIETTEATIBTET
‘REah0 D0 FLUKO BA CARGA
SG OI COOG WT OR IN PORTORSTICIORERGPORTO DE CHGN | BIO
5ST. OX FURL PORTOES ACH OTERGPORTO DE PISCE
Prarare
ISSTRT OR RIPORT ORS AGT SHEROPTRTS OE TESTS
aeRO
[Rac
ALMOXARIFADQ.
EANCADO EME SOS, TRFDRBIAG IDO CTE GLOBATEADS
ER SaRTTUS
ai
Tatar
US0/EXCLUSNO D0 EMISSORDO CTE
RESERVADO AQISCO_
[Oras romans hsm ie ome crn SVG
Welisop de
aut
Aimdxarifado
RG:
958.
a5
wZLIOS 1 26</t>
        </is>
      </c>
      <c r="C50" s="15" t="inlineStr">
        <is>
          <t>NOTAS FISCAIS DE COMPRA JANEIRO 2026.pdf - p. 49</t>
        </is>
      </c>
    </row>
    <row r="51" ht="75" customHeight="1">
      <c r="A51" s="13" t="n">
        <v>50</v>
      </c>
      <c r="B51" s="15" t="inlineStr">
        <is>
          <t>‘DECLARO GUE RELEBI OS VOLUNES DESTE CONHECINENTO EM PERFEITO ESTADO PELO GUE DOU POR GUNPAIDO O PRESENTE CONTRATO DE TRANSPORTE
on
"ERMUNO OK FRESTAGHD. OATAT FORA
CTE
leo. docuenro 436
TNO BE PRESTAGAD. OMTAIWORA
ASSMATURA cana
seme
‘MODAL
‘DACTE
PAGNA 11
DOCUMENTO AUXLIAR DO CONHECIMENTO DE TRANSPORTE ELETRONIGO
RODOVIARIO
FG INTELIGENCIA EM LOGISTICA LTDA,
TTE GLOBALIZADO
NAO.
SIT CACIMBA FUNDA Sem nimnero
Oi
MARJOLANDIA 62800.970,
TIPO DO CTE
om
5S
NORMAL
Naat
Pa
Transportes aracamt-ce
(€NPS:42.709.787/0003-77 TE-072061073
iPS 00 SERVIGO
Le
Fara?
Lay
RNTRC:S1216099 TELEFONE:(84) 99917-0068
Fiat
/MODELO] SERIE] NONERO
DATA E HORA DE EMSSAO
TSC SUFRANA
(CE 2111504-QUERE
ie
fi
1
426
2091/2026 161241 GMT-O50
| TERIMINO DA PRESTACAO
Coriulia em www. cle fazonda.gov.briporal
PL 221100 TERESINA
'PROTOOOLO DE AUTORIEAGRO DE USO
23290007988489
2001/2026 14:14:07 GM-03:00
TOMY EA A
‘GFOP - NATUREZADA PRESTAGAO
126.0142.7097.5700.0377.5700.1000.0004.2610.0000.0007
£653 PRESTACAO DE SERVICO DE TRANSPORTE { ESTABELECIMENTO COMERCE
[RENETENTE) COMPANHIA INDUSTRIAL DE CIMENTO APODI
[BESTNATAR: SKAL ENGENHARIA INDUSTRIA F COMERCIO LTDA,
a
RODCE 356 -SN - BON SUCESSO
|enoeREgo:
AY SAO FRANCISCO $000 /D-EXTREMA
ferret
‘qUnERE
cer. commen
‘ww
TERESINA
om ta
ener
0 2492490008-51
INSCIGAD ESTADUAL: 0608839
lexeucer:
2assgones9
INSCRCAOESTADUAL 1829
lor ce
Pal: BRAS.
rove:
lve
PA‘. BRASIL
FONE como00
_
BeEDOOR
raceneooR
eweneco
enero:
10:
ear
cer
trey A Ee ALA
wer
eA eS ALU
bs
Pai:
Fone:
ue
pais
rove.
oS
TERESINA
Brea
[FousboR 50 9ERUGO. SKAL ENGERTARIA INDUSTRIA E COMERCTO LTDA
ENDEREGS: AV SAO FRANCISCO 4400-\YD- EXTREMA
vem
PAs: BRASIL
exeucer
455038002 99
DMSCRIGAO ESTADUAL 194446204
Foe oom
PReoUTe PREDOUIUNTE
[raion Fora aA ERAGON
MENTO PORTLAND -CPV ARI
Jasianisos
feeonrareeece
_
PESO mRLTO
Beso LIQUIDS
T
a
nee
ounsrone
“e010 0000
‘01,000
Roto 000 |
xo
xo
UNIDADE
‘COMPONENTES DO VALOR DA PRESTAGKO.OE
VALOR NONE
‘VALOR]NOME
VALOR |VALOR TOTAL BO SERVIGO
Fewe peso
aurea]
est. 783.0
Froevale
00
VALOR A RECEBER
rand een
|
ree
nan
si
0
TNFORMAGOES RELATIVAS AO TMPOSTO.
BASE DE CALCULO
race Tos
VALOR TENS
RED. BE,
W.cREDTO
|
(GLASSIFICAGKO TRIBUTARIA DO SERVIOO
on Prego mye 3 easio egal CMS
176.10
[i200
Laas
ooo
Jaoa
TO.
L
Senor BT
SR nn BOCES
10260 249000351
OTTaOOESETD
"252601 020024800095 1D OOOEIAORTOGSTONAT
Tre ane
®
‘FREWEKO BO FUURODA CARON
IG OU G56 WOR FLALEORTORESAGASTEROFORTO BE OREM
'StK OUG5HGO WT OR FAL PORTOESTAGANEROPORTO DE BHSEKGEN
-
SOT ESSS HT OR FR PORT ORS ISTE PORTO BE TNS
_
SaSEAGES
[ALEXANDRE
ALMOXARIFADQ-
TANCAGO EM 1S
GIS STE EST
STE
rat
USO EXGLUSIVG DO EMIGSOR D0 CTE
RESERVADO AG FIgCO.
Cor er
Wel
soft de Paula
Aim
xarifado.
RG
85
Al Of:
J</t>
        </is>
      </c>
      <c r="C51" s="15" t="inlineStr">
        <is>
          <t>NOTAS FISCAIS DE COMPRA JANEIRO 2026.pdf - p. 50</t>
        </is>
      </c>
    </row>
    <row r="52" ht="75" customHeight="1">
      <c r="A52" s="13" t="n">
        <v>51</v>
      </c>
      <c r="B52" s="15" t="inlineStr">
        <is>
          <t>DECLARO GUE RECEDI OS VOLUMES DESTE CONNECNENTO El PERFEITO ESTADO PELO GUE DOU POR CUMIPRIDO O PRESENTE CONTRATO DE TRANSPORTE
owe
:
:
TERVANO OR PRESTAGKO- ORTAT HORE
CTE
"
&gt;
Wwxo oocuvenro 424
Rs
TRI OE FRESTAGHO_ ONTATHORA
ASSMATURA CARMA
see
DACTE
MODAL
PAGNA 11
[DOCUMENTO AUXILIAR DO CONHECIMENTO DE TRANSPORTE ELETRONICO
RODOVIARIO
FG INTELIGENCIA EM LOGISTICA LTDA,
TE GLOBALIZADO
NAO
SIT. CACIMBA FUNDA Sem némero
Bay:
alm]
MARJOLANDIA 62800.870
TIPODO CTE
Pus
ay
NORMAL
Transportes RAcatt-cE
a:
nls
TIPO 0 SERVIGO
nay
is
CCNPJ:42.708.787/0008.77 16:072061073,
NORMAL
*
RNTRC:54216099 TELEFONE:(64) 99917-0068
Ma
THICIO DA PRESTAGRO
IMODELO] SERIE] NUMERO
DATA HORA DE EMISSAO
HSC, SUFRIANA
(CE 2311504 QUIXERE
ey
st
pvang6082857 GN «00
L
a2.
TERWINO DA PRESTAGAD
Consulta em winw.ctefazonda. gov be/parial
1221101 TERESINA
PROTOCOLO DE AUTORIAGAO DE USO
s2x200007294116
19/01/2026 06:29:07 GMT-03:00
TA
l
l
I
l
I
‘CFOP WATUREZA DR PRESTAGAO
226,0142,7007.4700,9377.5700.1000,0004.2110,0000,0000
{6089 -PRESTACAO DE SERVICO DE TRANSPORTE A ESTABELECIMENTO COMERCI
Rane TenTe COMPANHIA INDUSTRIAL DE CINENTO APODI
[BESTnarARS: SKAL ENGENHARIA INDUSTRIA E COMERCIO LTDA.
enocneco:
ROD E366, SIN BOM SUCESSO
enocre¢o
[AVSSAO FRANCISCO -4000-VD- EXTREMA
uni
‘quiere
cee s2020.000
mwcie
TERESINA
com onT6-450
exacer
10202190003:51
IScreGAO ESTADUAL: UHZOHO99
lewacer
2534550980002 69
rage ESTADUAL: 104446208
ur ce
PAIS: BRASIL
fone
tn
PAIS: BRASIL,
owe wonn00
reDIoR
raeceBrDOR
enoeneco-
enoeReco-
vino
cer
mawcire
oor
°
INscRGAo ESTADUAL:
Jeweveor
Iscrigdo ESTADUAL
»:
pas:
Fone.
ur
Pas
Foxe:
TOMADOR DOSERIGG SKAL ENGENHARIA INDUSTRIE COMERCIOLTDA
Pros
TERESINA
CP wate
[enoEREgo: AV SAO FRANCISCO 4000- YD - EXTREMA
ue
PAS BRASIL
cwacer
6ssoseoos2 49
ISCrRGAO ESTADUAL: 19446298
Foe: oo0000
[pRODUTO PREDOMNANTE
[OUTRAS CARNGTERETDOASOA CARGA
[vA‘e TOTAL OA WERCATORA
JCIMENTO PORTLAND -CPV ARI
ks vaezt.s0
PESO BRUTO
FESO LIOUIDO
TRIDADES
oummoace
20.900
79200000,
379200000
caRca
KG
Ke
UNIDADE
“COMPONENTES DO VALOR DA PRESTAGAO DE SERVICO
NOME
VALOR] NOME
‘VALOR]NONE
VALOR] VALOR TOTAL DO SERVIGO
Hreegee
158220]
s11.05220
Fr alr
0
IVALORA RECEBER
ana cota
0
a de nen
0
lnss.e5220
TWFORMAGOES RELATIVAS AO WHEOSTO!
[CLASSIFICRGRO TRIBUTARIA DO SERVIO
TaASE DE CALCULO
ATION
VALOR IGS
ERED BC
V-cReDTO
oral do CMS
loco
Prion it
20
1200
ferris
|
I
00
Toe
ERENT BTN
SERIE TRO, DOCUMENT.
I
TFs
70:260.2400003-51
OO0CESERS
7200 1102602490009515S00TODDSSSOBNT224GTIOTE
@
TRREWERO BO FXO A GAROR
[SSCA BT COSTED TOR FINTPORTORSTAGHOREROPORT SOE ORO
AR OT ESB AT DAF LANIFOR TEST AGTORERGRORTO BE SRE
SGC BU ESOS WT GR FRIPORTORSFAGROREROPORTS OE DESTINO
ast
fe
INISON RFE SOT
Herne FADO
iF SRAGRS BO CTE GLOBALID
TESETTOS
—ashinatura——
TSO EXCLUSIVO DO EWISSORDO CTE
TRESERVADO AO FIRED.
a plat sp amr
Weliso
Paula
Almo,
RC
wifado
?
58,385,
-L0_/
OS 126</t>
        </is>
      </c>
      <c r="C52" s="15" t="inlineStr">
        <is>
          <t>NOTAS FISCAIS DE COMPRA JANEIRO 2026.pdf - p. 51</t>
        </is>
      </c>
    </row>
    <row r="53" ht="75" customHeight="1">
      <c r="A53" s="13" t="n">
        <v>52</v>
      </c>
      <c r="B53" s="15" t="inlineStr">
        <is>
          <t>-
"G1 Ano Gu NEGEANOS VOLUNES BESTE CONTEGNENTO EM PERFEITO ESTADO PELO QUE DOU POR CUMPRIDO O PRESENTE CONTRATO DE TRANSPONTE
TERN O&amp; FRESTAGAD-DATATHORA
CTE
&lt;
ea]
iro occuento 18
TS GE PHERTAGRO OATRTOPA
seme
n
ASSAUTURA CARIB,
Dacre
ODA
PAGNA
RODOVIARIO.
oct
N10 AIX
#00 CONNECIWENTO DE TRANSPORTE ELETRONICO,
Powe
IGENCIA EM LOGISTICA LTDA,
‘TE GLOBALIZADS
No.
SEF CACINIBA FUNDA Sem atimeeo
TODO CTE
BREST
eh
MARJOLANDIA 2800-970,
NORMAL
AKACATI-CE
=
or
TIPO 00 SERVIGO
ran
(CS P4542.709.787/0008-77 1E3072061073
NORMAL
wert
RTC :S42168099) TELEFONE:(4) 99917-0068
eet
TWICIO DA PRESTAGAD
Ned,
iv
FaMEno
DATAE HORA DE EMISSAO
TASC SUFRANA
(CE=2311808-QUINERE
Le
E
i
ref
88 GMT
TERUINO DA PRESTAGAS
P1210)
TERESINA
‘Consul am waco fazenda, gov bripOral
PROTOCOLO DE AUTORIEAGAO DE USO
s2260005436922
D226 Mss GM
ws
NNO
|
IN
i
LU
o
‘GFOP- WATUREZA DA PRESTAG:
2326,0142.7097.8700.0377.$700,1000,0005,1810.0000.0005
(6853 -PRESTACAO DE SERVICO DE TRANSPUIEE A ESE ADELECIMEN IO CUMERCH
vw
\ SDS TRIAL DF CAIENTOARODT
DesTmaTAR
SKAL ENGENHARIA INDUSTAIA E COMERC
TDA
"
aust SLCESSD
eocnego-
AV §AO FRANCISCO -4000- YB EXTREMA,
nr
cer eon
uci,
TERESINA
co
INOGREADESTADUN: aoansRoy
lowucer
2 4ssan0-99
snsonglo srnousL
bn
rove
em
PA: BRASIL
Fone: wana
ecencion
exceneco:
cer
usc
os
inscmgso estanua
exsucre
nscncto esra0UaL
=
Fone
ue
Pais
Fone
=
SARA INDUSTRIA ECOMEREID LDA
RP
TERESINA
i
e.
ware
A SAG PRANEISCU
1O-EXTRINA
vn
a, RAS
30
Fone: ono
20
INScmGAO ESTADUAL 19486256
[OUTRAG CARAGTEFASTIAS DACA
[VAR TOTAL oA WERCADORA
VARY
les issse.n0
—
rao RUT
PRO QUDO
TRIDADES
_—_——
30000
6060 0
KG
Ko
UNIDADE
‘COMPONENTES D0 VALOR DA PRESTAGAO DE SERVICO
eee
VALOR NOME
VALOR] NOME
YALA VALOR TOTAL BO
VIGO
95K
es
wo
‘30
01
VALOR A RECEDER
1]
es
Ko
an]
Bam
TNFORWAGOES RELATIVAS AO POSTS
BASE DE
LO
TALS ios
VALOR ToS
RED
Tw eReone
TUAUTARIA DOSED
sn.
Irena
0
Lats
lane
—_|
a
GREIF TENE
SERE Inno DOCLAD
10260 2400009:51
OOS
2350 1026024900035 SSHOTOOIS TPAD
Taeveho a FLuno ox GARR
&lt;a
si
.
ATTESTRSASRGRORTOTEGRIGEN | SGA GU COGHGS NT. OR FCALPORTOESTACROREACPORTOTEE FSG
7
STAT OES AROREROPORTO OE VESTAS
a
F
aeRO
=
Jr
wr
i
Ts
ALMO.
RIFADO
LANCAD\
iM.
VOWLE
a
SS ETE CRATES
EE STUD
7
—
—
natura
TS EXCLUS DO EMISSORDO CTE
TESERVADO AO pet
-
=
:
a
Welisoy
de Paula
Almokarifado
RG: 2.958.385
at! 03 | 26</t>
        </is>
      </c>
      <c r="C53" s="15" t="inlineStr">
        <is>
          <t>NOTAS FISCAIS DE COMPRA JANEIRO 2026.pdf - p. 52</t>
        </is>
      </c>
    </row>
    <row r="54" ht="75" customHeight="1">
      <c r="A54" s="13" t="n">
        <v>53</v>
      </c>
      <c r="B54" s="15" t="inlineStr">
        <is>
          <t>_
/
—_—
“ame
nena
7
7 ROTO HUNTS GORSTANTEN DATA TRON TREAD ATCA
NF-e
a
a
* 000.002.198.
SERIE 001
DANFE
CAE
i. CANTA GALO EXTRACAO E
DOCUMENTO AUXILIAR DA
COMERCIO DE CALCARIO LTDA,
I
ll
ll
Mn
nM
(OTA FISCAL ELETRONICA
THAVEDEATESSO
£
SNKM
2
CANTA GALO-
0- ENTRADA
P02 785-00
ACARAPE-CE
=SAlDA,
1
326 O107 7763 3900 0204 $500 1000 002
9814 6815 7838
‘ed
N° 000.002.1983 fl. 1 /I
‘Consulta de stcaticdnds wo portal mncioml da NF-s
won fazseda po. by portal
es
SERIE 001
‘uno ste du Sefiz Autrizadora
TST TRIOS
a‘
Lv
\
ie PRODUCAO DO ESTABELECIMENTO.
223260008984402 19/01/2026 09:19:41
STAT OT TET
THT
80;
=
07.776.339/0002-08
DESTIN NTARIG) REMIETENTE
wae
SUNT
$k.
ENGENHARIA INDUSTRIA E COMERCIO LTDA
23.655.038/0002-89
1901/2
RT STAT
ca
Ere
cs
EXTREMA,
407
4s)
90)
Si
ANCISCO. 1000 GALPAO: D:
TRF
x
7
026
Toma oa
tv
SINA
PL
86)2107-4700
194446298
oe
wr
rm
on
rT
EOEIEITY
Ta
Tae
SETany
Te
Tia
r
133.00
nnoste.
Lom
:
TTT
TET
eT
TAR DOTS TT
15.50
25.86
0.00
88,00
oh
Te
RTT Aa
TEED
0.00
TAR TTAL BT
0.00
0,00
0.00
0.00
488,00
{0H VOLUMES TRANSONTTADOS
TROT
TROT
TART
7
HA
H
DESTINATARIO
TIT
7
3
ToT
TER
ROHR
saco,
face
2 000,Ki
DAHON DO PROD TO SERVICOS
=
oT SERED
a
=
eer] ow
UA
ia
a
a
on
a
Ta
fers
ae
Tne
e
TT
SOL OUITICS #170 (EABOE 7S
cule
reno:
0 ror fr
‘2a0a|
244 00
488.0]
300
215.9]
2508
00 209
00
wT
7
7
s
TREVADO ORO
REC
MIP ESPECIAL DE TRIBUTACAQ - RET = NA 0363/2025, COM CARGA TRIBUTARIA
by
OM
OL
i
CONFORME ARTS $67 E 568 DO DECRETO NA 24569197 - RICMS,
IESUS DESE
ATE SALVAR
Weliso
de Paula
A
Almdxarifado
ALMOX.
RG
988.385
LANCADO E!
ARAN
MOLIZE
Assinatura
ro</t>
        </is>
      </c>
      <c r="C54" s="15" t="inlineStr">
        <is>
          <t>NOTAS FISCAIS DE COMPRA JANEIRO 2026.pdf - p. 53</t>
        </is>
      </c>
    </row>
    <row r="55" ht="75" customHeight="1">
      <c r="A55" s="13" t="n">
        <v>54</v>
      </c>
      <c r="B55" s="15" t="inlineStr">
        <is>
          <t>—
Tn A GERI CALCARIETDA OR PRODUC BRNIGUECORSTANTIN Du TAIRA INDNDOATEADD
NF-e
A
é
os
000,002,181
SERIE 001
oo
DANFE
CAEIRA CANTA GALO EXTRACAO E,
COMERCIO DE CALCARIO LTDA,
DOCUMENTO AUX
IAR DA.
NOTA FISCAL ELETRONICA,
nn
Mh
ll
|
wu
ct
SSN KM 324 - CANTA GALO.
THANE RE ATERSO
Freres
ACARAPE-CE
0- ENTRADA
1
2326 0107 7763 3900 0204 S00 1000 2 S114 6815
1-Saipa.
TEL: 5p
ir
‘Consult de atentieads po portal paienal da NF
N° 000.002.181 fl. |
i
wow nfesfazenda ob potal
SERIE 001
uno site da Sefaz Autoriadora
RTE ARENAS
223260005807816 17/01/2026 23:49:15
2A DE PRODUCAO DO ESTABELECIMENTO:
To
SORT TT
07.776.339/0002-04
_
DESTIN AFAR) IAIETENTE
a
a
TRAN
AL ENGERHAR
INDUSTRIA E COMERCIO LTDA,
23.655.038/0002-89
170172026
TART STR
oF
Data son) TRAD
RANCISCO,
10) GALPAO: D:
EXTREMA
64076-4500
110172026
ET
:
_—
(86)2107-47
PL
94446298
Une
SCOTTI
Ti
ae
SOTO
Te
Tae
COTY
r
m
Tape
i
rt
1392.00
6.
NINE
TET T
TT
4
230,74
0.00,
0.00
1,392.00
TATE ACS
TROT
TAR TANT
R
—
: FETT 7 a
0,00
0.00
0.00
4392.00
{iLASPOR SOW VOLUMES HRANSPONTADOS
RTT
TAT
7
aT
—
1
DESTINATARIO
STA
7
RT
——
7
|
FORTIS
TERT
fn
Saco.
cc
18,000,000
DOS HO PD
FO SERVICOS
T
=
Te,
RTO
i
THE
Tae
a
|
eo
oer
oe
oa
ory
i
ae
a
ihe
oa
ti
mn
a
DoLoMi
D170 IGACOS 26
ever
020 [610%
16.0
[om |
246,00
7397.00
000
|e
Tanga] 2.
ono 20003]
Z
anos 90
wy
mr
TERERVADOADERNGD
i
r
ML ESPECIAL DE TRIBUTACAO - RET - NA 00:
3/2
(COM CARGA TRIBUTARIA
bs
1M
bt
wr
CONFORME ARTS 567 E 568 DO DECRETO NA 24569197 - RICMS,
NSUS DESE
VIE SALVAR
Welisor
‘fae Paula
ALMOX:
Almoxarifado
e
RG: 2.958.985,
LANCA
AAI oy! 2
[ssinatura
om
ba</t>
        </is>
      </c>
      <c r="C55" s="15" t="inlineStr">
        <is>
          <t>NOTAS FISCAIS DE COMPRA JANEIRO 2026.pdf - p. 54</t>
        </is>
      </c>
    </row>
    <row r="56" ht="75" customHeight="1">
      <c r="A56" s="13" t="n">
        <v>55</v>
      </c>
      <c r="B56" s="15" t="inlineStr">
        <is>
          <t>Nich
oer
Va
B
PRODUIOS €/0U, SERVEGOS CONSTANTES DA NOTA
TAL.
Red
os
00, DESTIMATARTO: SAL
ZENA
SCALE
DUSTAIA E
NF-e
ee
o/b EXTR
i teresina-é
3 RE
EDO
a
17.232
Série 1
—
Ss
DANFE
LAS} TER
Docunento Auxiliar
ja Nota Fiscal
Eletronic:
ll
iA
T
wi
ROA,
isan
TE ACESS
PLASTER DISTRIBUIDORA LTDA
1 = SAfOA
#0
6
5
2626 0142 5346 7900 0149 $500 1000 0172 3216 4022 6394 |
2
5452.
a
Ne
17.232
‘oneulta de autenticidaae
P
5
x
al ai
oF
ne
en
925
56
série 1
e
7
Aut
=
olka 1/1
gowste/pe
Fi
aE a
a OF Uso
|
G
Venda de Producao do Estabelecimento
126260004521449
“
1
(01/2026 10:30:16)
FENSCRICAD ESTADUAL 00 SO6ET, THIGOT
fexea
097330:
42.534. 679/0001~
negrimaranre
suMeTENTE
WF
oF
i
m
r
a
|
SKAL
ENGENHARIA INDUSTRIA E COMERCIO LTDA,
feaaras
Sree
23.655.038/0002-89
eee
7 ba Sata ERROR
13/01/2026
AVENIDA SAO FRANCISCO.
4000,
EXTREMA,
64076-450
ETSERIGRG ESTADUAL
ae
Teresina
ler
194446298
FATURA
DUPLICATA
00)
00:
=
03) [a
———
12/02/2026
14/03/2026 |
=
13/04/2026
ag'10. 888,00) |
ng 10:884,00)
i
i
4,00 Ware
Pet
13/05/2026,
CALCULO D0
cart
—
ease
BS
TR
ose
Tae
RA
"i
D
iF
5.0598
0,00
0,00
0,00,
612,24
a
co
STL BS TY
*
tins Wa
Taint
42.165,62,
iti
0,00
0,00)
0,00
os EERE
0,00
1.370
38.2.820,04,
43.536,00,
®ANSVORTADOR / VOLUMES TRANSPOREADOS
docs
hess
= ER Sa
FR Bo
wales
oF
i
(2) estsnatarse (FOR)
f= a
TCT ETO
rare
cor
a
=
Fase BRUTE
a
80
SACOS
‘a
2,000,000),
2.000 ooo
a
os PRopUToE
SERVICOS
E
7
save
a
mew
oH
ouave
acon onrtfaven corn] ©
re
Zh
4
saith
TH
7
78
3
a
7
Ean
a
o
/*
ALMOXARIF
pyar
Welisoy
te Patila |
sinatura
Almo|
rifad
RG
ajo.
Zi
6!
panos
ADECHONA:
s
co
onvagot
‘COM ENTERS
_
—_
| REARS Ro FICO
|
J
=a
‘0d = Powered 6
ondonperie
i
a</t>
        </is>
      </c>
      <c r="C56" s="15" t="inlineStr">
        <is>
          <t>NOTAS FISCAIS DE COMPRA JANEIRO 2026.pdf - p. 55</t>
        </is>
      </c>
    </row>
    <row r="57" ht="75" customHeight="1">
      <c r="A57" s="13" t="n">
        <v>56</v>
      </c>
      <c r="B57" s="15" t="inlineStr">
        <is>
          <t>we
MUNICIPIO DE TERESINA-PI
DANFSe v1.0
'SECRETARIA MUNICIPAL OE FINANGAS-
NFSe
Si
Documento Auxiliar da NFS-e
Seu
NOTARISCALELETRONICA SEMF@PMT.PLGOV.AR
Chave de Acesso da NFS-0
22110012253605493000150000000000002726019955644624
foes
eo}
si
Numero da NFS-©
‘Competéncia da NFS-©
Data @ Hora da emisstio da NFS-e
nue
ee
27
23/01/2026
23/01/2026 10:08:11
ale
Numero da DPS
Série da DPS
Data @ Hora da emisso da DPS
34
900
23/01/2026 10:08:11
terticade dota NFS-0 pode so voiicads
anor dese coage OF ce
fecnsun
1 sesso no peal racoral da NFS-@
EMITENTE DA NFS-0
‘CHPITCPF TNF
Trserigde Municipal
jefone
Prestador do Serviga
53,605.493/0001-50
Z
(86) 8805-8245
Nome J Nome Empresarial
E-mail
'53.605.493 JAILSON DA CONCEICAO PAIVA,
JAILSONPAIVA1576@GMAIL.COM
Enderego
Muniefpio
cep
DOUTOR RUILOBAO, 12, AROEIRAS
Teresina - Pl
64011-790
Simples Nacional na Data de Competéncia
Optante - Microempreendedor Individual (MEI)
Regime de Apuragdo Tribe pelo SN
TOMADOR DO SERVIGO
NPS CPF TNF
Tnseigdo Munieal
Talefone
23.655.038/0002-89
(86) 2222-4700
Nome / Nome Empresarial
E-mail
SKAL ENGENHARIA INDUSTRIA E COMERCIO LTDA.
financeiro.grupokalfix@gmail com
End
50
Munipio
cep
SAO FRANCISCO, 4000/0, EXTREMA,
Teresina - Pl
64076-450
INTERMEDIARIO DO SERVIGO NAO IDENTIFICADO NA NFS:6
SERVIGO PRESTADO
cy
de Tributago Nacional
z
digo de Tributagio Municipal
Local da Prestagio
:
Pals da Prostagio
108 - Manutengéo de bens e
Teresina - Pl
“ipamentos em geral
Descrigéo do Servigo
SERVIGO DE CONFECGAO PARA ENSACADEIRA, ROSCA DA ENSACADEIRA, ROSCA 00 MISTURADOR, BASE DOS MANCAIS DO ELEVADOR,
PIX: 751,058.023-49
TRIBUTAGKO MUNICIPAL
‘Tributaglo do ISSQN
Municpio de Incidéncia do ISSQN
Regime Especial de Tributagso
Operacéo Tributével
Pais Resultado do Prestacto do Senigo
Teresina - PI
Nenhurn
Tipo de Imunidade
Suspensio da Exigiblidade do ISSQN
Nao
Numero Processo Suspensso
Bonefcio Municipal
Valor do Servigo
Desconto Incondicionado
Cleulo do BM
R$ 2.000,00
b
Tota DedugtosmRedusos
S
Bc IssaN
‘Aliquota Aplicada
:
Retengdo do ISSN
'SSQN Apurado
Nao Retido
TRIBUTAGAO FEDERAL
PIS/COFINSICSLL Retidos
IRR
CP Ratio
z
PIS Devido
CCOFINS Devido
:
Retengio do PISICOFINSICSLL
TOTAL TRIBUTAGAO FEDERAL
‘VALOR TOTAL DANFS-E
Valor do Servigo
Desconto Condicionade
Desconto Incondicionado
000,00
RS
R
18H Ratio
CP, PIS, COFINS, CSL
PIS/COFINS Devidos
Rs 0,00,
2
Valor Liquido da NFS-©
RS 2.000,00
TOTAIS APROXIMADOS DOS TRIBUTOS
Fodorie
Municipais
Estadvls
s
(\
INFORMAGOES COMPLEMENTARES
yeu
wa OavONVT
S
WudNOD
OMP'
22};
A00 EI
nae</t>
        </is>
      </c>
      <c r="C57" s="15" t="inlineStr">
        <is>
          <t>NOTAS FISCAIS DE COMPRA JANEIRO 2026.pdf - p. 56</t>
        </is>
      </c>
    </row>
    <row r="58" ht="75" customHeight="1">
      <c r="A58" s="13" t="n">
        <v>57</v>
      </c>
      <c r="B58" s="15" t="inlineStr">
        <is>
          <t>:
MUNICIPIO DE TERESINA-PI
mg ees
SECRETARIA MUNICPAL OE FINANGAS.
|
af
DANFSe v1.0
Se
Documento Auxiliar da NFS-e
NOTAPISCALELETRONICA SEMF@PUT.PLGOV.SF.
CChave de Acosso da NFS-0
sD
ree
22110012245264826000104000000000002426013559273125
2
‘Numero da NFS-e
Competéncia da NFS-©
Data e Hora da omissdo da NFS-o
26/01/2026
26/01/2026 12:39:19
Ba
ve
24
Pea
5
Numero da OPS.
Série da DPS
Data e Hora da emissio da DPS
at
‘900
26/01/2026 12:39:19
ence ni NS pote vents
Dela lure dete cigo GR ou pois crauta do
‘have de acess no porta nacional de NES
Tolatone
“EMITENTE DA NFS-e
CNPITOPFTNIF
Tnsaigdo Manipal
Prestador do Servigo
45.264.826/0001-04
(88) 9845-0255
Nome / Nome Empresarial
EMERSON CANDIDO DE AQUINO 56476779320
EANDIDOTERESINA@GMAIL,COM
Municipio
cep
Enderego
Teresina - Pl
164003-700
CENTENARIO, 3667 A, AEROPORTO
‘simples Nacional na Data de Compotincia
Rgime de Apuragéo Tibutdria pelo SN
‘Optante - Microempreendedor Individual (ME!)
4
FOMADOR DO SERVIGO
CNPITCPF TNE
Toiotane
23,655,038/0002-89
Insane Woriapar
E-mail
Non
Nome Empresarial
‘SKAL ENGENHARIA INDUSTRIA E COMERCIO LTDA,
Municipio
cer
Endorogo
Teresina - Pl
64076-450
_SAO FRANCISCO, 40001D, EXTREMA
INTERMEDIARIO DO SERVICO
NAO IDENTIFICADO NA NFS-6
‘SERVIGO PRESTADO
‘Cédigo de Tributago Nacional
Local da Prestaco
Pas da Prostacto
4
2.01 - Outros servigos de
igo co Tebutacdo Muriipal
Teresina - Pl
;porte de natureza municipal
Cescrigio do Servi
SERVIGO PRESTADO DE ENTREGA DE MERCADORIA
TRIBUTAGAO MUNICIPAL
Pie Resultado da Prostagdo do Sorvico |
Municipio de tncidéncia do ISSN
Rgime Especial de Tributago
“Tributagdo do 1SSON
=
Teresina - PI
Nenhum
Operagao Tibutével
Tipo de Imunidade
‘Suspensdo da Exigiblidade do ISSN
E
Nao
"Nomero Processo Suspensio
Bonetco Murcia!
Valor do Servico
Desconto Incondicionado
R$ 2.500,00
z
Total DedugsosmRedugses
Ctcute ao Bm
Retengdo do ISSGN
'SSQN Apurado
Be IS5QN
quota Aplicada
Nao Retido
TRIBUTAQKO FEDERAL
vee
CP Rotide
PISICOFINS/CSLL Rotidos
PIS Dovido
COFINS Devieo
RetoncSo do PISICOFINSICSLL
TOTAL TRIBUTAGAO FEDERAL
‘VALOR TOTAL DA NFS-E
Valar do Servico
Dosconto Condicionado
Desconto Incondicionado
9808 Ratido
RS 2.500,00
RS
RS
IRRF, CP, PIS, COFINS, CSL
PISICOFINS Devidos
Valor Liquide da NFS-0
0
2
RS 2.500,00
&amp;
5 APROXIMADOS DOS TRIBUTOS
Fodorais
Estqavals
Municipals
INFORMAGOES COMPLEMENTARES
COMP’!
ADO EM
Soe</t>
        </is>
      </c>
      <c r="C58" s="15" t="inlineStr">
        <is>
          <t>NOTAS FISCAIS DE COMPRA JANEIRO 2026.pdf - p. 57</t>
        </is>
      </c>
    </row>
    <row r="59" ht="75" customHeight="1">
      <c r="A59" s="13" t="n">
        <v>58</v>
      </c>
      <c r="B59" s="15" t="inlineStr">
        <is>
          <t>Prefeitura Municipal de Teresina
ms
vee
ro
eg
Secretaria Municipal de Finangas
a
Sie
=
ae
at
Nota Fiscal de Servicos Eletronica
eS
NFSe - Prestador
4
samo1bva7
ae
aa
DADOS DA NFSe
Suni see
"a eales a ae
5
Numer / Série do RPS.
Seirwen ‘sacs rom
‘ata hora da emiss30
Competincia _—-Niimero/ Série Data do RFS
6044
2004/2026
1047896 (13
tet
20012006 10.4045
vanes
EMITENTE PRESTADOR DO SERVICGO
Teletone
‘CPF/CNPJNIF
Inserigso Municipal
0885 9180001-65
ery
(@) 2107-000
Nome / Nome
E-mail
HOSPITAIS E CLINICAS DO PIAUI S'S LTDA
‘enial@naoiormado com
ce
FBESTE os ere servrmt
TERESINA / PLERASIL
61000.
TOMADOR DO SERVIGO
Inserigto Municipal
Telefone.
CPF / CNP NIE
73855 038/0002:80
7
ome / Nome Empresarial
Sanceive@alix con
SKAL ENGENHARIA INDUSTRIA E COMERCIO LTDA
cep
Muricipio
aag76.470
FYENTOA EX OR 39 5185 ASAO RAMINDO
TERESINA PIBRASIL
O,
‘SERVICO PRESTADO
CNAE CBO
£6560.200-01 - PLANOS DE SAUDE
servi
04.22, PLANOS DE MEDICINA DE GRUPO OU INDIVIDUAL E GONVENIOS FARA PRESTACAD)
ASSISTENGIA MEDICA HOSPITALAR, ODONTOLOGICA E
ais da prestacao do service
Local da prestagio do servige
BRAS.
TERESINA’ PL
\
DESCRICAO DO SERVICO PRESTADO
08 WDM 82
&gt;
8s
109,04 mesa
to F
cs
3:795,94 Content M. 450 M. Ja Vendar E7266 H. Fatar
spares tet. 02601" Vencinen
593203
A
MP!
0
[Ries
esinatara
(@) TRIBUTACAO MUNICIPAL
Municipio da Incidéncia de 1S90N
Responstvei pelo recothirento do 1SSQN
Exigiblidade do ISSON
TERESINA -PI
PREST
2 DO SERIO.
Engve
Retengso do ISON
SituagSo do prestader do service perante 0 Simples Nacional
Ragineeapci erin do ISS0N
=
NAG RETIOO
NAO OPTANTE
CALCULO DO ISSQN
‘Bace de ealeuto do 1SSQN (RS)
Alta. (%)
Valor de 18S0N (R8}
Valor total da NFSe (RB)
‘otal das dedupbes (RS) Desc. incondicionado (RS)
0.00
5801.18
5.000000
5,
590118 /
003
sa
RETENCOES
SLL RS)
Outras retongdes (RS)
1SSQN IRS)
IRF (RS)
PIS RS)
COFINS (R3)
NSS (RS)
300
0
200
9.00
000
000
0.90
—
b
VALOR TOTAL
(88)
bese. condicionado (RS)
‘Valor Liquide da NF Se (RS)
[Base de caleulo do 1SSGN (RS)
S01.18
enengten (8) ee, sondonado
0.00
00)
5901.18
iINFORMAGOES COMPLEMENTARES:
2026
a
ee
==</t>
        </is>
      </c>
      <c r="C59" s="15" t="inlineStr">
        <is>
          <t>NOTAS FISCAIS DE COMPRA JANEIRO 2026.pdf - p. 58</t>
        </is>
      </c>
    </row>
    <row r="60" ht="75" customHeight="1">
      <c r="A60" s="13" t="n">
        <v>59</v>
      </c>
      <c r="B60" s="15" t="inlineStr">
        <is>
          <t>cs
Aas
TE a ES TEE
oe
es
Tyas
pear
Se ies ae weeps Roe
rSeTieaclo © Renae Bo Tene?
Ne 932
seer
=
i
ae
DANFE
ROMILSON SILVA DE ASSIS
OCUMENTD AIIKTLIAR
ie ROTK e1eCA
‘eueaeanien
RUA GERIANOPOLIS,
5101 - PORTO Do CENTRO ~
iit
—|
‘TERESINA ~ PE,
ces
“4060-780
© = eapaaon
ae Re
$7 SES
8
Sate Gris 2550 1900 0141 9500 1909 eGen 3217 756 6517
gue
row
(86) 99849-0745
Ne 932
alte
wentte
ae
Taeional aa
sta
L
oe
pl ou no site da ge
a
Pou L/L
e www nte.
onda. gov .br/ po
autor!
ore
=
ain eR
TEES NRO Se
|VENDA DE MERCADORIA ADQUIRIDA OU RECEBIDA DE TERCEIROS
222260002004302
26/01/2026 -
4
aa a
SERGE Be STS
SIT
195328328
19.255.075/0001~41
TRATIRTS
aE
7s
eae
a
GEN
A INDUSTRIA E COMERCIO LTDA
3.655.038,
0002-89
6/9.
2
_
a
IDA SAO FRANCISCO,
4000/D
(TREMA
26/01/202
—
ETE
ip ees
I
‘TERESINA
a
3r
194446298 |
als
=
a
‘Beno
palenente:
Z
i Be ORO
ae
ak BE wae
[ase ooo Oe
0,00]
0,00
| caiaiaiial
350
0,00
0,00
e Ca wae HE
wate
oa
Sees
aim Tein te TE
Ta
0,00
0,00
0,00
0,00
0,00)
350,001
fe
‘a a
syasboRTAGR
voc THaWSPORTAIOS
om
ca
as
TS BEBE
FaeTEE CT] a
zi
Fr
TRS
a
org
cog
r
co
Ts ae
ie
9, 0000
+0000
=
_
no PROM
sERvicas
=
=
=e
=
TESCO oes oGOTOR / seRTGOE
ee
oe
we oar
Tana
aise
[ey
Tim c/FORG CHLTARAO 1,5 6
To
;
350,
F500
0,00)
Saf
NALWOLA BAD ASTOR
tution
paiz20n9)0102| 5102 [aw
E
0,00
a
"4
Jor/3€
12 0 88H
_—
7
rane
—
Yous er
00
=
[7 FSS SET
; a Sa TH
4.
oe
—
oe
fia ame
ran
on
ae
aE
para
mar Hi
—
a
TRS HT
re TEE
jhe
a
1
ATS
i 7
=
L
TE TERT
—
—
-
Soa RY Carne
aaa We FE
hat. can
(pointe DOCUNENTO EAETIEO FOR ME QU EPP OPTANTE FELO SINPLES NACIONAL,
io Gena prasTo
Ik ceeot
TSEAL De TPE
—
—
eae</t>
        </is>
      </c>
      <c r="C60" s="15" t="inlineStr">
        <is>
          <t>NOTAS FISCAIS DE COMPRA JANEIRO 2026.pdf - p. 59</t>
        </is>
      </c>
    </row>
    <row r="61" ht="75" customHeight="1">
      <c r="A61" s="13" t="n">
        <v>60</v>
      </c>
      <c r="B61" s="15" t="inlineStr">
        <is>
          <t>—
rer
urs eure
PARHAIBA
gree
DANFSe v1.0
ee
[SECRETARIA DAEAZENDA MUN"
asco ate
Documento Auxiliar da NFS-e
HESS feoacsoose
eee
roe
Re netnss
—_
_esnock 3
aan
oe
“Chovo de Acosta da NFS-2
Bay
=
2077022257460869000136000000000003626019250886260
Data @ Hora de omissao da NFS.0
*
umero da NFS-©
‘Compottncia da NFS-2
2370912026 10:34.15,
a
36
2310472026
:
faces
See da DPS
Data 0 Hora da emissio ds'DPS
imero da DPS.
900
23/2026 10:34:15
A netemestte stot
We
63.
Eircedo nose mops nncrnatin Fa
pet fopatdeste ere OF veel “ona
=
ec
peste
EMITENTE DA NFS-€
NBS CPF TNF
Tasca so Maa
£36) $501 1900
Prastador do Sarvigo
57,480.869/0001-36
Emat
Nome / Nome E
DELTAORG.CONTABIL@HOTMAIL.
om
MARCOS JOSE FONTANA HANUS
knderego
‘Municipio
“Pl
Stz0s-010
SAO SEBASTIAO, 5043, JOAO XXII
Par
Repime de ApuracSo Tributita|
10 SN
‘simples Nacional na Data de Com;
petencia
Regime de apuragio dos tribulos federais ¢ rmunicipal pelo sir
yes Nor
‘Gpiante - Mictoempresa ou Empre
35a de Pequeno Porte (MEJEPP)
CNPITCPF INE
inser waa
Taiane
TOMABOR DO SERVIGO
23,655,038/0002-89,
‘Nome { Nome Empresarist
Ena
SKAL ENGENHARIA INDUSTRIA E COMERCIO LTDA.
EP
Municio
Enderego
Teresi - PI
4076-450
‘SAO FRANCISCO, 4000/0, EXTREMA
=
INTERMEDIARIO DO SERVICO NAG IDENTIFICADO NANFS-c.
SERVIGO PRESTADO
cédigo de Tributagéa Nacional
CCécigo do Tibutacdo Municipat
Local da Prestagio
Palo do Frsiagso
09,01.02- Hospadagem em pensdes,
;
Patnaiba-Pt
albergues, pousadas, hospedarias, ..
Descrico do Serv
|
REFERENTE A DESPESA NO PERIODO DE 2110
yi A 2310112028
ee
1
"FRIBUTAGAO MUNICIPAL
Regine Especial de Tributacto
‘ribvtagdo do 1SSON
‘Municipio de Incidéncia do ISON
Parnatba -PI
Nenhura
Operagio Tributavel
Pala Reutado da Posing co Sven
‘Suspanstio da Exigibildade do ISSN
‘Beneficio Municlpal
Nao
Norero Procesen Suspension
:
“pe do tmunidade
olor do Serviga
{ola DeducbesReduates
ete do emt
RS52,00
Descort Incondianads
Rotongde do ISSQN
ISSQN Apurado
|
‘Alquota Aplicada
:
Nao Reto
|
ecissan
——
—
oo
a
—
“TRIBUTAGAO FEDERAL
PISICOFINSICSLL Reins
mar
CP Reto
PIS Devido
COFINS Devito
Retengao do PISICOFINSICSLL
TOTAL TRIBUTAGAO FEDEHAL
=e
~
VALOR TOTAL DANFS-E
santo Incondicionado
e
Valor do Servigo
‘Desconto Cendicionado
sssaNRetdo
i
RS 52,00
RS
PISICOFINS Dovidos
Valor Liguido da NFS.0
IRRF, CP, PIS, COFINS, CSLL
4,
te
RS 62,00
apes
RS 0,00
| -FOTAIS APRORIMADOS DOS TRIBUTOS
Nain
Fodersis
Estocuots
“INFORMAGOES COMPLEMENTARES
Dex e) PaGro - O82 .046 840-08
us
Lowe CuSTINk Beierzee Hh
com
si 2
EM,
BIG aa
pee
a
Pa
ager
ed
ke
Agate wre
heek ot
ah:
-
|</t>
        </is>
      </c>
      <c r="C61" s="15" t="inlineStr">
        <is>
          <t>NOTAS FISCAIS DE COMPRA JANEIRO 2026.pdf - p. 60</t>
        </is>
      </c>
    </row>
    <row r="62" ht="75" customHeight="1">
      <c r="A62" s="13" t="n">
        <v>61</v>
      </c>
      <c r="B62" s="15" t="inlineStr">
        <is>
          <t>Prefeitura Municipal de Teresina
mee
0:
Secretaria Municipal de Finangas
at
apa
a
oa
2
Nota Fiscal de Servigos Eletrénica
NFSe - Prestador
SZ
‘cUJokKGG26
Taian dor Wie pole et
DADOS DA NFSe
a crate do Coctgo to Worton ie
es larg dent cig GR
Data e hora do omissio
Competéneta
Numero Série
Eo"tenlcace aca ro poral de
9510112026 09:49:57
12028
2390/0.
se.
EMITENTE PRESTADOR DO SERVICO
Telefone
(PF) CNP NIF
622908-5
Inserigio Munletpal
(88) 0896-5222
37.102,63470001-66
Nome // Nome Empresarial
MINERAR ENGENHARIA E MEIO AMBIENTE LTDA.
MINERAR.PI@GMAIL.COM
Endereco.
Maniefpio
cer
RUABENTO CLARINDO BASTOS 1716 SALA 102-MESAO4 NOIVOS
‘TERESINA /PIBRASIL
4046-120
TOMADOR DO SERVIGO
CPF IGNPS/NIF
InserigSo Muntelpal
Telefone
23.656,038/0002-89
080315
(98) 2107-4700
E-mail
Nome / Nome Empresarial
'SKAL ENGENHARIA INDUSTRIA E COMERCIO LTDA,
financelro.grupokalfix@gmall.com
cep
Endore
[AVENIDA SAO FRANCISCO 4000/0 BAIRRO EXTREMA
Municipio
TERESINA/ PI BRASIL
4076-450
VIGO PRESTADO
c@yczo
r
«:
9-02 - SERVICOS DE ENGENHARIA
‘Servigo
{07.03 ELABORACAO DE PLANOS DIRETORES, ESTUDOS DE VIABILIDADE, ESTUDOS ORGANIZACIONAIS &amp; OUTROS, RELACIONADOS COM OBRAS E SERVICOS
Local da prestagBo do servigo
Pats da prestagdo do servigo
TERESINA/ PI
DESCRIGAO DO SERVIGO PRESTADO
rresxhclo DE SERVICO REFERRITE A CONGULTORIA MENGRL DE ENGENEANTA DE MINAS.
‘Bhooe BACAATOS
Bios tr Pagenentoe
= mae
natxezn 0001,
Coma CORRENTE, 295160400-€
Du: minerae.pidgaas com
(cuege 37.202.656/0003-65,
"E NETO AMBIENTE UDR
‘DOCUMENTTO EMITIDG POR NE OU EPP OPTANTE PELO SAIPLES RACIOWAL
}UTAGAO MUNICIPAL,
Extglbllidade do ISSGN
‘Municipio da Incldénela do 18SQN
Responsével pelo recothimento do SSQN
Exigivel
‘TERESINA - PI
PRESTADOR DO SERVICO
Retengao do ISSN
‘Situago do prostador do sorvigo porante o Simplos Nactonal
Regime espectal de trlbutagdo do ISSN
NAORETIDO
OPTANTE
Simples Nacional
CALCULO DO ISSQN
‘Valor total da NFSe (RS)
‘Total dae dedugdes (RS)
Dose, Incondicionado (RS)
‘Base de eéleulo do ISSON (RS)
Alig. (4)
zs
Valor do ISSQN (RS)
759,00
0,00
6.00
759,00
RETENGOES
ISSQN (RS)
IRRE (R38)
PIs (RS)
COFINS (RS)
INss (RS)
CSL (RS)
utras retengdes (RS)
900
0,00
0.00
0,00
0,00
0,00
0.00
VALOR TOTAL
Base de célculo do ISSQN (RS)
Retengdes (RS)
Desc. Incondicionado (RS)
Dose. condicionado (RS)
Valor Liquido da NFSe (RS)
759,00
2,00
0,00
0,90
759,00
INFORMAGOES COMPLEMENTARES.</t>
        </is>
      </c>
      <c r="C62" s="15" t="inlineStr">
        <is>
          <t>NOTAS FISCAIS DE COMPRA JANEIRO 2026.pdf - p. 61</t>
        </is>
      </c>
    </row>
    <row r="63" ht="75" customHeight="1">
      <c r="A63" s="13" t="n">
        <v>62</v>
      </c>
      <c r="B63" s="15" t="inlineStr">
        <is>
          <t>pots Heat ae
—
sevice cletranten
Nota Fiscal de Servicos Eletrénica
‘samero de RPS
codigo Avtenticagio
[NSU Reeepste (ADN)
‘chave de Acosso (RDM)
he
SLZB61Su0KELVIA
8
‘22008081240s6u6000teaeee000000205926019280004268
Nomero da NFS-©
=
ra
Compettnela da NFS-2
Data Hors de ombinto da NFS-2
Data do Preceseamenta (ADI)
nora
ae
Ea
os
onnaae
0120284
covo2028 #4
rea
Ndmmero da Des
‘Série da 0°.
Data Hora da emiss3o da OPS
on
‘03
1
porowa0s 1:38:0
¥
A tence
Bese pose oar
‘ens pis i coca ne,
ENITENTE DA NFS-o
Home / Home Empreserat
GNPSCPE MIF
mat
KLESIO KENNEDY REPRESENTACAO DE MATERIAL OF
15429.688/0001.09
Incerigdo Munlipsl
(GONSTRUCAO LDA,
, PALESTRAMHO@HOTHALCOM
Endoreso
Munefplo
cep
‘elafone
ANTONIO GOMES, 276, CENTRO,
ANGICAL 00 Paul
5410-000
(os) seretiss
‘SimplesHacional na Data da Competéncla
Xe
Regine de Avurogto Tetra pete st
TOMADOR DO SERVI¢O
Nome Nome Empresarial
onrs cer) NF
mall
in
igdo tunietpat
'SKAL ENGENHARIA INDUSTRIA E COMERCIO LTDA,
za.688.0200002-9
Enderega
Muriel
cer
Telefone
AY SRO FRANGISCO, 4000, EXTREMA,
TERESINA
59076-350
Q erage enesravo
‘GBdigo de Teoutagde Nacional
Ccédigo de Tibutagse Manica!
Local do Prestagio
Pala de Prestogso
00901 -Reprecenaci de qualquer natweza, ncusive
10.09 Representagio de qualor natere,
Aagicat do Paul-PI
BR
conerit
Incl comercial
Descrgho do servigo
SERUICO DEREPRESENTACA
TRISUTAGAO MUNICIPAL
“Telbetagdo do 1SS0N
Pals Renu daFrestagio do Serco
unico de ineldénela eo 1SS0N
Regime Especial de Tributaglo
“Te de bmintade
‘Supenso de Exgbiéade do 50H
WomeroProcenso Suspension
‘enti unl
2
Descente ncondiconade,
Valor da Servis
“Total DedgtoRedugbes
Citesle dow,
5 14993.00,
R500
ec rssaN
‘Aquat Apicade
Rotongae:
15808
‘ssaH apurado
RS 14595,00
500%
5090
S090
‘TRIBUTAGAO FEDERAL,
eRe
ss
S000
S000
750,00
PIs
COFINS
.
Retengo do PISICOFINS,
‘TOTAL TRIBUTAGAO FEDERAL
50.00
50.90
50.90
an
VALOR TOTAL DANFS-E
Walor do Servige
Dbescontoincondicionaco
ISSON Rete
RS 74995.00
:
owen candi
*
i
Rs oc0
RR
TS, CSL -Relidoe
PISICOFINS Retidoe
Valor Liquide daNF8-2
S000
5000
5 14.998,00
‘TOTAIS APROXIMADOS DOS TRIBUTOS
Federals
Estaduais
S000
Municip
5000
S000
INFORMAGOES COMPLEMENTARES
‘sta
erteira
hy
ext
se HOR
iro.
£0
LTDA
Le
2-89
os</t>
        </is>
      </c>
      <c r="C63" s="15" t="inlineStr">
        <is>
          <t>NOTAS FISCAIS DE COMPRA JANEIRO 2026.pdf - p. 62</t>
        </is>
      </c>
    </row>
    <row r="64" ht="75" customHeight="1">
      <c r="A64" s="13" t="n">
        <v>63</v>
      </c>
      <c r="B64" s="15" t="inlineStr">
        <is>
          <t>My
Secretaria Municipal de Finangas
a
rae
or
Nota Fiscal de Servigos Eletrénica
leis
4iCgravMR
_NFSe - Prestador
Fae ta WE pe
Tadbeapaiisarscess etapa
DADOS DA NFSe
is sew
to eed ee Vaasa
fists shea ne borl &amp;s
Data ¢ hora de emissio
Competaneia,
Namero J Série
tise
(0a/4212025 21:21;08 +
212025
24410
EMITENTE PRESTADOR DO SERVICO
(GPFICNPS IIE
Inserlgie Municipal
Teletone
29,109,08910001-33
-
6003795
(5) 3004-5157
‘Nome / Nome Empresartat
FL ALVES CAMINHA-ME =
VOXCONTABILIDADEOT@HOTMAIL COM
Municip
CEP
[SVGNEOA PRESIDENTE JAMO QUADRCS 2266 SANTA LIA
‘TERESINA / PIBRASIL,
54058780
TOMADOR DO SERVIGO
CPF 1 CNPS NIE
Inserigdo Munletpal
Tetotone
23.656,038/000-06
.
qs
4410-5
‘Wome / Nome Emprosorlal
'SKAL ENGENHARIA INDUSTRIA E COMERCIOLTOA.
Senall
Munieipto
cep
AVENE:
Endores:
Ba FRENCISCO 4000 COMPLENENTOSALA C:BAIRRO EXTREMA
TERESINA/ PI BRASIL
4900-201
SERVICO PRESTADO
JCNAE / CBO
'4612-3100-00 - REPRESENTANTES COMERCIAIS &amp; AGENTES D0 COMERCIO DE MADEIRA, MATERIAL DE CONSTRUCAO E FERRAGENS
Servigo
410,08 - REPRESENTACAO DE QUALQUER NATUREZA, INCLUSIVE COMERCIAL.
Local da prestago do servigo
Pals da prestagao de servigo
BRASIL.
TERESINA PI
DESCRIGAO DO SERVICO PRESTADO.
sof a contease de verdes outhbre @ novanbro de 2025,
.
‘ROCUMENTO ENITIOO POR ME OU EPP OPTANTE PELO SIMPLES NACIONAL
TRIBUTAGAO MUNICIPAL
Exigibtidade do [S5QN
Muniefpto da tncidéncia do ISSN
PRESTADOR Do SERVICO
Rosponsdvel pelo recothimento do 1SSQN
Exgivel
TERESINA -P!
Rotengo do ISSON
Situagiio do presfador doservigo perante 0 Simples Nacional
Ragime especial de tibutagse do ISSQN
NAO RETIOO
OPTANTE
Fe
‘Simples Nacional
CALCULO DO ISSQN
+
Val
total da NFSe (RS)
Total das dedugdes (RS)
ese, incondicionado (RS)
Base de calculo do ISSN (RS)
Alig. (8)
gn
Valor do ISON (RS
oy
707,58
9,0
0,03
797,58
RETENGOES
1SSQN (RS)
IRRE (RS)
is (RS)
‘COFINS (RS)
INSS (RS)
SLL IRS)
Outras retengdes (Rt
0,90
0,0
000
,
090
0,00
0.00
oe
VALOR TOTAL
‘Base de cileulo do ISSN (RS)
Retengées (RS)
Desc. Incondlctonado (RS)
ese. condicionade (FS)
Volor Liquide da NFSo(Rt
797.56
2.00
9,00
9,00
7et8
INFORMAGOES COMPLEMENTARES
.
0/12 126</t>
        </is>
      </c>
      <c r="C64" s="15" t="inlineStr">
        <is>
          <t>NOTAS FISCAIS DE COMPRA JANEIRO 2026.pdf - p. 63</t>
        </is>
      </c>
    </row>
    <row r="65" ht="75" customHeight="1">
      <c r="A65" s="13" t="n">
        <v>64</v>
      </c>
      <c r="B65" s="15" t="inlineStr">
        <is>
          <t>we
Prererura mumeipar ue rete:
J
oe
a
auhde
ee
* Secretaria Municipal de
angas
a)
ei
Nota Fiscal de Servigos Eletr6nica
mS
4
NFSe - Prestador
KiXetjssr
Raina cone We |
ee
‘ees pala ra
im co Cahn Vee
DADOS DA NFSe
Seachaleisde selma
Data e hora
smissio
‘Competéncia
Numero / Série
wise
0770112028 11
012028
any
EMITENTE PRESTADOR DO SERVIGO
+ tnscrlgdio Muneipal
Teletone
CPF / CNPJINIF
4646383
(es) 9903-2877
27:803,62010001-18
E-mail
Nome / Nome Emprasarial
-
celso araujot965@hotmallcom
8 P SOARES DOS SANTOS LTDA-ME
cep
tunic’
io
RUAVINTE
Enderego.
EQUATRO DE JANEIRO 1482 COMPLEMENTO: AV JOAQUIM RIBEIRO, N 1482; NSDAS.
TERESINA! PIBRASIL
4018-650
TOMADOR DO SERVIGO
inserlg0 Municipal
Telefone
CPF /CNPSINIF
90st
(@5) 2107-4700
73.855.038/0002-89
°
ae
small
Nome / Nome Empresarial
vvendaskalfx@.gmall.com
‘SKAL ENGENHARIA INDUSTRIA E COMERCIO LTDA,
Munieipto
‘cEP
Endoreso
‘TERESINA/ PI BRASIL
64078-450
[AVENIDA SAO FRANCISCO 4000/0 BAIRRO EXTREMA
SERVICO PRESTADO
1AE 1 CBO
¢
1
$9-2100-02 +
REPRESENTANTES COMERCIAIS E AGENTES 00 COMERCIO DE MERCADORIAS EM GERAL NAO ESPECIALIZADO
‘Sarvigo
40-10 - DISTRISUICAO DE BENS DE TERCEIROS.
Local da prestagdo do servigo
Pais da prestagio do servigo
‘TERESINAT PT
BRASIL
DESCRIGAO DO SERVIGO PRESTADO
sr be AEDHaENENGlo COMERCIAD, REFENENZE A CIRETENGIA 20 WEE DE DEERITRD DE 2028
‘DOCUMENTO EUIIO0 POR NE GU EPP OPTANTE PELO SUIPLES NACIONAL
$
‘TRIBUTAGAO MUNICIPAL.
Responsivel pelo reccthimento do ISSQN
@
Exigibllidede do ISSQN
Muniefplo da tncidéncia do 1SSQN
PRESTADOR DO SERVICO
Exiglvet
TERESINA PL
‘Nacional
Regime especial de tributagao do ISSON
Retongiio co SSN
-
‘OPTANTE
‘Situago do prestador do servigo perante o Simpl
‘Simplos Nacional
NAO RETIDO
‘a
:
CALCULO DO ISSQN
Dose. Incondicionado (RS)
Base do cileulo do ISSQN (RS)
Alig. (4)
Valor de ISSaN
Valor total da NFSe (RS)
Total das dedugaes (RS)
36:238,70
pis
'35.238,70
0,00
000
RETENGOES
PIs (RS)
5
COFINS (RS)
+ iss (RS)
SLL ARS)
Outras rotensées |
TSSQN{RS)
IRRF (RS)
9,00
9,00
0,00
0,00
0.90
os)
VALOR TOTAL
‘Base de cétculo do ISSN (RS)
Retengdos (RS)
Dese. incondicionado (RS)
Desc. condlicionado (RS)
3523870
0,00
9,00
0,00
a
INFORMAGOES COMPLEMENTARES
eset
eG
ceive
wa
J
we
-</t>
        </is>
      </c>
      <c r="C65" s="15" t="inlineStr">
        <is>
          <t>NOTAS FISCAIS DE COMPRA JANEIRO 2026.pdf - p. 64</t>
        </is>
      </c>
    </row>
    <row r="66" ht="75" customHeight="1">
      <c r="A66" s="13" t="n">
        <v>65</v>
      </c>
      <c r="B66" s="15" t="inlineStr">
        <is>
          <t>aes
seen
me
Secretaria Municipal de Finangas
oe
ss
ae
tat
Nota Fiscal de Servigos Eletrénica
NFSe - Prestador
Ug7sydujA
aaa oa BEF
‘ets pet pur ene couse
“vaca
DADOS DA NFSe
Books
Nise
co pelo
ompetencia
Namere / Sérle
pata e hora de emissto
oua026
S10
soaons ws:23
F
EMITENTE PRESTADOR DO SERVIGO
Inserigde Municipal
Yetefone
6481957
(@6) 9978-5733,
i
(GPF /GNPS/ NIF
144,038.28)0001-59
-
E-mall
‘ranze0S0@amali.com
‘Nome / Nome Empresarial
FJ DE SOUSA REPRESENTACOES
cer
‘
WeReShta  PLORASt.
64016050
FOAGESREL PeRREIRA 2161 MACAUSA
Telefone
FOMADOR DO SERVICO
0803154
Inscrigde Munietpal
(6) 2107-4700
CPE/CNPLINIF
*
‘
123,685,038/0002-89
Emil
Nome | Nome Empresari
cer
‘SRAL ENGENHARIA INDUSTRIA E COMERCIO LTDA.
Municipio
a7e-450
Enderego
TERESINA PI BRASIL
IVENIDA SAO FRANCISCO 4000/9.
INRRO EXTREMA
SERVIGO PRESTADO
GNAE/ CBO
MATERIAL DE CONSTRUGAO E FERRAGENS
1$513-8100-00 - REPRESENTANTES COMER
{CIAIS E AGENTES DO COMERCIO DE MADEIRA,
Servigo
410.08 - REPRESENTACAO
DE QUALQUER NATUREZA,
INCLUSIVE COMERCIAL.
Local da prestagto do servigo
Pats da prestagdo de servigo
BRASIL
TERESINAIPL
DESCRIGAO DO SERVIGO PRESTADO
comssho sonre wewong ~ Dennan0/2025.
Geran Do Su7LES HACEOR
‘POCUMENTO
"GaInib0 POR ME OU EPP OPTANTE PELO SIMPLES NACIONAL
5
z
TRIBUTAGAO MUNICIPAL
Responsive! pelo reoothimente do ISON
Exigiblidade do ISSGN
tunioiplo da Ineldéneia do ISSQN
PRESTADOR DO SERVIGO
Exighel
‘TERESINA +P
Rogime espectal de tributacso do ISSQN
situegdo do prestader de sorvico peraite 9 Simples Nacional
‘Samples Nacional
NAO RETIOO
Retengio do ISSQN
¢
OPTANTE
CALCULO DO ISSQN
7
5
Vator do ISSN
=
‘Valor total da NFSe (RS)
“otal des dedupdes (RS)
ese.
incondicionado (RS) Base de célculo doISS@N (RS) Alia. (4)
003
14.2827
4423277
0,00
INSS (RS)
SLL (Rs)
RETENGOES
JARF (RS)
PIs (RS)
COFIS (RS)
9,00
(uirasretensoes(
ISSQN (RS)
0,00
00 *
9,00
000
90
q
VALOR TOTAL
ese. inconslelonado (RS)
Dose. candicionado (RS)
Base de.
lo do ISSN (RS)
Retengoos 8)
0,60
9,00
Valor unset
1420277
INFORMAGOES COMPLEMENTARES
rot
costa FEE
nance
Get
BCL
a
care
OF
Mey
curs
655.038"</t>
        </is>
      </c>
      <c r="C66" s="15" t="inlineStr">
        <is>
          <t>NOTAS FISCAIS DE COMPRA JANEIRO 2026.pdf - p. 65</t>
        </is>
      </c>
    </row>
    <row r="67" ht="75" customHeight="1">
      <c r="A67" s="13" t="n">
        <v>66</v>
      </c>
      <c r="B67" s="15">
        <f>
“4
Fcchesbraiern tt afar impede
DANFSe v1.0
SECRETARIA MUNICIPAL DE FINANGAS -
NFSex:y:
Documento Auxiliar da NFS-e
ROTAFISCALELETRONICASENF@PUTPLOOV.BR
CChave de Acesso da NFS-
|
2211901225401 1991000137000000000003226016622270633
i
nae
limero da NFS-©
Competéncie da NFS-e
Data @ Hora da emissao da NFS-8
a
2
2101/2026
21/01/2026 11:49:32
Pe
oe
Série da OPS
Data © Hora da emissdo da DPS
chs
Nimero da DPS
21/01/2026 11:49:32
‘A autentccade deta NFS-2 pode ser veriicada
34
900
ela tua dest cipo GR ou pela consuta 33
have de scosso no poral nacional NFS
EMITENTE DA NFS-e
CNPITGPF INF
Telotone
Prestador do Servico
54,011,991/0001-37
Tnssiggo Manica!
(86) 9548-1852
E-mail
Nome / Nome Empresarial
54,011,991 GRACILENE MARIA BEZERRA DOS SANTOS:
GMBS.MARIA@GMAIL.COM
Enderego
Municipio
CEP.
COSTUREIRA LUISA ALVES, 02, ITARARE
Teresina - Pl
6478-233
‘Simples Nacional na Data de Competéncia
Optante - Microempreendedor Individual (MEI)
Regime de Apuragéo Tributéria pelo SN
CNPUTCPFTNIF
Tolefone
TOMADOR DO SERVIGO
Tnscrigo Municipal
362224700
23,655.038/0002-89
0803154
Nome / Nome Empressrial
E-mail
‘SKAL ENGENHARIA INDUSTRIA E COMERCIO LTDA.
financeiro. grupokalfix@gmail.com
Enderego
Municipio
CEP
‘SAO FRANCISCO, 4000, Galpao D, EXTREMA
Teresina - PI
64076-450
INTERMEDIARIO DO SERVICO NAO IDENTIFICADO NA NFS-e.
SERVIGO PRESTADO
(Cédigo de Tributagdo Nacional
Codigo de Tributacdo Municipal
Local da Prestacéo
Pots da Prestacéo
17.06.01 - Propaganda e publicidade,
003 731900200
Teresina - Pl
ingl™ve promogao de vendas, p.
Debs igo do Servigo
SERVICO DE PROMOGAO DE VENDAS.
Competéncia: DEZEMBRO/2025
Vencimento: 25.01.2026
Valor: RS 4,782,92
DADOS BANCARIOS: Banco Cora - Agéncia: 0001 - Conta Corrente: 4795679-4. Chave PIX (NPY): §4.011.991/0001-37
‘TRIBUTAGAO MUNICIPAL
Tributagio do ISSN
Pais Resultado da Prestagdo do Servigo
Municipio de Incidéncia do ISSQN
Regime Especial de Tributagao
Operagao Tributavel
‘
Teresina - Pl
Nenhum
‘Tipo de Imunidade
‘Suspenséo da Exigiblidade do ISSQN
Nomero Processo Suspensio
Benefco Municipal
Nao
Valor do Servigo
Desconto Incondicionado
-
Total Dedurdes/Redugdes
Céleuo doom
RS 4,782,92
BCISSON
RotengBo do ISSQN
Aiquota Aplicade
Nao Retido
'SSQN Apurado
TRIBUTAGAO FEDERAL
op
IRR
Z
ost
Pis
coFils
Retengéo do PISICOFINS
TOTAL TRIBUTAGKO FEDERAL
VIQRTOTALDANFSE
Desconto Condicionado
Desconto Incondicionado
‘Valor do Servigo
ISSON Retido
RS 4.782,92
RS
RS
IRRF, CP,CSLL - Retidos,
‘Wafor Liquido da NP
RS 0,00
PISICOFINS Rotidos
RS 4.782,92
TOTAIS APROXIMADOS DOS TRIBUTOS
Federals
Municipals
Estadvals
INFORMAGOES COMPLEMENTARES
NBs: 114061900
cont
pene
ei
(TDS,
nr
nang
on,
et
Sn
5
‘
on
se</f>
        <v/>
      </c>
      <c r="C67" s="15" t="inlineStr">
        <is>
          <t>NOTAS FISCAIS DE COMPRA JANEIRO 2026.pdf - p. 66</t>
        </is>
      </c>
    </row>
    <row r="68" ht="75" customHeight="1">
      <c r="A68" s="13" t="n">
        <v>67</v>
      </c>
      <c r="B68" s="15" t="inlineStr">
        <is>
          <t>SKAL ENGENHARIA INDUSTRIA E come LTDA
DatalHora:
02/01/2026 11:31
Cod. Rel.
F.VEN.O7
CNPJ: 23.655,038/0001-06
{4
Usuario:
Jorge
FRALFIX sao FRANCISCO, 4000, PARQUE JUREMA, TERESINA?
jodo de 01/12/2025 até 31/12/2025
Iho Pe
12,00
00010817401
49/12/2025
2.820,00
48/122025
4,000
412,800000
REDES E PISOS 15KG
235,000
00432
3
REJUNTE SILICONADO EXTERNO - CINZA 315
20,0000
450
(00010817401
19/12/2025
90,00
1811212025
4,000
3,600000
176,40
TOTAL 000108174
4.410,00
026981
ES CARVALHO...
491122025
000108189
td.
VI. Total Documento
Dt. Veneto.
Mi. Baixado
Dt. Baixa
% VI. Comissa0
Codigo
Seq. Produto
Prego Unit
012178
1
ARGAMASSA EXTERNA PAREDES E PISOS 18KG
25,0000,
11,00
(00010818901
1912/2025
275,00
22/12/2025
4,000
11,000000
19/12/2025
549,50
2212/2025
4,000
21,980000
012108
2
ARGAMASSA MASTER SUPER TOP 15KG
36,0000
15,70
0010818901
00492
3
REJUNTE SILICONADO EXTERNO - CINZA 315
60,0000
3,50
00010818901
19/12/2025
210,00
2212/2025
4,000
8.400000
00010818901
19/12/2025
70,00
22/12/2025
4,000
2.800000
012067
5
REJUNTE SILICONADO EXTERNO - BRANCO 101
20,0000
3,50
1.104,50
44,18
TOTAL 000108189
025010
J Leite B. de Carvalho Ltda
2214212025
000108228
Seq. Produto
aid.
Prego Unit.
VI. Total Documento
Dt. Vencto,
Mi. Baixado
Dt. Baixa
%
Mi. Comissa0
Cédigo
22/12/2025
3,000
10800000
000182
1
ARGAMASSA INTERNA PLUS BANHICOZ 15KG
60,0000
7.20
(00010822801
22/12/2025
360,00
360,00
10,80
TOTAL 000108228
2214212025
000108232
023174
Britho Construgao
Qt.
Prego Unit
V1. Total Documento
Dt Vencto.
Mi Baixado
Dt Baixa
%
VI. Comissao
Codigo
‘Seq. Produto
4,000
38,400000
012178
1
ARGAMASSA EXTERNA PAREDES E PISOS 15KG
80,0000
12,00
00010823201
22/12/2025
960,00
22/12/2025
REJUNTE SILICONADO EXTERNO - CINZA 315
20,0000
4,50
00010823201
2211212025
90,00
22/12/2025
4,000
3600000
00492
2
TOTAL 000108232
1.050,00
42,00
023174
Brilho Construgao
231122025
000108264
Dt Baixa
%
VI. Comissao
Codigo
Seq. Produto
Qid.
Prego Unit.
Vi. Total Documento
Dt Veneto.
Vi. Baixado
00010826401
23/12/2025
200,00
23/12/2025
3,000
6.000000
000182
1
ARGAMASSA INTERNA PLUS BANHICOZ 15KG.
25,0000
8,00
TOTAL 000108264
200,00
6,00
125.303,97
4.78292
TOTAL 0043
G Representacées
125.303,97
4.782,92
TOTAL  SKAL - Filial
NONCAU
12.4.2410.310
Pagina 31 de 31</t>
        </is>
      </c>
      <c r="C68" s="15" t="inlineStr">
        <is>
          <t>NOTAS FISCAIS DE COMPRA JANEIRO 2026.pdf - p. 67</t>
        </is>
      </c>
    </row>
    <row r="69" ht="75" customHeight="1">
      <c r="A69" s="13" t="n">
        <v>68</v>
      </c>
      <c r="B69" s="15" t="inlineStr">
        <is>
          <t>CERN A
Extrato por perfodo
Cliente:
FCK INDUSTRIA E COMERCIO DE MATE
Conta:
(0855 | 1292 | 000578358407-6 *
Data:
20/01/2026 - 07:57
més:
Janelro/2026
Perfodo:
10-19
Extrato
Saldo
Data Mov.
Nr. Doc.
Histérico
Valor
000000
‘SALDO ANTERIOR
0,00
139,34 C
12/01/2026
202512
DBT CESTA
125,00 D
14,34
15/01/2026
151103
PAG BOLETO
297,55 D
283,21
151104
PAG BOLETO
352,94 D
636,15 D
15/01/2026
363,85 C
15/01/2026
151105
CRED TEV
41.000,00 €
15/01/2026
‘900000
SALDO DIA
0,00 ¢
363,85 C
* 661 - Os lancamentos de extrato no estao disponivels,
‘SAC CAIXA; 0800 726 0101
Pessoas com deficiéncia auditiva: 0800 726 2492
joria: 0800 725 7474
AO CAIXA: 0800 104 0104
oe</t>
        </is>
      </c>
      <c r="C69" s="15" t="inlineStr">
        <is>
          <t>NOTAS FISCAIS DE COMPRA JANEIRO 2026.pdf - p. 68</t>
        </is>
      </c>
    </row>
    <row r="70" ht="75" customHeight="1">
      <c r="A70" s="13" t="n">
        <v>69</v>
      </c>
      <c r="B70" s="15" t="inlineStr">
        <is>
          <t>PREPEI RA RUNRIAPAL DE
DANFSe v1.0
CAKIAS
NFSe
Documento Auxiliar da NFS-e
fecalzscsolss canis ma gov be
have de Acosso da NFS-¢
ne
21030002207352685000 184000000000000426018478614610
a
e
bs
Nomero da NFS:
Competéncia da NFS-«
Data @ Hora da emissdo da NFS-«
a
4
26/01/2026
26/01/2026 13:15:10
et
ue
iy
a
Numero d2 OPS
Sérle da DPS
Data ¢ Hora da emisso da DPS
al
7
900
26/01/2026 13:15:10
A auanicidade dsta NFS-0 pode sor veritcada
pot totra
i codigo OR eu pela consuta a
have de aesso no portal nacional ee NFS-2
EMITENTE DA NFS-
‘CNPIT OPE TNF
Trscrigo Municipal
Telefon
:
Prostador do Servico
07.352.685/0001-84
31888
Nome / Nome Empresarial
Ema
JUVENCIO REPRESENTACOES LIMITADA
Enderogo
Municipio
CEP.
RODRIGO OTAVIO, 330, TREZIDELA
Caxias - MA
65606-050
‘Simples Nacional na Data de Competéncia
Regime de Apuracéo Tributérie pelo SN
Optante - Microernpresa ou Empresa de Pequeno Porte (ME/EPP)
Regime de apuracao dos tributos federais e municipal pelo
iples Nacional
NPI OPFINIF
TOMADOR DO SERVIGO
23,655.038/0002-89
Tnsorgdo Waniapal
Talons
Nome / Nome Empresarial
E-mail
SKAL ENGENHARIA INDUSTRIA E COMERCIO LTDA.
:
Enderego
Municipio
cep
SAO FRANCISCO, 4000/D, EXTREMA
Teresina - Pl
64076-450
INTERMEDIARIO DO SERVIGO NAO IDENTIFICADO NA NFS-@
SERVIGO PRESTADO
COdigo de Tributagso Nacional
Codigo de Trbutagdo Municipal
‘cal da Prestagao
Pais da Prestacdo
10.09.01 - Representagao de
Caxias - MA
qualquer natureza, inclusive
jal
0 do Servi
come
SAO SOBRE VENDAS REFERENTE AO MES DE DEZEMBRO DE 2025,
“TRIBUTAGAO MUNICIPAL
Tributagdo do ISSQN
‘Municipio de Incidéncia do ISSQN
Regime Especial de Tributagio
Operagao Tributavel
Pals Resultado da Prestagio do Servigo
Caxias - MA
Nenhum
Tipo de imunidede
‘Suspensdo da Exigibilidade do ISSQN
Namero Processe Suspensio
Nao
es
Benet Muni
Valor do Serica
Célcule do BM
RS 15.662,93
DDescontoIncendiclonado
Total Deducees/Redugéos
Z
BC ISSQN
Retenedo do ISSN
:
‘Aiquota Apicads
Nao Retido
'SSQN Apurado
TRIBUTAGAO FEDERAL
IRRE
cP Retigo
PIS/COFINSICSLL Retidos
Ps
2
:
PIS Devido
COFINS Devido
:
Retengéo do PISICOFINSICSL
TOTAL TRIBUTAGAO FEDERAL
VALOR TOTAL DA NFS-E
Desconto Condicionado
Valor do Servigo
Desconto Incondicionado
ISSN Retido
RS 15,682.93
RS
R
cP, PIs, COFINS, CSL
Valor Liquldo da NFS-
Re yo
PISICOFINS Devidos
RS 15.662,93
TOTAIS APROXIMADOS DOS TRIBUTOS
Federal
:
Estaduals
‘Municipais
:
INFORMAGOES COMPLEMENTARES:
NBs: 102010000
com
PR
Di.
ar
=</t>
        </is>
      </c>
      <c r="C70" s="15" t="inlineStr">
        <is>
          <t>NOTAS FISCAIS DE COMPRA JANEIRO 2026.pdf - p. 69</t>
        </is>
      </c>
    </row>
    <row r="71" ht="75" customHeight="1">
      <c r="A71" s="13" t="n">
        <v>70</v>
      </c>
      <c r="B71" s="15" t="inlineStr">
        <is>
          <t>PREFEITURA MUNICIAPAL DE
Nota Fsca de
DANFSe v1.0
CAXIAS.
NIFSe
Servic elarOnica
Documento Auxiliar da NFS-6
ocslnacsles axe mo gov.
(Chave de Acesso da NFS-6
21030002207352885000 184000000000000326010516238501
ESSE
age
Data @ Hora da emisstio da NFS-0
De
Numero da NFS-©
‘Competéncia da NFS-e
3
08/01/2026
(08/01/2026 20:09:20
RN
Numero da DPS
‘Sérle da DPS
Data @ Hora d
smissio da DPS
BS
5
900
(08/01/2026 20:09:20
‘Aautontedede deta NES-* pode sor varia
os otra deste cocge OR ou pela crsuta cs
Zhave ce acess na portal nacional de NFSe
EMITENTE DA NFS-0
CNPITOPF TNF
Taserigde Municipal
07.952.685/0001-84
31888
Totoone
Prestador do Servigo
Nome / Nome Empre
a
e
JUVENCIO REPRESENTACOES LIMITADA
:
cEP
Endore
Municipio
RODRI
G0 OTAVIO, 390, TREZIDELA
Caxias -MA
65608-050
‘Simples Nacional na Data de Compettacia
Rogime de Apuragao Tributéria pelo SN
Optante - Microempresa ou Empresa de Pequeno Porte (ME/EPP)
Regime de apuragao dos tributos federais © municipal pelo Simples Nacional
"TOMADOR DO SERVIGO NAO IDENTIFICADO NA NES-@
INTERMEDIARIO DO SERVIGO NAO IDENTIFICADO NA NFS-e
‘SERVIGO PRESTADO
‘Cédigo de Trbutagso Nacional
Local da Prestagto
10.09.01 - Representagao de
Céeige ce THbutagso Muna!
Cexies -MA
Pals de Prostagto
‘qualquer natureza, inclusive
comercial
Descrigdo do Servigo
MISSAO SOBRE VENDAS REFERENTE AO MES DE DEZEMBRO DE 2025.
TRIBUTAGAO MUNICIPAL
do ISSON
Municipio de incidéncia do ISSGN
Regime Especial de Tributacao
g
Ld
a
racao Tributével
Pals Resutado da Prosarto do Sevigo
Caxias - MA
Nenhum
Tio de imunidede
‘Suspensio da Exigbilldade do ISSN
:
Namero Proceso Suspenséo
Bonofco Municipal
Nao
Valor do Servigo
RS 15.662,93
Desconto Incondeionado
Tata Dedugtoa Redues
ticle do EM
RetengSo do ISSN
1SSQN Apurado
Bcissan
‘Aquota Apicada
Nao Retido
:
TRIBUTAGAO FEDERAL
tne
oP
osu
Pis
corns
Retongdo do PIS/COFINS
TOTAL TRIBUTAGAO FEDERAL
‘VALOR TOTAL DA NFS-E
Valor do Servigo
Dasconto Condicionsdo
Desconto incondicionado,
RS 15.662,93,
RS
"SSN Reto
IRF, CP,CSLL- Retidos
a
PISICOFINS Retidos
Valor Liquide da NFS-0
RS0,00
RS 15.662,93
TOTAIS APROXIMADOS DOS TRIBUTOS
&lt;7]
Estadual
Federale
Municipals
IRMAGOES COMPLEMENTARES
28: 102010000</t>
        </is>
      </c>
      <c r="C71" s="15" t="inlineStr">
        <is>
          <t>NOTAS FISCAIS DE COMPRA JANEIRO 2026.pdf - p. 70</t>
        </is>
      </c>
    </row>
    <row r="72" ht="75" customHeight="1">
      <c r="A72" s="13" t="n">
        <v>71</v>
      </c>
      <c r="B72" s="15" t="inlineStr">
        <is>
          <t>VALOR DE COBRANCAS POR CELULAR
{0 POR TIPO DE LIGACAO E SERVICOS EXCEDENTES
(86) 995378440
Giewsntetaie
(eae pernin)
Cobrangas e Descontos
Oferta Conjunta Caro MIX
Rs
8839
ClaroF6s7068
i
A
-Aplicativos Diitais
{TOTAL PARA CADA CELULAR
RS
88,39
RS
404,44)
se suspensto de nadine conforme RCC 765/2023 Art 70 2 T3: Transcorios 15
a Noticagto do ito poderdocerter »Suspensdo: ¢Tanscrtdes 60 das da Suspensio, 0
ts poder se resting
fo Os rxcto pacers
rrr a ncuss0 do eptro $9 de
05 dios de Protsio ao ret, Maver pogarenta ants da tess, oestabeleiment dos
oe
Seragos scrreta crv ate ah apes 9 bai ContbugBes para o FUST  FUNTTEL (Bx ¢ 3% do alr os serves) nao repasados a ce
‘enval arated 1331 Pague sua conta nos ba
hose, consult @ regulament
Ereeenclades: bradesc, Banco do Bas CE Had, Sentancere outs, As regia do foaming incenacenal sfrerdo mudargas pat de abril Par
tp lar cm em resell fear pssaporte,
Descricio
Valor Iss (RS)
Valor cobrado (RS)
‘op nso nacerta Caro Banca tight
800
Clara Recado Premium
070
400
‘Sheee E-Book Pocket
430
‘Vator TOTAL Dos SERVICOS
0,70
30
CarosiA
‘AL ENGENHARIA NUSTIIAE COMERCIOLTDA
Model: 2 tie 825 ania
‘ends Frei Serafin, 2165, -Controsala¢
[AVSA0 FRANEISCO-4000-ACONPRIDR
Danae emssie o7oy202e
‘001.020- Teresina
Stes TERESINA
Groxsior
Paice: OT 2/2025 3091/2026
COMPRAS.
Giesosse saa 8,
(rjove 25 459.033/0002-89
Neh concn Tosrs203
NCADO EI
16
‘Neng manta Cae 152
Ise ead 94409724
Nac cane Senezs296
rh
‘hawelrocombr
a
Servigos
Base de célculo (RS) ICMS.
Aliqueta (3)
Valor Icms
Isento/Nao Tributavel (RS)
Valor (R8)
Garo 2ce
680
250
2528
680
‘Garo fe Lgicoeston
7469
250
1680
7468
(Garo s2068,
sor2e
250
218
sore
Inaruranase ec emviagem
Ta
2250
ter
tat
\Valor Total da Nota Fiscal
30614
65,88
0,00
306,14
‘Counbuigo par o Fuse Fuel O59 sobre os valores dos ericosetelecomunicagbes Nb epasadosao lente. Tebuta Federals #COFINS) 3.65,
Essa autor ads pelo age Espeil 78/2015 Purtara UNATR 1/205) use SINE? nr 25-390) Process ce Regime Especial -00003,OM035/2025 5,
‘Quantidade
Unitario (R$)
Valor Iss (RS)
Valor (RS)
ns
.685.903/0080-10
ester Online
;
3500
070
#509
‘VALOR TOTAL DOS SERVIGOS
0,70
35,00
PERFIL DE CONSUMO MENSAL
Internet mével: consumo mensal da sua Internet
Mével: consumo mensal de mensagens de texto
19568
ast
arias
a8
26
ae
10a
our
Nov
oz
1AM
ev
Wa
‘our
nov
ez
TAN
rev
TAR
_
a
z
_
=
se
=
oe
ie
‘Autorizacao para Débito em Conta
-Atorco 9 Debt Automitico dos valores dios em a0 de Seco mel psa prestado pela Cla NE DOD a 9 naconta crrete aba
esoecifeada,Comprometo-me a manter sade sukientee
‘Sisponiveparaarcar com odio deste valores aaa co seu vance, 0 cig de ena pare DAD Automatic ees Impress sda
Cédigo Débito Automdtico: 763175288 Claro NEDDO 81289
ancla
Nome do Cente: CPF/CNP!
oFIENPH
Banco:
Data
NGmero da conta Corrente:
assinatura
Sherninnnnnh a ankimenins a emanrenT naemaames A</t>
        </is>
      </c>
      <c r="C72" s="15" t="inlineStr">
        <is>
          <t>NOTAS FISCAIS DE COMPRA JANEIRO 2026.pdf - p. 71</t>
        </is>
      </c>
    </row>
    <row r="73" ht="75" customHeight="1">
      <c r="A73" s="13" t="n">
        <v>72</v>
      </c>
      <c r="B73" s="15" t="inlineStr">
        <is>
          <t>PERFIL DE
si
UMO
10 MENSAL
‘Mévels ligagdes mensais locais
\ével: igaces mensais de longa distancia
69
mn
=
os
=
=
3089
39
6
te
Sirs
29
oy
1
"=
ws
fe
a
w
206
®
a
:
103
=
et
z
pan
fs
eS
ee
On
oo
MAR
Nov
EZ
1AN
rey
WAR
‘out
DETALHAMEN?
DELIGAGOES E SERVICOS D
CELULAR
rr
ae
a
\dadese
premacionis.
ee
af
&amp;
ee
i
4
ones
x
so a SEY,
irae)
B39Q 0%
sole
jamaco
De
wea
a
pe
aoe
ssn
“ae
rf
ates’
—
kt
a
i90
“
Paces Recs Soc EC
#09
ay
‘ala
Dis.
ae
on,
oo
a
es
Bow
¢
ary
é
‘ke,
vag
Tee
is
38:39
x
a
ts
ant
ee
-
ae
steeirbanadt Rec om veh
sy
x
=
“Get
gases
021 -Embratel
ce
Da
oe
Dur-Efetva urardo
rota R8) “Valor Cobrado 88}
Bistro “Ganads000
DOOISTOOZ ayr00}pTIA VDOT f
pis
ons
&amp;
ES
i
‘oid “Tez826
game
Soonsvo07 3 00
p.9230
2A
2207
55
ul Dstt Feel 6)
e370
nS7007|
ste
i,
“0,09
=
um
2.
Oo Federal
“
56954929504
af
10020;
2.90,
rs i
ae
a
an
OF 0
Federal Pa
ae
‘ecosacane2
i
9,00
sae
00,
22 S34
Ea
Feder Paul (86)
oe
seiied
esas?
39
sth
sos:
9.00.8
2 15203 Dit
det Pa 86)
ea
ie
a
‘BERELBIT
{200
3
poets,
“ait "52506, site
ule)
‘seseieoT-
00.0030;
oe
ar
i
900
Bs
Ene stig
tin §
Dist
Sao Pala,
E
ie
we
ay
Bs,
‘mgosasse0 00-0124
og
9.09:
oa
260
Beh Disa Feceralsto Paso
ca
1139998980
ne
cota
9000
000
3
ee
ae
ae
Biuito Federal san Pan
ee
*
1130055860
00539
Ri2030
vog030
3
00
00,
2a
io Feeralsi0 Pale’ =
Es
730855300
one
903530
Ie
"090
00
By.
ee
15 Soto Feceal Paleo) |
5
sean)
79RWO8
‘BeBSEETBLIO
0042
09
=
00
%
2m
aa
sl Feria (26)
eae
eeopparror sp oozaH
gaze
Ope
e006
0
iS
Ss
sie
yzpeizioe"
969030
900039,
‘999
Ba
90
Tul
Bina 153595) Gl srt0 Feder desanero
i.
of
ee
&amp;
em
onze
1st
“e
Ta
se
wee
a
a
iigacdbe ais
ens
a
eng
si
Ugagboxparacleanes Care
a
BE,
iz
* ie
i
Data Hott
silUF-Desting
or
a
émere
urcetetiva
Ye sf)
"Yalorcobrads (Rs)
MBeget
raul ay (86)
:
vy
nF oor.
ee
06:0
rues
wee
esgce85382
on:0949 _o0.00ss" 00
0
bem |
iyi 992835" al
a
wen tet”
‘008: 000
ooo
een
08 FauBet
1B PaulPs
(06)
(39
aegbeszog079.. cO-0it
aes coe
‘20.0130 2,09,
anart” 909 , 000
90
bo
las
Faull
wi
vee
seuss
‘00.0630",00"
a0, +
‘00
Bee
sera SpatSau
‘on6030 0,00.
0007
00
“ine
ee
‘00.0048 900,
Hae
9.00
od
ad
Eats PaulPiauls
ulPoU ED a, ct
¥
E
be _ SORES
900224" 5093
190,
0.00
Fat:
in
762051
ua 6)
ne
aeoa1683392°:
on0136 af
ie
00
ign
am
suite)
* gesscos33a2 J
past
eames doo
9.00
:
we
‘ssa
ul Pau (05) Se
epsuz368, aves gin 0
= 90
oo gee: s+
900
pies
3
5g8k09 PiauiPoc(05)
‘appurrsaua
epee
9, 0.0
8
0.
si
re
sad
Butea 86)
i"
$0000
960)
908,
sane
Pudi 86)
a
ty
cose.0 ox;00-308
0050 *
nog
900»
iene
363389) Pal?
25535 *PiaulPiaue6)
TS)
ce
aie
a
oon228
eins 079
9109,
fy
9.99
1872s, 180238 PatiPaule6)
et
perdi
‘oot. 0020030 Of
9p
goo
Mm
Bape ioG420 DbtrieCedeafoitucoredera! (SH 4.
Hee
088
eS
aR
jaime 184s
7
gbegeyee2
Sac
ene,
0000
900,
se 380
ie Total
3B rpssteg
Re
‘0:30
2,00!
05
0,005
stigocbet paratetlard otras ofa
afiapePs
a ae
2,00:
er
rae
‘Dats
Mon
rf
Ea
x
sls
Némere
ur
rte
as)
aler Cobra (R5)
cs
Crem bs
Path Pau 86)
‘
me
sepeasteon
08
yonseia
sider
80.
one
‘east teatro
99952401
20D
1099,
oe
noi
ts
:
ene
seats paikPat(e6)
o gee"
86959508506
2225
ogi
a
i)
ae
0)
ai
pm
123334 PauiPac(e6)
xsqoaszner
‘pon:
aes
ago
’
90
fe
%
we
160528 PauiPaul{e6)
zi
‘sessean67 ”
oo
90
if
0.0.
zy
4
co?
api (26)
Pa
oar
“coat
00+
se Big
in
ie
Frat
"a
ie
canes
on
%
9300
9,00)
gastos para telefon ens.
on
*
ae
8
Ly
ie
‘Origer(UF) Destin
burs
onion ns)
al Teal)
ocr}
cee
290,
00 *
i
090. {
Luge, wae Dotan
“Bis
a
ee
aes
oes
990.00:
er
‘90
sy
“4
Mexia lauste. atteesee
Bete
By
*4 “ooo
‘00:060670.00&gt;
901
ai
a5
_oneers</t>
        </is>
      </c>
      <c r="C73" s="15" t="inlineStr">
        <is>
          <t>NOTAS FISCAIS DE COMPRA JANEIRO 2026.pdf - p. 72</t>
        </is>
      </c>
    </row>
    <row r="74" ht="75" customHeight="1">
      <c r="A74" s="13" t="n">
        <v>73</v>
      </c>
      <c r="B74" s="15" t="inlineStr">
        <is>
          <t>[Sy EP a
tides Locabiconauagtol = 2" al aT auce te o g Z So raalieay 8 wanda
Le et ee ON ee Sage gence cond” “awk. 8008 |
Taine “Meese teres gh apie gs OF bad al i al ae pe Fn ee
pe ee a aca pr ae, ee eee
_Seficos(tortos, Hs Jogos, et - &gt; % * ee eEiasr valentin) wanicieeeo ney)
ee BY SSO TI ct FL asic ng AER ay alr Tnlis Soe |
. oS. Mapa jet et sr oad Oo Pr aeaeeiren|
‘Subtotal ° a vag Saee en ee ae wee aS
‘AcabeangadBsardgo deerme pode Sart ate o0hns and osu col PEE ae ee aia wah
esha ded teat yet ae ae mm jidUtitnase”Grartatns), SF so. vaoreabiade 5) J
Deaternitemt Bad no” ee i er
Bey MR ge 7 TR oe geet ot tie
a nae ner E: aS be Bian apt” Po.og.s9 Pe ah ar 1
Ee ee re A sass l csio00. HE D9 «2
a BF ed. ere ee a so 10568 7 ooo + 00 ee
gue ap, ae ete pare a 18 Las oho. Sty
eee Rg g 3, 2 i cee oe ee a aera
a er oe a tr ore
ae ere, EN en Mie Somme =
Ear al 3 oe ee pat * eer: O00 RPS
apes, 2g phen OE gh RT te ele aye ee eee? Eee oe ee
eo a aE 2 es a oa
ae ge Re veg g “gr wine 20: ff yoo 1" 9, he |
Som Seat egg TT esa BO Bien 200" ooo, ae
ee ee see a a ee
ong a BRET BR, on zane a Br. ye, OP
congas a me EPO oa ‘one, SR gato00? Soe a.
= CACOES ESERVICOSDOC 6) 99426 4901 : .
DETALHAMENTODELIGACOESESEICOS DOCELULAT(G) 2926001 _ =
JitensatindesPacotesPromgsionals + See Bah he te
FDeserigo yk, ” sea, 2 cae. eas eos 74 Z r
Ferhat Sera cno pict 4 vn aug Foe
subnet Tease: ase re al et ean soe
“petnesciatligs” * ba = ths = BLAS EERO age Spans 44,05" ~ $
Mee Toe. = Seer. aaesee so
fore. UF)-De ' hotest. Sees carat }0C034860.00"  Foo0 «ghee
nt tina eee a ee ee "es.
Total a RS Clas pai al ee aed ‘2 7 it ies “ bo
spark litaresdeoutras operadoras! “a ghia . mero punetittes Diragie Tafa (RS) Valor Total (AS) al corado (ns)
Sea iin ongenturyoedoe 2 ee Sd nepsamsuse Gomoot’ ongeso opoteeaoo G00
sina, tases Rasasieg "sR onocs Roce eeatondaay Soe Gos
rfis= Teen, Maul PBALSS) s ae Sx tgggoome on BGO HE AOO, wo te
serie oped’, Hits Jogos etc) a ah ~ eee ieee
a a ne  .  r  inere m Ce cue ace
sence yp Big | URRY ¥ Sah BERRIEN agi bBBOR "~ 900:™™ 000 ny Rat
“inninee., 7 = ot oe TF a an0R FFE O00... 00a ass OE ge
rine ess antes: 0 ee peak * fon De ON ke ae
ce ia ene res
Satcea, ae neue os en ETE |
oon, sek manik - treme ar
a % age an : BiB Svs ee ee zig uen age
| og 28 cent iH eee oe hive Re
| Be ale ig oo hcl SS ee ce
wpe on MS a CP, Bhs ee Soot |
peso Poa Bate, oy dascih 9861629. 3 eee 000 yt |
ane 5s ety? RS Pee, Beeson: 00 gt
Wes fi sh. ERS, a = Py ee SiMe ee
‘nate we, 2 oh Se a ‘pope SAE 0.00, ie BEG BI000 cae</t>
        </is>
      </c>
      <c r="C74" s="15" t="inlineStr">
        <is>
          <t>NOTAS FISCAIS DE COMPRA JANEIRO 2026.pdf - p. 73</t>
        </is>
      </c>
    </row>
    <row r="75" ht="75" customHeight="1">
      <c r="A75" s="13" t="n">
        <v>74</v>
      </c>
      <c r="B75" s="15" t="inlineStr">
        <is>
          <t>SE ee aa et
ses eli os Epa a BE TY fot RE es Fe tt! aera
siirsetiMol commie) I as ery, Bae Pitesti eInls” gy lees i
jeoaubeak orc int) EOI a | Be TG gee a ee
EEA sare gen Ceca ene era ee ae Ooo" | PN
BR ict Nae co an Be’ ee ann ee
=, Bee ie Le eee ae See |
bak eee atl a ee ees op on
a 3 ge nena teed Je 4. este 209. BH 5. ‘O90 gt
eee “cag aga ae ee eae —
Some col bad — i -
= = ¥ LAR (86) 99437 3844 = oe * 5 ‘
DETALHAMENTO DE LIGACOESE SERVICOS DO CELULAR (86) 99 eT get SoM eee" shay
Menace fact remedet 2 ik eve ae ee |
-teotae ee en eats ae ee ee ee,
Re ae ont Oe ae ; es Be ae
sgnveeeteee ibe) oe OE aa ee al
shccvenens | APE! egeealee REGO eA,
jicavomans Ta eel —t Apa gs MOF RA
eee _ a TN png og, oe aie. WRG
ii er ae a ee ere! ce ap RS ae ag 4
* upoestoats Ete! “ype as A the ae. ee eee
Se a a er. rn
To ne | ae Oe an
mayiteel: Co aime he a “ae ied Dur. fei. “Daragb Taste (R5; Valt Tota (Sf oars |
Frees paca calor de cts operadoras cS a caosto ooo" “Hac "EOD yes |
ee an re seers Soosn onesie woo foo + &gt; cope SRE
Pond s5ues, piel ee) ae : Senthil. godotse “abst goo, ition &gt; c0G0 aad
egonagieonie madroutilge RE ho sos 6001! ‘ ae
fateaBoor pouesieee ati Eo ® as etl iidceatfuaiiah
Ly : # at ee sit outs) Wicca Sai
Tala eee § ered 3 bgt area past Reale IP tae Fatt OS) «Ye
Meee tna gee agg ae, a
ais Hoi, genmemlurh Deb "A. Gaal RED ed ere ra a
EO a “4 EGS tl ARE ld,
re ET chien aihh — dibiery. me ee
f i
imamet im) TS oS SEE PHB deotgoor 7" « “900 epee. 290 ual
Sioa eEsarmiceecuchcnbieee eR ow ar “er ciiio(asy |
‘Aokana cost poe core spe gantze SES KIS snmesomaise Tait Yen Ey |
ear is: i ee ty er” ce OB te |
wes, ee PE, ple de ae Bre ane ee. |
Boge eyes ¢ Be a 3 ce. ey eal
ee ae es aed 3 BEN 8 2 tes 9 Fi
oona Seg ES? 95 ate gang ae Pe ago pits
acer oe , 2 gia gh OR ge aaa ook wamgattite ose
Ce a. ene ee eee 4
a. Bi ag, Gee ee i
a, F, = i ME Gocisns “2 on BAST 00 H3
a i aE Poem. «ss, 98 Pete SRR
Sa a :o 2 9 RETR isnt one oo Eee |
a © oe eae a rn ee oe a
oe i. a ot neni oe oie "IB 0002 sh "0.
on oe sear. “Sigal SE ee
|
O DE LIGACOES E SERVICOS BO CELULAR (86) 99537 844 - ne Sf .8 Rihana
TAME TO DELGAEOESESERGOSDOSSUAAR GS) SSSTAST 6 agent
Monsaidadaso PatotesPromodionals pasate. £ es geet ai ve
“Deseiisio: ic ss pi ~ bars
fertaConjunta Clara Mik sce ae Shy, Be ~ha "|
glee ae yg AR eye SE Sg |
Rpocanonince soe el ee eee eee ga es
Facet aes Seis 3 3. 3 abhi Pegi al 58539
anita, dah ghesdi cttw tal ES Bees at</t>
        </is>
      </c>
      <c r="C75" s="15" t="inlineStr">
        <is>
          <t>NOTAS FISCAIS DE COMPRA JANEIRO 2026.pdf - p. 74</t>
        </is>
      </c>
    </row>
    <row r="76" ht="75" customHeight="1">
      <c r="A76" s="13" t="n">
        <v>75</v>
      </c>
      <c r="B76" s="15" t="inlineStr">
        <is>
          <t>OE ee
a oe xa ae ar a ee ee iF vag fotat xs) Varco
Uaiceegtdens OE _ oe ae cn SS gh care! lat) war oP es
. Pe re lie OT at o's sont sgipery toons ie * oe
poet ae, tose get: ge PO Senor Mpreetseec0008, 900 nn
SOAME: 24889 Faull 80 gah ee ~ a Rees er a sh 00.0420 3000 “pode 0,008 ;
Pare nee inal af + 8 tegationee paves’, 999080 2007 Ae 4
me Maenymainages 7 A Boe taattom saauer Conse 200d 20 ee oak
so ma. Eg B08 Dieey ceemeace’ bee eae nyt
fam geo oi ‘neg &gt; Rea Saher soon soa 200 «&gt; oan ee er
oe eee Faure tee ety aaa ea gees aegis a cee
bajo, 215526 rule(s, eee “Sele Ps sgg. BODES « CO00ST “oDasise 0, careers
a anal -, gp MO 0a wt Date
cat Bes! Poros ea wee coer sina wie eucaion lr aad 8);
a! sii oeoursopeatene A “Steere 2 ou tenn Daa Bi ODOR OOO a an, 0 i
eerie fi et eee P|
stl . ree ‘Bisassneso ‘Potini2s 000° 04 * 900 HR a
oars, nse" Pg hal cae ge Sg ioe oon oe ase ope aR:
Le sce pion, 0 RRO Ses eee ae oe OR
Sues nema or «RNR apaesinns eis sodentOm® "3 pe oot
“aba Sour age * yt seen se oe “ies i
paz. au Pall) Faw Oh ns a eee brad 3)
emt soa ag, me, See ae) ate
“ iiros especials eRe Pr pene " poateo'nge 00 ee es
F*Ubacbes para iis, Po ee aes Sozpie ago ono. ¢ 900 a
Data Hora. Ceigem( VF indBgrsmey Camda 0800 Loreen pages O09 sfo00” pe
oneeae to Gees Gamers eoorTen0g{ ene ae bots 4
Tear VE ee re ere ca a Me sunt AE ate) GEERT wucrtlSlo ws);
_,Senicos (eas its Joos ee) reg ee eo a rae 205
samen ee at wae ee eS co
ESE naevgee coe as eaapte vy crometst es ae a
rape senda delntemst pode kore ? is ee i BE 09.
edb doseid goer ia ae eo eet yi 4000 5 © 000 as s
Dotan dalnterntindvel 22% » SOR ei Ba esoo Ooo ieee
we Be - ee gees a Pye ee Jn a
nga . * See SE Se goog, |
joe Spee bers yi i See a oo ery |
Kee le SES og, Age ioe aco ge
bee 1 RE SS, Ste eS pie Sem ed
Bm, ve ieee aoe ye EBs ile a, 00. 0b
| sraataae eee a | EE BORO. eg tiene 1
we | See a ae Pate
ST es og Bt. a gee Es Be ET ooo | eae 0.000 ME, |
82 ee Pee oe ee eee nr os cael
rane © RE el oe hg eee ceo Sg
ze OR ‘ee a 2
ee ae EPG cd ie. 5 aed a eed 9,00.
ci a wee 2 RS a Pee aed “oe x
nn ie Le OOO a ae ae
ot ag ae ve a Re Baan pecans —
a anne, cP
oN EF, = . .
oa DES E SERVIGOS DO CELULAR (86) 99482 6047 te Mtoe
DETALYAMENTO DELIGASOESESERVIGOS DO CELULAR (6) a: ee “eganss
ede ~ Fes i. aa aia aan eee
lidadesePatotesBremodlonals mea ca ee ee ee |
oe ta Tate ae ge ore O,00.-— a)
Ae ee ase “SS att Z
“SRS yeatirs ? Pe ae. oe a
ane 2 = et EE ae
regents at a a ae Bh ce, ee z
i Aa eed
sett ns aoe Ge aay |</t>
        </is>
      </c>
      <c r="C76" s="15" t="inlineStr">
        <is>
          <t>NOTAS FISCAIS DE COMPRA JANEIRO 2026.pdf - p. 75</t>
        </is>
      </c>
    </row>
    <row r="77" ht="75" customHeight="1">
      <c r="A77" s="13" t="n">
        <v>76</v>
      </c>
      <c r="B77" s="15">
        <f>
eT
“2
é
ful
Wa Ty
SEETT
*
a
ets
a
.
erg
seo Tipedas, Hits.
es
ca
7
rs
seit Gtnegto)
-
Ray
ae
thes a internet move
ie
ag
a
‘Mbyt
sa
BME gee
aor brad ns) *)
ata"
#4,
w
ty
701966
i iv
‘990°
ha
PPosna’ St
oe
te
nae
3
ioe
om
Rg
1s
#
4
me
“poga:
oft
of
od
a
Hoe
ee
1900
a
ef
09
ore &gt;,
‘
10
‘900.
0,00
R
a
ae
on
‘5.
‘eon,
vm,
wink
sist
apt
jie
a
090,
ae
e
eas,
‘yoo!
i
2.00
wat
a
at
i
a
“et
a.
is
a
00
00
809
Dd
rene st
ve
oe
ogt
wt
as oan
#090
90
-
sm
oe
=
va 8,
psy
0.90,
sat
00
ih
me ae
ro
Ce
oe
att
290
ee Oats
Sac
IES E SERVICOS DO CELULAR (86) 9
7647
DETALHAMENTO DE LIGi
=
Dg
a
Mansalidides ¢Pacites Prot
Ig
es
&amp;
toa
Descrgho”
om
sath *
np
ot
Py
iadhiaas)
va
rita Caro Me
ated
ar
we
So?
o
R:
sonatas
romentir te
sat
wht
“3
+
*
ie
ai
ps0
yh
pe
me
i
‘onus detntemet Fuso =
aa
bite
wie
eee
ee
ey
“yee
PS" Caro rss2c8
ed
3
oe
wf
et
ee
ae
oe
So,00,
Jk}
acaba MBiTdade +
mere
‘
we
aa
ga
a
eh
Apleaieciias,
a
a
fF
=
=
a
7
Ee 05
7
a)
fe
f
Pes
Seivcos Tompédos,
yopiilec)
yee
ibe
Ea
ad
ine
ry
we
*Y
a
7
a
“Servi
ba
ae
say
ida Bek
treo:
os
Os
aed
&amp;
oan
a
&amp;
0.00 3
subtotal
038
ee
ee
x. Aebrana co aioe tele corer at890 5 eo a ct agement
ee
:
Dette! ta eirnet move
a
if
ye
“el
an
4
‘Muytes Utizados™  Taita(Rsy
Pan i
oz
it
a
0.0%
1000
‘900
E
oe
ae
ime?
9.000 .
"079,
“a
0.00
ee
1S DO CELULAR (8
19482364
DETALHAMENTO DE LIGAGOES E SERV
—
mm
pee
site
seit
we
Repose bac
ig Promocionas cine
ee
+
we
‘rota
oa te felina Coat
a
Ea
sae
ae
2 gid
805
&amp;
al
ra
‘ee
ee
iat a
ee
i
ced
“e
vag
yoo
te
”
‘cirsres2ct
by,
Fe,
ee,
ebiedade
ve
oe
ee
Pa
5
ne
atest
eg
CAs
ee
ey
aa
or
a
See
RSH 05
Et
we
ah
2
wt
res</f>
        <v/>
      </c>
      <c r="C77" s="15" t="inlineStr">
        <is>
          <t>NOTAS FISCAIS DE COMPRA JANEIRO 2026.pdf - p. 76</t>
        </is>
      </c>
    </row>
    <row r="78" ht="75" customHeight="1">
      <c r="A78" s="13" t="n">
        <v>77</v>
      </c>
      <c r="B78" s="15" t="inlineStr">
        <is>
          <t>—
1/3) 108 DI cauanaia BUSTRIAL DECIMIENT® AFODI OS PEODUTOS CONSTANTES DA NOTA FISCAL INDICADA AO LADO.
Ne
|
Newusssont
|
THI NTICAC ROT ASNATORA DO RECTREDOR
a
DANFE
“CoP 9MH14 FNOUSTRUAL DE CIMENTE APODE
SOR
Rcetmnnrenn
2]
“
WVU AQUI |
k
ow sucessty
et
0- ENTRADA
[etavE bE ckss0
1 SAIDA
0]
12326 0110 2602 4900
515500 1000.
1116 6264 4366
1
[Cos desea no poral macionar&amp;s NI-e
|
——
-
29535011
Fut
ww afe fizenda gov briporial ou no site da Sefaz Autorizadora
see
12S HAGATERTND
[RROTOCOLD De ACTORTACRODETSO
VENDA DE PRODUGAO DO ESTAI
ELECIMENTO.
09/01/2026 06:22:19
=
ISCHIA
Istana
SCI EST. SUBS TRITTARIT
ERATERP
y6204
0
-
198320865
10.260.249/0003-5
—
=
%
it
[exo
ara awa
| SKAL ENGI
NILARIA [NDUSTRIA E COMERCIO LTDA.
23.655.038/0002
(0vi0 1/2025
anno DSTATTO|
co
lpr ENiRADA SADA
AV SAO FRANCIS
000 VD.
EXTREMA
6076-450
01/2026
or
INSCmIGRO ¥STADUNT
‘ony sAi8s
RESINA
aula
PL
1yaddo208,
tts
oa
cf
|
i
i
ie
Tae
EAU
TRON
Tae
TATA DORIC
TENCHU NTO
wa
‘ont
me
San
SoS
Sara BON
NSEDECRIEUIN DONS
VALOR DO TONS SUBSTIRUAT
VALARTOTRL BR PROT
a
97,50
895,70
0.00
0.00
15,797.50
in iF
COROT
VALOR BO DISTORT
TONS BISPSAT
FAIEROT
VAL TGTAT TIN NaTA
0.400
0,00
0,04
1.00,
0,00
"15,797,50
z
AA SDCAL
ETE PORTNTR
[cao ANTT
ACA DOVECOT [OF
er
Thor cao dota
‘OUNG
N
@ srvsratio
=
NTT
Tr
RSCRCAD STR
|
%
ssnisi
ewer
TAROT
SOME
STHROTS
ASOT
=
35,500.00
GRANEL
APODI
55,500,000
35,500,000
DESCRITNT FRODTTO SERVIC
Sa CFO ON
TANT
TAIT
TaTar
Tee
TAI
TRO
a
oNTAR
Yorat
tos
as
we
TRC
ATT TTIE
[ma OT YF
3]
i
i
es
| |
_
he
ra
00012
M
TAREDETATPUTO DON
5 FRor RCT
‘laa
am
[ists
SConNCTANST
RESERVADO ROTO
e
f
X
el
Mens 30D Le 21572201571 21865.25885,
ALMOX,
LANC,
is
ARIFADG
/assinatura
IRECERIDH For Levi RUFFINO
CASCAVEL - CC \
C
SM, OB/Or[26.</t>
        </is>
      </c>
      <c r="C78" s="15" t="inlineStr">
        <is>
          <t>NOTAS FISCAIS DE COMPRA JANEIRO 2026.pdf - p. 77</t>
        </is>
      </c>
    </row>
    <row r="79" ht="75" customHeight="1">
      <c r="A79" s="13" t="n">
        <v>78</v>
      </c>
      <c r="B79" s="15" t="inlineStr">
        <is>
          <t>Tes
PRODUT
Flav SERVIGOS CONSTANT
NF-e
0
Tove &amp;t
SuUCOES EN PRODUTOS = B9UzH
SRWENTOS PARA LABORATE
Be
T1/i1/2025 VALOR TOTAL
Re 27-000, 0
i’ ceenruktanio: SKAL
=i
an
861
Bs
3 FISCH
TELETRON
TER ENDYCADA ABAIXO, EME
a
Saas
Pans
ee
400
OVE JUREMA Ts
We
h
ita
REA COUR
re
poe eS EATORA DO RECERLOOA
série 1
EAS oe REcEEMENTO
“Finer
ak
aR
RD Bo TENE
DANFE
Documento Auxilier
IN@vE
da Nota Fiscal
-
 - EXPRADA
pened
1 - SAEDA
‘3525 1160 3663 4500 0198 $500 1000 0008 6110 8358 874
0
move sou
jeots Ex PRODUTES E EOVTEANENTOS PARA LXBORATORIOS
716 ~ GALPAOT
g61
RUA PIRATININGA,
BARCELONA ~ 09550-
160
Série 1
we
Consulta de
‘gutenticidade no portal nacional 48 NF
2
ne
(21) 96696-9864
|
a
a 2/2
singe. foendagorbe/porea
ois no site da Sofas Avtort
19 Caetano do Sul ~ SP
FRGIOGSUS BE NTORIIAGRO BE 05D
|
a SERGE
ws
12/11/2025 07:42
Recebida de Terceiros
|135253428884672
Venda de Mercadoria Adquirida,
PREGEGGhS ESTADUAL bo SUSGT. PRIBUT.
60.366. 345/0001-95
4
F
GSpereho ESTADUAL
\
636.598.435.112
ATR ow EREEHE
DRSeINATARIO
ENETENTE
arr
oF
sath
23.655.038/0002-89
|
SER Bn SATOA/ENTRADS
11/11/2025
fe
kAL ENGENHARIA INDUSTRIA E_COMERCIO LTDA.
eine
Tsao
=
ia 64076-178
412/11,
025,
PARQUE JUREMA
Ta
[TRSCREGAD ESTADOAL
f
DRS x EXER ENTRASH
=
feowset#a0
\VENIDA_SAO FRANCISCO, 4000
194446298
07:42:03,
36) 2107-4700
1
Teresina
TF ERAS
aR BS TIE [WRLGR TEAL BES RE
SaUCULE po BEDS
ate BE Cae
TSS ET, [RIOR Do TORS SURE
0,0
28.961,00)
Te acai 20 Ten [VATGR BO TORS
0,00
0,00,
0,00,
|
Ga ctrine [HAR TOTAL OR NOTA.
a
o
o
fouTias DesrasnS
tavoR TORRE DO PL
27.000 ,00)
a
om
os
0,00)
0,00)
o
=
ig
0,00
9,00,
1.961, 00,
pADOR
‘VOLUMES TRANSPORTADOS,
To veto
can oF
eae
IRL
Tans — eget FOR CONTR
eaeiee NT
*
|
12..062..320/0001-55
(2) bestinatarto (FOB)
TaGeRtGho ESTRGUAL
\cRANS VMC TRANSPORTES LTDA
oni
796016805112
SERECO
Guarulho:
Te!
Paso Higvis0 CEG)
lavenida Papa Joao Paul
z
ros
87_GALPAOO4
ENS
fous
a
ci
270,960)
270,960
\
4
CAIXAS
oa
Tae
a
Tae
oa
a
|ADOS pos PRODUTOS / SERVIGOS
BescRICAD 00 FH
—
cro
a
“oun
co wre PALOR TORR
po
[fea
To.98
neu
GED
a6
om
ry
-
Zeca]
TH10,00
oy
0,00
ai
Ee
TN RD
moo
Teach $0505
4ei5i000
ayo.
a
Fy
35,09
250
09
os
9.08
eat
ik ALO
oe
ok 30.6n15064
6081250
Fe
6.09]
‘aie,
6,00)
:
Ee
Box onzbi cow Fux
ik be ALTHO QUADEADA NEDENOD
fines tt
7
=
3.08
ara
Oye
om tno CACAO
wnainio)
aa
ioe
a
€.906,09|
00;
laneasicra mn
fae
ADE 10
5 Got EE TON0
i rastiaaas
jstaa. Som Een
a
|
.00
3,60}
6,06
acy
sichaso 160 FONELADAS
aafseaan | 0%
é
z
8,00
neh wn
forenoon 100
F
ETAT)
5.09
3,09]
a6)
Or
7
zak G&amp; BEANO be AS 67 OEScO' wuDPREAE 10820
oreo
i
208
om
"
i
129,08]
88,0)
or)
tied
fora ©
inate
SGch EW KGS DARD ANGRIASSA
sal eaa0¢900| 6208
od
Fone SceQUERt
ea
a
73
aa
448,09
a.te|
3,00
00
ses
eorreNe “0
‘RiozE PARA CORED Ge PROVA LOKzOGH
.
in
5 [ean eiae
oe
AL
ion
as
kJoO
COMP!
6
GADD EM:
wr
|
P/eaecus oe Pawmed
(RasERIADS KE FERC
‘DADOS_ADICIONATS
(suromacons CoMPLENEREARES
pe
De
adedaltix.con
te
ai Be
einen 20 neseee
tiles
tonal. t-¥ao gets di
a cresite 14
ae
soe
rer.
ite
Bt
por
Pot atda eradito fo TCHS
ELE, speante
ng Tasos Centorne aliquots eo
Bs
icles 36
eS as
pase
Jidsi &gt; Rowezed by Onbexperience 5/A © 2028, wow
oo
z
as as 07:42:14
white</t>
        </is>
      </c>
      <c r="C79" s="15" t="inlineStr">
        <is>
          <t>NOTAS FISCAIS DE COMPRA JANEIRO 2026.pdf - p. 78</t>
        </is>
      </c>
    </row>
    <row r="80" ht="75" customHeight="1">
      <c r="A80" s="13" t="n">
        <v>79</v>
      </c>
      <c r="B80" s="15" t="inlineStr">
        <is>
          <t>‘eee
TETFICAGAD BO BETES
fica de CC-e
:
’
ae
Repres:
entagdo Gra:
(Carta de Correcdo
Eletrénica)
inoyé
10000086110835887 4001
ara raponaronsos
Zp do Evento: 11011035251160366345000195550020
move
sALPAO?
Criado em: 11/11/2025 as 10:08:31
“of Puiktnasea, Tie ~ ©
21/24/2025 as 10:08:32
‘BARCELONA ~ 9550-160
9864
Protocolo: 135253422533137
= Registsade ma SSERE em:
so Caetano do Sui - SF (11) 96696
Erait: neti@inovesm.com.DE
es, vimos por meio des
‘ca comunicar-lhe que a Nota Fiscal,
pe agordo com as dete!
rminagées legais vigent
que estao
destacadas e sua:
3 respectivas corregoes,
abaixo referenciad
a
conten irregularidades
Sautar seus langamentos fiscais.
Solicitamos que se:
jam aplicadas
Qssas corzecdes ao exe’
»
série: 001
Nota Fiscal: 000.000.8621
HA
CNPI do Destinataézio: 23.655.038,
/0002-89
{NAR
3525 1160 3663 4500 029%
15 5500 1000 0008 6110 8358 8740
de 15 de dezenbro de 1970
e pode sex uriitiads para
ia pelo paragrafo 107
wna dg art, To do Convento $/My
na
.o esteja relactonado
‘cont
Pas variavels que
s3ca6
A cart
1a de Correcao © disciplin:
de erro ocorride
‘ne enizeao de document:
2 Efseal, desde que © er
‘aliquota,
diferenca,
‘de preco, quantddade,
"
‘ata de emicsao ov de saida.
va:
lor da operacao ou di Pre
eguiarizacao
determina
‘valor do smposto cate como: ba
ise de calcul,
‘Go destinacario; III - 2
&gt;
SPs a corceceo
Ge dados eadastrais que imp)
gue mudanca do renetente OU
icoRREGOES A _SEREM CONSIDERADAS
SKAL SEGUE
(NO DA OBRA: 90.025.09883/73
1
@
rr
te
ad
woth
one
1.
=
meres
ig
Be
‘
of
i
$
a
/gBee1 oe Poenarea
‘ot mpresso apenas para sua informngs
fo @ nfo possut, validede fiscal.
bo Goe bortais das SEFAE.
Bote documento $ una rep:
esentagde grética da CC-0 © f
ida em arquivo elec
‘Sendco iis e pode ser consuitada atrav
‘
{Gore deve ser recebida © nant:
TOF
~ Powered by talenperience 67h © 2025,
‘wee. alas eos bE
=
“Joreaso ea 11/11/2025 a8 10
%,
cel
ae
ee
~
a</t>
        </is>
      </c>
      <c r="C80" s="15" t="inlineStr">
        <is>
          <t>NOTAS FISCAIS DE COMPRA JANEIRO 2026.pdf - p. 79</t>
        </is>
      </c>
    </row>
    <row r="81" ht="75" customHeight="1">
      <c r="A81" s="13" t="n">
        <v>80</v>
      </c>
      <c r="B81" s="15" t="inlineStr">
        <is>
          <t>(DOC. AUXILIAR DA NOTA FISCAL FATURA DE SERVICOS DE COMUNICACAO ELETRONICA
RAZAO SOCIAL: J RC DE ANDRADES LTDA
TQ
ENDERECO: RUA BORGES MACHADO, 1426 - ANEXO B, FREI HIGINO
CONNEC T| CIDADE: PARNAIBA/PI - CEP: 64207-008
NPY: 06.987.622/0001-31
IE: 19674590-0
CONSULTE PELA CHAVE DE ACESSO EM:
https://dfe-portal.sefazvirtual.rs.gov.bt/NFCom
EI | NoTA FISCAL FATURA N°: 000005011
SERIE: 001
CHAVE DE ACESSO:
Pee
DATA DE EMISSA\
)3/0 1/2026 09:22:41 |2226 0106 9876 2200 0131 6200 1000 0050 1110 4977 0271
gs
MODELO: 62
Protocolo de Autorizacio:
3222600000529856 - 03/01/2026 09:32:30
DADOS DO DESTINATARIO:
SKAL ENGENHARIA INDUSTRIA E COMERCIO LTDA.
NRO, DO CLIENTE: 10452
Referéncia:
01/2026
ENDERECO: AVENIDA EVANDRO LINS E SILVA, 13 - KM 21, SABIAZAL
Venciment
15/01/2026
CIDADE: PARNAIBAPI - CEP: 6421:
90
ENPSICPF:23.655.038000289
19448629-8
Total: RS 139,90
Celass
PIS
COFINS
BC ICMS
% ICMS
V.ICMS
# | Deserigio
UN |QTD |v. UNIT |V. TOTAL
ry
-M-DELTA $00
100401
UN
7
RS 139,90
RS 139,90
S000
S000
RS0,00
0.00%
S000
VALOR TOTAL NFCOM
VALOR TOTAL BC
VALOR ICMS
RS 139,90
RS 0,00
RS 0,00
Reservado ao Fisco
Informagées de Tributos
Tribute
Valor
PIS
S000
COFINS
S000
POST
S000
FUNTTEL
R500
Informagdes Complementares
Area do Contribuinte e Determinagdes da Anatel
“
Identificador de
Céaigo de Barras /Linha Digitavel
QR Code Pix
Débito Automnético
aye
oe
es
Hat
iia
|
|
|
|
ll
!
|
Ill
I
|
I
|
l
ay
of
pis
(00190.00009 03661.134001 00137.430179 1 13270000013990
soe
Naa
Be
yeu
} |
——
OMPR.,
‘ADO EM
a8
Inaturi
vi
a
=</t>
        </is>
      </c>
      <c r="C81" s="15" t="inlineStr">
        <is>
          <t>NOTAS FISCAIS DE COMPRA JANEIRO 2026.pdf - p. 80</t>
        </is>
      </c>
    </row>
    <row r="82" ht="75" customHeight="1">
      <c r="A82" s="13" t="n">
        <v>81</v>
      </c>
      <c r="B82" s="15" t="inlineStr">
        <is>
          <t>DANFE
Distribuicao de Alimentos Vanguarda S/A - Mercado Dirceu
[Av. Deputado Paulo Ferraz, Loja 02, 1817 -
Documento Auxiliar da
‘Teresina-PI- Cl
(64075-535
‘Nota Fiscal Elewani
l
0-ENTRADA
MOM A A |
Pone: (86) 3216-8251 / 3216-1627
ae
ene
v
1-SAIDA
122260131 #38 2800 2520 5500 1000 0608 8718 5261 0083,
60587
RUPO
Consulta de autenti
de no portal nacional da NF-e
VANGUARDA
seme
1
wwwnfe.fazenda.gov.br/portal ou no site da Sefaz Autorizadora
youn 1/1
[arora
| ena err
SCRE
Poors
SRA ESTING TAT
err
RGEC BE ARERR BETS
196358728
'31,838.128/0025-20
i
2226000780714 12/01/2026 14:29:29.03:00
_
]
INATAROEETENTE
-
-
aR
(Rowe nssko seein
etic
| SKAL ENGENHARIA E IND EB COM LTDA.
23,655.038/0000-89
12/01/2026
|
TRS
[enero
paar]
VLA ROD BR 343
3185,
SAO RAIMUNDO,
wr
INSCRIGNo ENOUAL
omar EAs
12/01/2026
Co
or
TORE
TERESINA
164075.010
8621074700
PL
194446098
it
14:29:23
avi. DuPLics
i
TIER
we
aa
RE
REE
aa
a
Fever
ame
i
oor
t
‘300,00
11/02/2026
l
L_
i
GALLO po nNPOSTO
-SEBE ALEC DOTS
TROTTER
TS REVS TORS STRSTR AT
RR DTT TTTTTIGTS
TRL FADO ROBOT
0.00
SCR
0.00
 STRRAS TSPSASA
ae
0,00,
ALOR TALBOT
300,00
LOR TOTALDRNOT
OTE
TALK DOR
=
0,00
0,00
0,00
0.00
{00,00
Anson
vou
SSPORTADOS
Tou Fark
ech
RETEFOR ORE | CODON] CABO VEICUS
ener
RETR
0 Remetente
w
RETREAT
PET
it
a
ARR
aa
Wao
aT
FST
SOTA
1,010,000
1
1000
2
[
a po opto HNIC
a
vm
00,
eschigko nos RODUTES/SeRIGOS
‘ests [es fron owe] quarmipane] vunirAno
wom] wane
oe
wes
ccm
i
‘SALMOIDO CINCOESTRELAS CiODO 1KG 2010011) S103 UNI
00.0
000
sg
2,
00)
8)
i
|
DADS ADICIONATS
———
NFORMAGDES COMPLEMENTARES
YReSERVADO AO FISCO
Clete: SKAL I! NraCara. 262801 - Ketter: FLIANDRO DE SOUSA SOARES -Telfone: (86)
rs
| proene: H81- Fame Pape: HOLE Cond Pag: 30 DIAS - Sequence Enea 1
|
|
Welisor
di
Paula
Almof
arifado
ALMUXAR|FADO
LANCAt
EM.)
wt Tours 26
ssinatura
—
=
Tape plo Sharm «Forme NDDigiad SA Tl (9) S780</t>
        </is>
      </c>
      <c r="C82" s="15" t="inlineStr">
        <is>
          <t>NOTAS FISCAIS DE COMPRA JANEIRO 2026.pdf - p. 81</t>
        </is>
      </c>
    </row>
    <row r="83" ht="75" customHeight="1">
      <c r="A83" s="13" t="n">
        <v>82</v>
      </c>
      <c r="B83" s="15" t="inlineStr">
        <is>
          <t>Prefeitura Municipal de Teresina
wg
0)
Secretaria Municipal de Finangas
fe
Ci
Nota Fiscal de Servigos Eletrénica
ee
Sé
NFSe - Prestador
an aes
Saas ely AFB
ed
DADOS DA NFSe
‘ertcac alr dnt clon GR
Némero / Série
i atnalasde ncn &gt; poral de
fim ‘cormime do Cosge oe Vossearic
Data o hora do omiss0
Gompetincia
76T 10
Hse.
saotr2028 11:42:27
012026
EMITENTE PRESTADOR DO SERVIGO
Inscrigtio Munlelpat
Telefone
CPF /CNPSINIF
999247-0
(95) 3223-8790
09.244.08710001-17
E-mail
Nome / Nome Emprosarta
EDWARDMOURA@EDWARDMOURA-ADV.COM
EDWARD MOURA SOCIEDADE INDIVIDUAL DE ADVOCACIA
Municipio
cEP
Enderego.
TERESINA/PI BRASIL
4053-170
RUABOUTOR JESUS DA CUNHA ARAUIO S602 SALA 001
SANTA BABEL
TOMADOR DO SERVIGO
Inscrigdo Munteipal
(CPF IONPS/NIF
0003154
Toletone
23,686.038/0002-89
E-mall
Nomo/ Nome Empresarial
nolafiscal@kolfix.com
'SKAL ENGENHARIA INDUSTRIA E COMERCIO LTDA,
Muntetpto
cer
E
[AVENIDA SAO FRANCISCO 4000 0 BARRO EXTRENA
‘TERESINA/ PI BRASIL
64078-450
SERVIGO PRESTADO
cNgagcBO
69 @1-01 - SERVIGOS ADVoCATICIOS
47.48 -ADVOCACIA.
‘TERESINA PI
Local da prestagio do servige
BRASIL
als da prestacdo do servigo
DESCRIGAO DO SERVIGO PRESTADO
nonerkrios advocaticioe
[LS
Yeuc. 1Slos
OMPRA
1a
NCADO EMI
“pee
Ss
TDOCUMENTO ENITIDO POR ME OU EPP OPTANTE PELO SIMPLES NACIONAL
7 ITACAO MUNICIPAL
\dade do ISSN
‘TERESINA -PI
‘Muntciplo da Ineidéncia do ISS0N
PRESTADOR DO SERVIGO
Rosponsavel polo recolhimento do ISSQN
Exigivel
Rotongiio do ISSQN
‘Situago do prostador do sorvigo perante o Simples Naclonal
Rogime espacial de tributagso do ISSQN
NAO RETIOO
‘OPTANTE
‘Simplos Nacional
CALCULO DO ISSQN
‘Total das deducéos (RS)
Desc. Incondicionado (RS)
Bat
do cétoulo do ISON (RS)
Valor total da NFSo (R$)
9,00
497520
‘Alta, (4) Valor do ISSN (RS)
a
4.07500
9,00
RETENGOES
INss (Rs)
SLL (RS)
Outras retengBes (RS)
ISSQN (RS)
IRRF (RS)
PIS (RS)
COFINS (RS)
0,00
0,00
0,00
0.00
0,00
0,00
0,00
VALOR TOTAL
Base de célculo do ISSN (RS)
Retengdes (R$) Desc, Incondicfonado (RS)
Dose. condictonado (RS)
0,00
Valor Liquide da NFSe (RS)
4.075.00
4.075,00
0,00
0,90
INFORMAGOES COMPLEMENTARES,</t>
        </is>
      </c>
      <c r="C83" s="15" t="inlineStr">
        <is>
          <t>NOTAS FISCAIS DE COMPRA JANEIRO 2026.pdf - p. 82</t>
        </is>
      </c>
    </row>
    <row r="84" ht="75" customHeight="1">
      <c r="A84" s="13" t="n">
        <v>83</v>
      </c>
      <c r="B84" s="15" t="inlineStr">
        <is>
          <t>36
Prefeitura Municipal de Teresina
Si
zat
Secretaria Municipal de Finangas
oA
aS
Ey
Nota Fiscal de Servigos Eletrénica
fogs
NFSe - Prestador
SyERZO7Sa
ae
‘eitenapeesusarne cide She
Wee poe et
DADOS DA NFSe
SEE htths do Coago ee vemeaso
| pata hora de emissio
Competéncia
Némero 1 Série
Exiasorediace dom #0 bra ee
oveces
3804/0
[osevanas 16:20:36
EMITENTE PRESTADOR DO SERVIGO
(CPFICNPSINE
Insetlgo Muntelpal
Tolefono
‘94:704.452/0001-05
994379-2
(86) 4009-9000,
E-mail
Nome / Nome Empresarial
CONSULTING AND INFORMATION SERVICES LTDA
em@rmicresina com.br
Munieiple
CEP
Enderoso
TERESINA / PI BRASIL
4017-045
RUAJOSE DOS SANTOS E SILVA2659_PICARRA
TOMADOR DO SERVICO
Insctigio Municipal
Tolofone
(CPF/CNPJINIF
80316-4
23055.038/0002-89
Esmall
| Nome / Nome Empresarial
rancsio@kalt.com
| SKAL ENGENHARIA INDUSTRIA E COMERGIOLTDA,
EP
Enderego.
E
Municipio
63076-450
[AVENIOA SAO FRANCISCO 4000/0 BAIRRO EXTRENA
RESINA/ PIBRASIL
|
‘@Rvico.prRestapo
1CBO
£6208-1700-00 - SUPORTE TECNICO, MANUTENCAO E OUTROS SERVICOS EM TECNOLOGIA DA INFORMAGAO
Servigo
01.07" SUPORTE TECNIGO EM IMFORMATICA, INCLUGIVE INSTALACAO, CONFIGURACAO E MANUTENCAD DE PROGRAMAS DIE COMPUTAGAG E BANCOS 05
Local da prostase do servigo
ais da prestagie do sorvigo.
TERESINA/PL
BRASIL
DESCRIGAO DO SERVIGO PRESTADO
{
I
EFERENGE A Proposta: TOPIOOZ7/202S, PACCEDTINNTO OEFRACIDIAL CREDITO E CORIAICA. PARCELA 03/03
{
‘
a
‘DOGUNENTO ENTTIOD POR NE OU EPP OPTANTE PELO SlaPLES NACIONAL,
IBUTAGAO MUNICIPAL.
‘Exigibildade do ISSQN
‘Munleiplo da Ineldéncta do ISSN
Responsivel pela recothimento do tSSQN
Baigivel
TERESINA -|
PREGTADOR DO SERVICO
Retencio do ISSQN
‘Silungéo do prostadar do serviga perante o
plea Nacional
Regime eapecial de tibutagao do 1SSQN
NAO RETIDO
OPTANTE.
Simples Nacional
: CALCULO DO ISSQN
‘Valor total da NFSe (RS)
Total des dedusées (R$)
ese. incondiclonado (RS} Base de célculo doISEQN (RS)
Alig. (8)
Valor do ISSQN (RS)
i
9,880.33
00
0,00
9.489,93
/ RETENGOES
1SSQN (RS)
IRRF (RS)
PIS (RS)
CGOFINS (RS)
NSS (RS)
esLL (Rs)
‘Outras retongées (F8)
0,00
0,00,
0,00
0,09
0,09
‘oo
0.00
| VALOR TOTAL
‘Base de eficulo do ISSN (RS)
‘Des. Incondicionado (RS)
ese. conaiclonado (RS)
Valor Liquide da NFSe (RS)
1
9.689;39
Ratengbe
0,00,
00
9583.33,
| INFORMAGGES COMPLEMENTARES:
i</t>
        </is>
      </c>
      <c r="C84" s="15" t="inlineStr">
        <is>
          <t>NOTAS FISCAIS DE COMPRA JANEIRO 2026.pdf - p. 83</t>
        </is>
      </c>
    </row>
    <row r="85" ht="75" customHeight="1">
      <c r="A85" s="13" t="n">
        <v>84</v>
      </c>
      <c r="B85" s="15" t="inlineStr">
        <is>
          <t>SR TNEVANUAgeuuaniiqimmonimaiiiami a a
| vocusenro auxiuian | |
DANOTA FISCAL | |
INDUMIAK | oe
(ENTRADA ia = gaa
* Induoa Mule SADA foe
inj Meosro ero. 165-8 ha Gaga 7208 491552000701 550010002526 761926009087
20782 000 laaguice sl St Bash wsianadie |
Leena Senee &gt; Ci ita de ficidade il tonal da NF- ite.fazend: cbr! 7
capone onan ‘onsulta de autenticidade no portal nacional da NF-e www nte.fazenca.gov.br/portal ou no sile da Setaz Autorizadora
GaTURETA ba OFERAGIO BROTOOSLO RATOREAGIO DEUS
YENDA OE NERC ADQUIRIDA OU RECEBIDA DE 3° [baansost 460236 tetas 1557:32
‘SoRGRO ESTADUAL IRB ASTAL oO suBST TRBUTAR era
250.190.760 ae. 2820001-91
Ine TRARKO SOOT = — rar ERNOAENSTAO
g __ [Ska ENGENHARIA NDUSTRIA E COMERCIO LTDA. 69649) [e635 c9ec0c2-93 eezces
&amp; wleomeco &gt; annooiTire a ITA OA ENTRADREAIDA
§ B/AVENIDA SAO FRANCISCO, 400000 iecrnena 076460 fetore0es
BhauNcio 3 Foner G IRGOAGAO ESTADUAL in Ok SAD
Bra rercsiva leesorar00 i toveasaoe
“3 he a 7 i
Hl | ae
— ease ok RETO DOES ——rmontei8s REDE CRBULODOIS SY ~~ ens BRETTGRS Vaan Tora BOS RODUTES 7
ge 1esa723] 200, 0,00 6,00 1:391,53
3 Bimowsorte 7 xtonnoaeaun loesconTo [GaTAAS DESPESAS ACESSORIAS VALOR TOTAL GOTH WNGATOTAL DANG
Fe | 120,05| _ _ _9,00 9,00 75, 65| __ 3 587,23 |
= Enh ae HAGAD SOCIAL JFRE I= POR CONTA [GODIGO ANTT ]P-AGA DO VEICULO [oF JONPUCPF - |
z pos TRANSPORTES LTDA lo- DO EMITENTE i | [0575860000173
Elewoenego oO jaonicino a ail jor | NSCRIGAO ESTADUAL ~
Gait rnorescon muso oenaon, 20 : JARAGUADO SUL isc_fasseasors
» 2 Slouavipaoe SRE ARCA nee PETRA E50 GUIS ,
rs Ee] 1 carxa| 6,00 64005,
VN comes foo be Fins wise. Soono wed iatone TEED) ceo] waa] wo] Sema] — aso] —veaas| vows] Tas art tay aos 1%
BAP) conoonzare loot rustvet. zvoc: 2002-1611 sswrooo}00| site] Pc} aoa} aa7a)—anae|asnzi| tua | 2500] &lt;00] 975
000207880 levoco cONTAT® IRA BCLOF-CsM KES wees soo] e102] Pc] 10.000 1897 e870 20089) 1408 1685] 700] 975
_ | fee \ra ye | | | | |
| WS \\s | |
i \Y se | | | | | |
8 \Ve | | | | |
28 b \ | | | |
| RR ORUATOES COUPLETENTARES a RESERIATO MO REGS— |
[pon a sencnzon:8 So Aro GA SNACK, SHO ACEITARDNS RECGRNCORS AP0S 38 HORNS 00 RECHASMENTO. HAVENO HOTTVO # eS
‘ g ene es earce Eee RiG, aS GOMPRAS.
5 LEC IDO (Os ec cAng emea OP r2e
a) ?/ Peso cad ARG MASA | wan : |
eg ‘ LE ICL | 202 “
i” “ @
|</t>
        </is>
      </c>
      <c r="C85" s="15" t="inlineStr">
        <is>
          <t>NOTAS FISCAIS DE COMPRA JANEIRO 2026.pdf - p. 84</t>
        </is>
      </c>
    </row>
    <row r="86" ht="75" customHeight="1">
      <c r="A86" s="13" t="n">
        <v>85</v>
      </c>
      <c r="B86" s="15" t="inlineStr">
        <is>
          <t>INDUMAK MAQUINAS LTDA.
(CNPJ: 84,431.352/0001-91 - Insc. Estadual: 250130750
RUA JOSE THEODORO RIBEIRO, 165 - ILHA DA FIGUEIRA - JARAGUA DO SUL - SC - 89258-000
&gt; 4
Tolefone: 47-2106-0555
ORCAMENTO N° 106747
Data Emissao:24/11/2025
Cliente:
SKAL ENGENHARIA INDUSTRIA E COMERCIO LTDA. (69643)
CPFICNP,
23.655.038/0002-89
Inscricao Estadual:
194446298
\VENIDA SAO FRANCISCO 4000/D - EXTREMA
Enderec
Cidad
ERESINA
Estado: Pl-PIAUI
cE
64076-450
Fons
(86) 2107-4700
Fax: (86) 98128-2626
Email:
kalumetop@gmail.com
Atendente:
VANDERLEI SANTOS
Fon
47-2106-0515
Fax: 47-2106-0503
Emai
vanderlei.santos@indumak.com.br
Moeda:
REAL(R$)
30 DD
/
Condicao de Pagamento:
pee?
Transportadora:
Por conta do cliente
Tipo Frete: FOB
Previsao Faturamento até
15 DIAS UTEIS
Validade Orcamento:
10 DIAS UTEIS
Item
Un.
Desericao
NCMICH
Qtd.
IPL
Preco Unitario
Prazo
Codigo
Valor Total item pas tamonto
233955,
PC
‘TUBO DE FLUXO ENSAC.DE SOPRO 40169990
6.000% 3,25
10469
1.108,14
46 DIAS UTEIS
MEC.L350MM.
62979
Po
BORNE FUSIVEL 24VCC 2002-161
85369090
6,000 7 9,75
4973
298,38
2 DIAS UTEIS
1
207559,
Po
BLOCO CONTATO 1NA BC10F-CSW 85389090
10,000
9,75
169,70
15 DIAS UTEIS
WEG
Outras Informagées:
* Condigdo de Pagamento sujeito a alteragdo mediante andlise de
Total Orcamento
crédito *
R$
Total Itens
1.576,22
* ALGUNS ITENS ESTAO SUJEITO A ALTERAGAQ NO PRAZO
DE ENTREGA, CONFORME DISPONIBILIDADE DE
Valor IPI
ESTOQUE/FORNECEDOR NA DATA DA EFETIVAGAO DO
Total Geral
PEDIDO*
4.687,87
ested
hen
XDA
Gi
erent
as
N
80)
Ap,
SKE
A a
3
24] 11 [PO2s
‘ASMKTELOR600
112
ies a
_</t>
        </is>
      </c>
      <c r="C86" s="15" t="inlineStr">
        <is>
          <t>NOTAS FISCAIS DE COMPRA JANEIRO 2026.pdf - p. 85</t>
        </is>
      </c>
    </row>
    <row r="87" ht="75" customHeight="1">
      <c r="A87" s="13" t="n">
        <v>86</v>
      </c>
      <c r="B87" s="15" t="inlineStr">
        <is>
          <t>ae INDUMAK MAQUINAS LTDA.
NW CNPS: 84.481.952/0001-81 - Insc. Estadual: 250130750
AR. RUA JOSE THEODORO RIBEIRO, 165 - ILHA DA FIGUEIRA - JARAGUA DO SUL - SC - 8928-000
Telefono: 47-2106-0555
SO NP ie Fe Le, aD
\ ORCAMENTO,N&amp; 10674 a ed re ee Data Emissaoi24/11/2025/'
VANDERLEI SANTOS: SKAL ENGENHARIA INDUSTRIA E.
(VENDA DE PEGAS) COMERCIO LTDA.
Aprovagéio do Orgamento Data da Aprovagao:__/___.
Mensagem
Ao assinar a aprovagao deste orgamento, o cliente afirma total concordancia com os termos acima
expostos, declarando estar inteiramente de acordo com as informagdes dos itens, valores,
quantidades e condigées comerciais acordadas por intermédio deste. Em caso de pecas de linha, a
devolugéio serd aceita com 0 frete pago pelo cliente.
ee
‘ASMKTELOR60O 22</t>
        </is>
      </c>
      <c r="C87" s="15" t="inlineStr">
        <is>
          <t>NOTAS FISCAIS DE COMPRA JANEIRO 2026.pdf - p. 86</t>
        </is>
      </c>
    </row>
    <row r="88" ht="75" customHeight="1">
      <c r="A88" s="13" t="n">
        <v>87</v>
      </c>
      <c r="B88" s="15" t="inlineStr">
        <is>
          <t>~~" DECLARO OVE RECEBI 09 VOLUVAUES BESTE CONHECIMENTO EM PERFEITO ESTADO PELO-QUE DOU POR CUMPAIDO O PRESENTE CONTRATO OF TRAMSPORTE_
ia —_ omen
fees a
SRT aR
i
“GATE
scone Aan 20 cove o8 MPEGS sopbrino
Wisc tr acieneN on
FG eine moa Bee
Toney ncn ce ss Nees
sahachom woman ene
Some ne oe
sama en ar a
S| Geineanora Smee,
Sous vcore Sau me
Si aorarnoenonr
sanamsrane is bnanscoratn
Uormmenmrenns
TAR6ANAT. 70ST ATORNST?-S100,1000.6084,0818. 900.0606 (5133 . PRESTACAO DE SERVICU DE TRANSPORTE A ESTABELDCIMENTD COMERC)
aa cr occ aoe Sa area ec
fees ccna Semcer” srnmvuncace nn: eh
oe Ge cromon [ome tat om aonsn
ert, earn santero om Some coos enone mc
Senin = nme pore
saa a
fmm Sasa
heed co fence -
— veo me scoters
oe = ae me
Dae TTT =e =e
fms west a on omen
iw Deana nauplodon: nue a
aromas Soo
anon am Baas
[___psoenero Rou awanes
ed ee ame
or rs =
rae Sao St ST ET
a a frou
rea se bara CER
sso = nomen
ae TO
eee ee
eee me = Ge
es
00. TC... | stra; e0, BEANS
to ae Ts —— ART
ALMOXAitFADO
[rhe
{4 [VEO EXCLUSVO DO ENSEORDOCTE
‘
Welisoifde Paula
Almoxarifado
a os / 26</t>
        </is>
      </c>
      <c r="C88" s="15" t="inlineStr">
        <is>
          <t>NOTAS FISCAIS DE COMPRA JANEIRO 2026.pdf - p. 87</t>
        </is>
      </c>
    </row>
    <row r="89" ht="75" customHeight="1">
      <c r="A89" s="13" t="n">
        <v>88</v>
      </c>
      <c r="B89" s="15" t="inlineStr">
        <is>
          <t>CELA a 0 LUMEN DEBT PECTS BH PERE EBTAGO PEG DO POR CAPRRDO O PRERENTE CORTOATO BE TRAMIPORTE
= TEN ONPG OCT | cre
. —— ee can
TCE ESTE. SAATIOA
semansa oano sve '
oaTE a
POCIARBITO ALLARDO CONECAAEHTO DE TRANBFORTE LETROHCD ROpOvIARIO
Srenoinantaserseers One tO] |
SIT CACIMBA FUNDA Sem odmare sia yest
TODO TE See et
. SED art
Geraint mares Set |
RNTRCSG2I¢¢o TELEFONT (0) 90017-9048 GS OA PREBTAGIG ny ten
ny A Mea eee
2 Siete yez00 nea “raion RRTATID
Canad ai cow ae ano DOT paeeety
PRTOEELS UE MITORERGIODE VRS
il mae calamanas
FOP -AATUREZADAPRESTAGRO
153610209 aren T ren OO ANRA DLR ES 1395 RESTACAG UE SFRINCO DE TRANIPORTE A BITARELECINENTO COMEREY
TST COMPRA ROUTTRAL OE CREE AFOOT [eae SRAL ENGRINARTATNSTHAE COMEECHOETDA
cereco: RODE 45M - BON STCESID feng A340 TRAKCIC- sn EXTREMA
fuwser qormrt cer area usec TomaKA eam wares
lower, saza2am 51 seenpag estou: one Jomuerr,  nustonamonss secero eta: inet
fe ce ana, toe lem rie nana coe:
— ere,
loner o hese oe
° smoncho svat: vor necantoeoun
os rome he os row
fsa oe mnogo” SAL EROSRIA HOVSRIA E ERERTIO UTD oan Sone
Jonereoo: AY SHO RANCH) -EETAEBA won mie ara
enere _ssestosenres [MORESO tect om we
ecovre aan or nea [econ a URNS
Jentarroronrisso-cr¥VaRt Jestesosan
[beta sino sting anes
ures vomome a
ora = Dw
ra TARO eon VACGR ER TOTAL BS SACO
Pore nme str ae
foe a
fac Es
eerenal oa pass rae
fe-neugraninlenmarormassre [tee Dae wae ha
Se
cr Saae seem
Tie de ‘Ria eat st rn aT Ge EO OOOO TET
A
_
oF ALOERE NE TIES
ALMOXARIFADO
|___Agetrentora “ao camvonomamenooce a rigroriaco
;
Welisog
Almohie,Pauta
MOokarifade
RG: dose ape
20/9 6
S26 —</t>
        </is>
      </c>
      <c r="C89" s="15" t="inlineStr">
        <is>
          <t>NOTAS FISCAIS DE COMPRA JANEIRO 2026.pdf - p. 88</t>
        </is>
      </c>
    </row>
    <row r="90" ht="75" customHeight="1">
      <c r="A90" s="13" t="n">
        <v>89</v>
      </c>
      <c r="B90" s="15" t="inlineStr">
        <is>
          <t>we i GOERS OLED DEWTE CONDE WENTO BN PERFEITO CATS PLO OWE DOU POR CIPRO PRESENTE CONTTATODE FASTORE
J = Sana DATO oe
Ie — ——“semereeais actomams ———_]e.enenwon et
ket _ lane 1
too ae aa oes TT
rosnrmowaunnocovecnanonemanrorenenecs — [___nonorive |
{ GINTWLIGENCIA EM LOGISTICA LDA ,
Steucitan roar aten ue Bee
a Ber eee
Sm. AMAT ATTSeR eee
CAPA. eRzHORORE TE MINI Sara
4 RSTRUYSSTOW FELEVONEAGD O17 Ba 7 ate Sea
ei Ath EPORAGE OHS [ewer | Soames | GRY
“Gainscarnonae nese aaa
TOOL DE NORRIE UES
CAE UC A sean ceapmrenecontiet
"SRO ATUEA DA PEDTACLS
{G42 TTA STOO ULTIO ONAN (25) -PUSSAAOUE an eANIORTE A RSTAMELELMETEIMER
jevessns eimai i TAD RERERT A ferns, Ba ENGR POUT ECOMEACITLTA
fneeneco per aey neers fectatco A SAGAN -F= -ETREMA
learn eure cor nsw loot TERRA ea oie
prt se seen to ode oneeE7 Joruce: —zzersmcmms acacia seu: (sate
leven lene aan roe io _
| fs accnrome, aoe enone
( oronnas cs Carr WR icTRA EERTTT aoe Te cars
1 [ecerage sv son anne sath EXTREMA we At ea pease
woe isa e atone eo ME rou cs
emt 0 ATER [ronan ntact
oes Sn oS CP eS psisrnse
Hes RATT Ts |. A
| a
au HRB RADE TOR BSBA
oon 2103 soa
rae i [ea NCEE
see oe ect psa _.
wore "age reg
Pie aeneReST SRST eR TOOT
: — Coro =
i enue aamcoen ———
| : ALMOXARW ARG rr
| LANCAD EMSRS ce naimcasmeieae SERFS =
| einature ™
| yee ce | ReceBina POS Levi PoeO
eM, EB/fos}25,</t>
        </is>
      </c>
      <c r="C90" s="15" t="inlineStr">
        <is>
          <t>NOTAS FISCAIS DE COMPRA JANEIRO 2026.pdf - p. 89</t>
        </is>
      </c>
    </row>
    <row r="91" ht="75" customHeight="1">
      <c r="A91" s="13" t="n">
        <v>90</v>
      </c>
      <c r="B91" s="15" t="inlineStr">
        <is>
          <t>I
| ee
atone me
=a = |
7 DOCUMENT O AUXILIAR OG GONHECIMENTO DE TRAVSROATE ELETROMICO RODOVIARK)
Sear ean cc ;
‘SIT CACINDA FUNDA Smmimmera, io. ! al aie!
‘MARIOLANDIA 6200070 reno ce Rs
Wanapartes nxacaT-ct = hed |
ONAL TIOM-T LEoTzOOeTS evita nap Soya |
INTRCSS41 4098 TELEVONE(GA 9917-088 aS oR Bee: i
Ciraarn v1 nate TERING Of PRESTAQIS |
2 a RE
snnaenln nm ncoaon
ae
06 P1SE.TO77 IORI TT. TRO LORE ASE DORON 8955. FRENTACAD DE SURVICO D8 THANTIETE 4 ESTARELECTARENTOCOMERCT i
mc vovcre-nomsvcese froccie avsuomaenen ere taianee |
Lee enna ac a e, smccostnam men
le ce Pale BAS fone: eo oa, BEAST rome: e009 {
Jenncacee eE=ec0 j
et mwcostnon. lee ssc,
ae = a =
a Ra arcane — —
Se on nts
Soe MERE a yann soe mam
fmmnmavm oe
ET cc [|
Pom fom T ss TUT
= = —
— a
io s
a = a
fees 3
peared a a el al cl
fe abe ene tug tag [ieee a
a eT — ecm po —— |
= = a a |
. i
4 ra f
1
ee ae
ee
——_
ALMOXARIFADO
Weltisofi'de Fauta
Abndxaritado ;
of ei |i</t>
        </is>
      </c>
      <c r="C91" s="15" t="inlineStr">
        <is>
          <t>NOTAS FISCAIS DE COMPRA JANEIRO 2026.pdf - p. 90</t>
        </is>
      </c>
    </row>
    <row r="92" ht="75" customHeight="1">
      <c r="A92" s="13" t="n">
        <v>91</v>
      </c>
      <c r="B92" s="15" t="inlineStr">
        <is>
          <t>5 ty GUT TEGEETOS VOLUMES OESTE CONHEGRTENTO Bal PERFETTO ESTADO PELO GUE DOU POR GUNPRIDO O PRESENTE CONTRATO DE TRANSFORTE
ro = “ERR DA PRESTAGRO-ATAHORA cre
=— cesta
THEO BE PRESTAGEO: OATATHORA
- hl “ASSneATURA/ CARGO _ _— seus
erste Nee ODA PARA
LocUME NTO AUNIIAR BO CONHECIENTO DE TRANSPORTE ELETRONICO RODOVIARIO
FG INTELIGENCIA EM LOGISTICA LTDA Py etl
P51 CACINIBA FUNDA Sern mimero — Dk mee Bl
ARACATI-CE IPO D0 SEAVIGO ea
(CNP I42.709.78710003-77 18:072061073, NORMAL Ta
| eNTIRC:S4216099 TELEPONE:(4) 99917-0068 IG DA PRESTAGIO are
WOOO] EET HOMO T—ORAEHORADEEMRSHO | RRESUFIWA | __ yn cue Behe
pa aria ee ai 183400 GTN TEND DAPRESTAGIO
‘Consulta em www cle. fazenda.gov br/portal PL 2211001 - TERESINA, m—eticnt
'PROTOCOLO DE AUTORIZAGAO DE USO ~|
HAUL AIL QA somal maiaacmaa | |
FOP“ NATUREZADAPRESTAGAO |
2326,00142.7097.8700.0377.5700,1000.0004.01 10.0008.0008, 6353 - PRESTACAO DE SERVICO DE TRANSPORTE A ESTABELECIMENTO CUMERCL
SEWCAATE” CONTWASIA INDUSTRIAL DE CTMENTO APODI IGESTAATARG.SKAL ENGENHARIA INDUSTRINECOMFROOLIDN.
Jexonn ROD CF 356, SIN -BOM SUCTSSO- JENDEREGO: © AV SAU FRANCISCO - 40100 -\D- EXTREMA
Juric  oxenene car osxoom |uuncine: TERESINA cep: sures
force inna2tson IOCrGAOESTAGUNL A204 enmserr. a essonkuou.sy somo ESTADUAL iyhs8
ech PAS AS tone: Jur mt Pa RASH Fone non
i woereco
QD 1e5 Arcana NoUSTRIN FCOMERTIOLTDA TS TERESI aoman | |
ow Sassussinn.e&gt; BORA ESTADUAL: 9444098 one: oo
rion PicceNaNTE [ovinad GaTENSTERS On CARO ALOR TOTAL oa RCRD
FCMEAIOFURTCAND -CPY AR! sas23
|] uaa “37.950,0000 37,950.00 37,930,000 }
canon KG KG UNIDADE
—* - ‘CONPONENTES DO VALOR DA PRESTAGKO DE SERVIGO =
(Lo VALOR] NOE VALOR |VACOR TOTAL BO NEWIGO
bene fees asi t64s0
Fi Pd jvAconanecancn
[Cl ASSINICAGAO THIAUTARIA DO SEAVIGO VALOR ICMS | % RED. BC. fe CREDIT
oc I enero ureteric
Wes 70.280 2460008-51 SaRRSTT 782601 102602490095 S00 OTEDATON A TOGRSTED
oole&gt;
wi |
— — PREVERO OURO OA CARON
|: G0 OR REROTDETRSETTTCEOREE | SS OSH RAISES =
| si acu soon a OA AT FORTORSTRROMERORORTO BEDE
eS TRS =
ALMOX/.8:6ADO_
| LANCADQ EZ OSI e6 FOR eesesmTD |
| ican WSO EXGLUSWO DO EMSSOR DO CTE RESERVADOGH FSCO =
| Welisoif de Paula
Almokarifado
G: 2.958.385
IOS 125 |</t>
        </is>
      </c>
      <c r="C92" s="15" t="inlineStr">
        <is>
          <t>NOTAS FISCAIS DE COMPRA JANEIRO 2026.pdf - p. 91</t>
        </is>
      </c>
    </row>
    <row r="93" ht="75" customHeight="1">
      <c r="A93" s="13" t="n">
        <v>92</v>
      </c>
      <c r="B93" s="15" t="inlineStr">
        <is>
          <t>Zo Boe seat arra area eses nen scesrssessserer sce sss
Toa DANFE aT ,
een scorer [ TT |
eases i a
rem syesso 0 Faiwwes aco
esas rsaon”
coe sasat-o08 mufeulieidade #0 portal wacion NF
| VENDA DE PRODUCAG DO ESTABELECIMENTO_ 14/01/2026 _ 11:40:07
ipacMCIS ADGA REE S0NS TRIS Tore
‘SEAL ENGENHARIA INDUSTRIA E COMERCIO LTDA. 34658 038/0002.89 T4u72026
[SFDERECO. BARD DISTRITO cer
Eveomancscomov emma etnaao ras
wat Racca
7 |
[mnmconic | vacerane | —yaak “| Fivaaoarus | yaeoento | vaio FaRABURE [ vowoenro —vaiok
rr |
"BASE DE CALEULO DO TCHS |varoa OTe [BASE De LODAEMEST [VALOR DOK MS SuBaTITUTO
200 oe
TRH ALOR DG SEAT] SR DO BERTON —— TOOTH DeanEAS—_——VROBRDOTF THER TATRA
Rees}
femaaoeee EERO RAED [FoF
= Er
a i |
TANTIDABE | e3PE Kc 5 re ace
pinow low, arom Pe ar nogonl 323800
[| Pern [nmi] Yee] Now| “iat |S" Fe |
ovattpe TICKET DE PESAGEM "OX_B3
di N° Sequencial: 0404768
Entrada: 14/01/2026 08:59
Saida: 14/01/2026 11:35
Transportadora; DESTINATARIO.
Placa: QXK2F37
Pesagem Inicial: 20570 kg
Pesagem Final: 58300 kg
PesoLiquido: 37730 kg
RPL R ART 7 7 RATATAT
Lao 25024 2 7 2300 Ne iat Ce Den eC: 86 | Laos:
Wetisof ce Paula
ALMOXARIFADO Almefaritadie
ms wJ5/ GLI 26
sinature
owed by (ors</t>
        </is>
      </c>
      <c r="C93" s="15" t="inlineStr">
        <is>
          <t>NOTAS FISCAIS DE COMPRA JANEIRO 2026.pdf - p. 92</t>
        </is>
      </c>
    </row>
    <row r="94" ht="75" customHeight="1">
      <c r="A94" s="13" t="n">
        <v>93</v>
      </c>
      <c r="B94" s="15" t="inlineStr">
        <is>
          <t>/RECROEMOS DE CUMPANIOARDUDTRIAL DE CIMENTO APO O5FRODUTOS CONSTANTES DA NOTA FISCAL INDICADA AQLADO NF
* Neosat
———— DANFE : MT mi
viper, fpeeapommnnmeroomm | seme: | TATTLE
remsucess&gt; 0. TRADA [euvroraceno
pcre vsun” (']
[rz aeeaosm. yrosass2 [= silands no poral taconal ds NF
ae wi afefzenda gov bron ou no site da Sefer Autorizadora
VENDA DE PRODUCKO DO ESTABELECIMENTO. 1205/2026 02:40:16
[eerie sos
1064204839 195320565, $0.260.269/0003-51
SEAL ENG
[SKAL ENGENHARIA INDUSTRIA E COMERCIO LTDA. 123.655.038/0002-89_ 1240172026
fav SAO
[Avsaormawascowmy&gt; ers ore-asn_|taeva0es
sinc acne a faa eo
rr A
Terao] veto] — wna "| FariRoRo [Wee vanon TY wirennor | —wevebenere_[vazon
a a Se
SEE CALCTAGDOTERS [PALO OORT BASED TRIER UO RRR ST [ALOR DU RMESSURSTITITO ——] VALOE TOTAL DOS FRODUTOS |
aOR TET Rae STAT Tao Do BAT OTE eT PaO TRUTH TA
fccapect FEETE RENE COORG TNT ORCA IT
eee ES =r
POETS] Oe [osiito | Tepe aw “eae | Fes or |
a Re [ar TT] — a) aol THis] — aa
cwwiga TICKET DE PESAGEM OX B3
NY Sequenciat: 0404486
Entrada: 12/01/2026 01:22
Saida: 12/01/202602:33
‘Transportadora: DESTINATARIO
Placa: RDIGI23
Pesagem Inicial: 20140 ka
PesagemFinal: s7960 kg
PesoLiquido: 37820 kg
Top RPTGRT 7 7 ERATE SHS
20d 2107 1 EN NTN Ped; ABET «Coes Day Mer Co
0 |
ALMOXARIFADO.
“ pow. Welinoxfir Fault
fado
‘Repinators Almoxantag
33/ Osi2g
Powered by ©) ToTVS</t>
        </is>
      </c>
      <c r="C94" s="15" t="inlineStr">
        <is>
          <t>NOTAS FISCAIS DE COMPRA JANEIRO 2026.pdf - p. 93</t>
        </is>
      </c>
    </row>
    <row r="95" ht="75" customHeight="1">
      <c r="A95" s="13" t="n">
        <v>94</v>
      </c>
      <c r="B95" s="15" t="inlineStr">
        <is>
          <t>—- = “"DANFE aT ai ay
pyle), = | |
x samen I |.
peste ENTRADA ANE Eco
fe ieee 1-8AiDA 12326:0118 2402 4940 e351 3560 1008 535% 2615 3291 1162
- asonai . Const aT 8 prot rioal RP
FPENGADEPRODUCADDOESrAmELEcamrro. ———hwoyne OL tad
VENDA DE PRODUCAQ DO ESTABELECIMENTO. 10/01/2026 _ 01:31:40
PRECRICRD ESTABAL CR BA SRS TRIS ead
10260 249003-5
SKAL ENGENHARIA INDUSTRIA  COMERCIO LTDA. goto Toow036
‘AV SAO FRANCISCO 4000 VD EXTREMA eors-aso_|1r7026
cnacino Breve aro
et ee
(sraacunse | —vaxewomro [wae | farina [regent | viiee —Testinanorie [vevensmne [ vaoa
[ossmuei | oyooams | sissf
no °9 Maia" lanes) ina) Ma?
18656,55 aase79 ‘ooo 656.5
aR BSR ai DO TETRS TLR DO BESCONTO ———TOTRATOEREDAT ORDO RL ROLE aT
fearon REE FORIRTA [om RACKS VEER [oF — [oa
Ee EE
Sas aa a
TARTIDADE | ES SARC Chee io
PARR Pn IRSCRERSPROOOTOT SERIO [Ato TaLae TATROOTR]
[ee | seerermorereser Perales] ee [ato | Yom [as [Meet [RN fee |
aE —— OETA OTA SER oa | F ve a :
cvwiga TICKET DE PESAGEM QX 83
N’ Sequencial: 9404353
Entrada 10/01/2026 00:44
Salda: 10/01/202601:29
Transpottadora: DESTINATARIO
Piaca: OXF8F63
Pesageminicial: 19850 kg
Pesagem Final: §7240 kg
Peso Liquide: 37690 kg.
SPO ORE PAT TAT ROAR
Fitri et ok A
WelsepPde Paula
ALMOXARIF: Al f ado
A Zl O47 26,
alnature
Powered Q Tos</t>
        </is>
      </c>
      <c r="C95" s="15" t="inlineStr">
        <is>
          <t>NOTAS FISCAIS DE COMPRA JANEIRO 2026.pdf - p. 94</t>
        </is>
      </c>
    </row>
    <row r="96" ht="75" customHeight="1">
      <c r="A96" s="13" t="n">
        <v>95</v>
      </c>
      <c r="B96" s="15" t="inlineStr">
        <is>
          <t>: : ESTADO DO CEARA ‘AgSo Fiscal de Transito - 20262878771
SECRETARIA DA FAZENDA
COORDENADORIA DE ADMINISTRACAO TRIBUTARIA
POSTO FISCAL ARACATI
Dados da Agao Fiscal
peewsr
a
Dados do Transportador
a Cc
——_
Secmonaraonem fermen fem
wewremnee Ld
Terme de Responsabilidade
© transporadorimotorista, cima Wdenticado, assume intera 9 irtatita rasponsabildade pela salda do Estado do Ceard das mercedorias deserias
nas notas focal relacionadas neste documents e regisiradas como tansito (Nre.
ve Date Eoin er” Emitente UF Cestinatério UF Valor Total Cred, Slatus Liberada Status TL
susie maar oy No exzonoe. (CE Z3AGS0NRONNZEY-SKALPI Ry re886 5 Se ain im
Souraea eNoenrania sapere
ROUSTRAL 0€ pousrmae
UENO POOH CONERCO LTDA
Histérico da Agiio Fiscal
MatricularServidor Dascrigaio Datattiora Situagso
Ba, sosrsmnnnretroro rn siva = Abie de Ao Fiscal ‘ouzoze 11.42.45, aber
Sanaa
{ousasta- axronro 208s PERO “PF Ache FacatHorcagase svn yon olan
aca
Autenticagtio. 0
per
i? dat 72%
I
Impresso por 10664918 - ANTONIO JOSE PINHEIRO = 11701/2026 05:45:52 Pagina 1</t>
        </is>
      </c>
      <c r="C96" s="15" t="inlineStr">
        <is>
          <t>NOTAS FISCAIS DE COMPRA JANEIRO 2026.pdf - p. 95</t>
        </is>
      </c>
    </row>
    <row r="97" ht="75" customHeight="1">
      <c r="A97" s="13" t="n">
        <v>96</v>
      </c>
      <c r="B97" s="15" t="inlineStr">
        <is>
          <t>1 rena ————— DANFE 7 1
ype |, seen (TT
é Ron cbse. ° OA He L !
deen micro - feaaveorAc°0
kpena TeaDe ["] [Sees i nes sve oe suas 00395
ce? eosas.one  Consale de sumowiteldads ov portal nacional du N¥—«
: magus 17 |
a
VENDA DE PRODUCAO DO ESTABELECIMENTO. 07/01/2026 09:19:58
pesca Sano EE aes RTTIRIS aan
. Issess
eri
SKAL ENGENHARIA INDUSTRIA E COMERC30 LTDA. [23.655.03840002-29 1071 2026
AV SAO FRANCISCO 4000 VD- JEXTREMA. 164076450 107/01/2026
a
TERESINA 198446298 05-20
[rateexune | vENeuapird [vara [ rawnncure | wenenente ["wauox [ramewoienit [7 vevcneno [earss
| esernat [ceoxame [name
aS eS ee a SS ES |
TrrCanis Ooms VADRDORSE a TCR CITB RASTA — UALR OOTOETURETTUTO | VALOR TFA O08 PRODUTCS
ae La DOSER ——— Vaan 6 DESCARTES DESERT [VALE TER TATE
famerenassca FREREFORCORTA [CBG FXCADVERTD
a ==
a
UARTIADE “[ESPECIE ARCA e FEsoaRUTO Po Signo
APODE eer RE sxrog00 | a7ane00)
ae | TO RTA ST [fa |] aa Te Tran] — om am
cunngs TICKET DE PESAGEM OX_B4
NF Sequencial: 404015
Entrada: 07/01/202608:00
Saide: 07/01/202609:08
Transportadora: DESTINATARIO
Placa: BOP6FOS
Pesagemnicial: 20350 kg
Pesagem Final: 58130 kg
PesoLiquido: 37780 kg
fences
ARO NTL rs : 7
TNS ORLA, "a SERA ROT
(8 GI Pd 5 Lam
Amo: Wetisoifite Paula
XARUE, imofarifado
putoxarurane shea
5 IOS 725
‘Adsinatura
Powered by © rors</t>
        </is>
      </c>
      <c r="C97" s="15" t="inlineStr">
        <is>
          <t>NOTAS FISCAIS DE COMPRA JANEIRO 2026.pdf - p. 96</t>
        </is>
      </c>
    </row>
    <row r="98" ht="75" customHeight="1">
      <c r="A98" s="13" t="n">
        <v>97</v>
      </c>
      <c r="B98" s="15" t="inlineStr">
        <is>
          <t>ee Ne
eed DANFE 7 i mT 7
yy eee | ememmnee ( NTT
[oma sucEsSO 0- ENTRADA [ema 7 .
oP reoae rsp’ 0]
Front akon poraanlons RP
VENDA DE PRODUCAO DO ESTABELI 1ENTO. 9601/2026 _ 14:36:02
INscoCke SFTABUAL nS Ear, ORTTTRT RTF
953066
fein
SKAL ENGENHARIA INDUSTRIA E COMERCIO LTDA. |23.658.038,0002-89 106101 /2026 a
fae ana
BAY $0 FRANCISCO 400 vO Eee eesse leit
ori Inscnicho ESTADUAL
aS ese |
(Tanmameac | VON) [vais ——[ Fanaa [VEER [Vato —"Toaramiee | veenemo [vam
[Tesserovor | ewonmns —[—amsasf
a a SC a cS Se
REDUCALCRODOK VE __~|CALORDOWNE [SE DECALCAODORTEST —[TAUORDO TCS SORETTUTO
T7525
PARDO RATE ALOR DO SEORT ALR BG BRICGRTS —~ | OARS DESPEDAS
090 Tass
frou eattocor SEER CONAN — J EDTTO PERERA
= = ET
pe EEE
SENDS REE 5 RT FESOTRNET
3725000 _|GRANEL eo arose [ ar ssa
el ee a ieee
Fea “TERRE ROLAND: CANT fame far fr FF] | —— nts} RE — aaa
cvonge TICKET DE PESAGEM QX_B9
NN’ Sequencial: 9409889
Entrada; 06/01/2026 13:40
Salda: 06/01/2026 14:34
Transportadora: DESTINATARIO
Plava: QXF8F63
Pesagem Inkiai: 20050 kg
Pesagem Final: 58000 kg
PesoLiquido: 37950 kg
prsterr
[Soma aa ETE 7 7 TAOIST
‘een #0 -Laoes sna ano,
SEGRETARIA UA FAZE Hua
DO ESTADO OG CEARA
4 Posto Fiseal Hates
de Paula
ALMOXARIFAD! | Welisoiftte paul
UN) SANE : Ce JAN 2 Atmokariiyd
esinatura _ oft a
Assinatus- Minaous
Powered by TOTS</t>
        </is>
      </c>
      <c r="C98" s="15" t="inlineStr">
        <is>
          <t>NOTAS FISCAIS DE COMPRA JANEIRO 2026.pdf - p. 97</t>
        </is>
      </c>
    </row>
    <row r="99" ht="75" customHeight="1">
      <c r="A99" s="13" t="n">
        <v>98</v>
      </c>
      <c r="B99" s="15" t="inlineStr">
        <is>
          <t>dition =e =
Chime Soo SERIES oO hee.oocimeno $73
P48 -12- 2096 = ae ae
Cad ee
DOCUMENTO AUALIAR DO CONMRGIMENTO DE THANEPORTE ELETROAGCO RODOVIARKO
veers gee
‘comarca . nese
ceo Se
AACATL-CE omen Rees
TFO00 BERS &gt; ata ee
Siete eres es
ANTROS609 TELEFONEXG 99179068 FIGS DA PREETI nel tevin:
She oo | ease | Re
SARE A
282.1242 97 STHRASTT TLS, 1310 RE 16953 - PRESTACAG DE SERVICU D6 TRANSPORTE A KSTAGELECIMEATO COMER
=a oon ee Soe" casement on
= oe ae _
Se is cena EES Eee cm ml
fies = ee Ss an
= —
cer =
h om janeiro: ca
on mor wr
~ = En =
SaaS eee fw Se ==
— ae Se —
a ee ae
Sone ——
oe Oe OO
a cc cc
we |e = = |
ree a
a i oe
St Zl Sa
[emerson nme ee he ee
Pies ee Ee ee
Teoae 2 SERS 1 DOCLRANTO_
= ane en See
ee
=
ALMOXARY AD)
(______"“romeuann po auesonooere rng orcs]</t>
        </is>
      </c>
      <c r="C99" s="15" t="inlineStr">
        <is>
          <t>NOTAS FISCAIS DE COMPRA JANEIRO 2026.pdf - p. 98</t>
        </is>
      </c>
    </row>
    <row r="100" ht="75" customHeight="1">
      <c r="A100" s="13" t="n">
        <v>99</v>
      </c>
      <c r="B100" s="15" t="inlineStr">
        <is>
          <t>FG INTELIGENCIA EM LOGIBTICA LTDA
SIPCACIMDA FINDA senses Bsegcm
MaRIOLANDKA 62400870 SH
Tranaportes *FACKT-ce Fes
‘Gxt, 709.281008-77 9720617 Shee
RNTRE:$4216098 TELEFONEE (4) 9817-0068 Adee
pte?
Petes | seme Pol
| eee ("means | |
 srA008 ODE THAROATE eoucie “0
‘Chee de scares pa corm de msn roa rdiepeat aes gor Br ou G8 Betat
‘23T5.242. 7997 5700837 S000, |098.0003.5610.00R OED
ee
L 2050.0 ps 163475 |rssomenoie an [Jno @
[vero conptonag
eS 2S, J
FQxKz695 loraznse7ess CORSON) ONIO JOSE DE MEDEIROS|
biawere? se2reon9 lovasea4soas
[_errenromeenam OT eraaisendaemnim TT wimmmeocownovere OT worbevnrventinn
INPORMADOES DA COMPOSIGAD DA CARA
“TERESA 23951 __ cove 1s pervvernbas stone sound
aro ‘HOMEDA sBSINADORA Cony
comm Mes Tro Wwe SEOURADORAS A Ce: 3164 seo sagoourza
ee
‘a
e oy
eee Ca
Ee 4
SS S
Ye ol
Sy
e</t>
        </is>
      </c>
      <c r="C100" s="15" t="inlineStr">
        <is>
          <t>NOTAS FISCAIS DE COMPRA JANEIRO 2026.pdf - p. 99</t>
        </is>
      </c>
    </row>
    <row r="101" ht="75" customHeight="1">
      <c r="A101" s="13" t="n">
        <v>100</v>
      </c>
      <c r="B101" s="15" t="inlineStr">
        <is>
          <t>"GEARS GE ECE G5 VOLE CEETE CRB ECTAENTO En PERTETO EW RIO PELO CHE DOU POR GaP RUO PREREWTE COMTRATO EE TRGPORTE
| Pbusnaerme Cnnsine] iecadiniaadaiial sense He
a a "HI DE PRESTAGIO. DATA THORA “ 6
i. 12.- 9095 _ lane 1
7 cad NODA
cue D AIRLAR Do CoMNETINENTO DE TRACE ETRONICS sopovARID
‘emeroneaenm mare
SIT CACTIIRA FUNDA em nema b c
touaecemer me
NORA Feces
AACATI CE TODS ea
Te tuetad arr ea
INTRC'SILGe9 TELEFON fe WnIT4NGR i oe STATS aire
See] memes SSE uae | fp
ra tect mea cera aan on REETACIS
Conve rw asca pb iim: Texamy
?ROTOCRLO BE ATOREAGAD OE USE
ULI I amass EADIE 136 ONT
OF OREO PESTIGAD
2529, 1242. 797 E7OR.05 7 $700,1008.900).761 R000.9088 4383 - PRESTACAG DE SERVICO DE TRANSPORTE 4 ESTABELECIMENTO COMERCT
feeroar Poke neta noUTUK TE CRIS APT leitoria sxat encom wouSTiA ECOMEROC
focoes sopenosn- be boMe suc Joveiero. AV SABeRACHCD- tO EATREMA
ieoeone: eamnt er conan fuumaro Teena cx worsen
Jowscw: tozecurens serngIOtarenn NY enor. assomeny socrefanmnu: ine
lance ran ens row em ham ena rove: noctne
mace cece
foo o fear on
fervor nacactooracu: eeu. ecto erage:
ie me tome Le om me
OT es or Ta oe
Jecerecs av skormancio. ut 10 xrasun or mm omic
errr secnehoeROe: ita ove sone
psanremeomcen arma Sacra Prono
Jneemro roto crv an rswaerso
a |
‘ae sina
‘a ‘wane
nT OG VALOR DA PRESTR DE BERG
ae TAT Pron To BoE
ees va fener
rete on rman ancebcn
Hee mee re essere
Epraetreclperslrnialy : : : Le Es
7 bo, (SANE nC, DOONENTO.
Team aOR Tea Feet eaaso OTORETTOT OOTY
® y
= &amp;
we
Ie wa
a
[pe pe RRR OT ETE rcs ———]</t>
        </is>
      </c>
      <c r="C101" s="15" t="inlineStr">
        <is>
          <t>NOTAS FISCAIS DE COMPRA JANEIRO 2026.pdf - p. 100</t>
        </is>
      </c>
    </row>
    <row r="102" ht="75" customHeight="1">
      <c r="A102" s="13" t="n">
        <v>101</v>
      </c>
      <c r="B102" s="15" t="inlineStr">
        <is>
          <t>; FO-WTELIGENGIA BA LOGIETICA LTDA —
SIT CACIMBA FUNDA Sr sae io] (c]
MADOLANDIAsem-r0 :
F AracATI-C F
‘Onranaromn teenie
NTRCHD\c9 TELEEOME}955:7463
fl i 3
Peele): | some ol)
ae
reanammen merase rwtcte: | "meine we
‘Se in pe sea nae gr A ar Bd
[sonics rangi} 285 120:971 TORN SOL 188
lamar BD TOTAL [VALOR TOTAL Pano
It B7700.0 Ke IRS 18.66),50 [paszaeoesedsoet sae Di nto
a Tc Scr
(arouse arisai03 065.375.664.08  WABILO RAMON DE DIEDEIROS BEZERRA
Ropar searsons lua nines Ce
INF OR OES DE VALE PEDAGIO
a
[Heniiie Tees on ois Fea Vous orton [Mkts [barged are Doth, Fa Vann snes ——|
TERE 21251 oe assNST RTT
SNECRMAGOES BOBRE 04 SEGUROS
cs ‘one DA aEQURACONA Teen DA ROE
Petenien oo nator SeOUMCERAA A Ce 3 8as2one in omeetae
a
™
[6 (3 yee
AZ18 30 | wea
ce : ;
ae . asf
plop. oO
—
eS /
nade</t>
        </is>
      </c>
      <c r="C102" s="15" t="inlineStr">
        <is>
          <t>NOTAS FISCAIS DE COMPRA JANEIRO 2026.pdf - p. 101</t>
        </is>
      </c>
    </row>
    <row r="103" ht="75" customHeight="1">
      <c r="A103" s="13" t="n">
        <v>102</v>
      </c>
      <c r="B103" s="15" t="inlineStr">
        <is>
          <t>Pharr Guna) iaaiaiaiil a
3 a - ena re oT —— ne moore et
AS -19- 20: jor 1
cod cao a a
DOcENTO ALLARD CameoueTO DE TAMEPOATE ELETAHECD nopoviAno
FG INTELIGaNCIA sat LOCISTICA LTDA sini
Sir cacaina rover son sonar ma peaels]
Nucuree ener
20 eS
‘ty eras ieee
RNTRC:H216099 TELEPONE:(64) 9917-4068 THEO Ga PRESTAGAO yee
ir ad icvad ops ek
ri = Fiovanse13 Guo “hrasio RSE
CR awe ar gr BaD ren regan
 ROTOCRLO DEA ORAAODE UR
mn aa
TREO PST
215 0200 THLSTSA OMAR 59 -rnestagno De sEIcODETANGrORTE A ESTABELECRNEMTOCCRER
lesenore cone TIN Seca APT evinsaea: SAL NEAR NOOSA TCERGOTO
Jpereo wauceie-en-eousicsso Poses av sao RANCRCO a0: THEA
famcow. quinn eo cme fucro Teme co. wenste
maeaeverterey secrctoesnon; sete lense hasten seenpoERIO bie
fe ce hie mast, toe er om west, rose ce
aad a
mn fens
“ae fener. o
es necneloeenov omer senor:
Sars toe a to
esse sen Se eA DUTT FRESCO a oo aaa
recep. AVSADERANGHCD ct XTRA vee as
leur asses SaERMOT: HO reve cots
re Rein facorromr ore
|Gbero roman tense
[__resonnuro sone was i?
procs Err erm
ca “ ‘nono
fred ar AOR TOTAL OT RERRS
ree i) urmiae
ema oe
Foren SI ites
Pasar on Heer
SERS TATRA SRS as a aoe aT
om eT a Sana oaomons
wae SRST SRR Ra a IO STORRS
z 7 &gt;
gg
FATT
ALMOXARIFADS.
aS a TT es eT</t>
        </is>
      </c>
      <c r="C103" s="15" t="inlineStr">
        <is>
          <t>NOTAS FISCAIS DE COMPRA JANEIRO 2026.pdf - p. 102</t>
        </is>
      </c>
    </row>
    <row r="104" ht="75" customHeight="1">
      <c r="A104" s="13" t="n">
        <v>103</v>
      </c>
      <c r="B104" s="15">
        <f>
A PG INTELIGENCIA ELALOGISTICA LTDA ”
SITCACIMBA FUNDA Sar stneo Begxrl
MARJOLANDIA 62800970, gree
ARACATI-CE nes:
(ones. 20820077 tear0KLeT3 ere es
TRV. U08 LEONE 5901-8 ee
ape
| ee _|“tmmansewee |_|
‘i oa pr ont tds a i ee pena ev Be
[——___wroreuctes amar 1326120 7007 s79u0277 5. con ns creoonseee
fees PR Groom iesiasiom | eriarey
330000 Ky 18,810,00  YEEOR INT TG, 3D) who
a  _— Se
[aewonse Jorreasraes jnsszssazzo7 FRANCISCO WEDSON MONTEIRO DE LiMA
lreuites ssarcons Joveaacsose4
[rine or vais rei
a .
INFORMAGOES DA COMPOBICAO DA CARGA.
SERRA 2325] Chow astzoporrnensr smo emoni sot
James oer “aon
era cone TOM bane SeCuRIDCRAS, ACHP. ISL0MI000 SD eecoeeraa
|
. w 2
Ln
7 Tes 05
BERET ie"</f>
        <v/>
      </c>
      <c r="C104" s="15" t="inlineStr">
        <is>
          <t>NOTAS FISCAIS DE COMPRA JANEIRO 2026.pdf - p. 103</t>
        </is>
      </c>
    </row>
    <row r="105" ht="75" customHeight="1">
      <c r="A105" s="13" t="n">
        <v>104</v>
      </c>
      <c r="B105" s="15" t="inlineStr">
        <is>
          <t>ECAR RECESS VOUS DEE COR ETTRENTO Br PERFETD ESTADO PEC GUE DOU FOR CORPIDO @ PRBNTE GNTRATODE TROSPORTE
[Pamatierms Ruta) Sercenreezeone a
a 2 a ‘ "CGI DE PREATACAD «ORT Tom we Becwmenn 3H)
“[Pig-42-2095 bene 1
wARTe a rr
ocunenTo Aian D0 CONHECHENTODE TRANEPORTEBLETRGMCO nooovtAnio
PG INTELIGENCIA EM LOGISTICA LTDA wy: i]
re: — ta heseeHic
cama [er | amet
PaSBOTTES ARACATI CE "WR GO SERVIC iret e
‘Cutie onrenns-7 IEeTaBLID tet Bacto
Sra a —— Bere
TIRE HORA Ewe Gene
Tibon wen seonton FID OA EET
sea kubneledkack aloladed iia TERESA
PROTOSS RARE S
samsensie Teipaens ems carey
FOP. WATER DA PRESTARAO
22244-7097 4748097 700. UAT 199 naa Acao pe So002 AONE AtSTABELECIENTO COMERE
ssa COMA THECSTRAT OF CROTON [EET HAL ENOESTANA DISH COMEEOD ETON
emo soDce sss. voMsicto [pore AYSADrRAMCTSCD sm. -ENTREVA
fname: guint ca resem [iano Teen oar wera
ees ase mt saencioceous ete omar essere eam eras, suse
fo ce mat reas toe ees tow moe
°° ower
fone = ustone o
fees sono eran jowvor necrcio era
ais on a row
ocak ooroe SEAL RSSONOA HOUTA COOMERGTTON SOS TERRA oor area
ego. av exornanceco. so 0. SeTeBHa era gash
fowscer _essananmnen pT ove: tn
[Senoreneeoven Penne we
[___resoenro | sonfebo ena
cesnaoute rena
evan anape
hoa Taine RGR TOTA BORER
roe aaa hswanze
Her ca
ome oa jrcota aT
lense 4 aves
A |
700K. BEA WO. DOMES,
Tee TaN Tena $a aan STOTT OTT
a SFO OR ERROR)
aE EET
RIFADO
ALMOXARIFADD
LRRD GER Sb a  S— —rrerg —$
[eee rete —— Ua EXELUSVO OG EMASSOR 09 STE BRAG A FBG
eee eee</t>
        </is>
      </c>
      <c r="C105" s="15" t="inlineStr">
        <is>
          <t>NOTAS FISCAIS DE COMPRA JANEIRO 2026.pdf - p. 104</t>
        </is>
      </c>
    </row>
    <row r="106" ht="75" customHeight="1">
      <c r="A106" s="13" t="n">
        <v>105</v>
      </c>
      <c r="B106" s="15" t="inlineStr">
        <is>
          <t>FG INTELIGENCIA GM LOGISTICA LTDA
SeTCACIRA FUNDA Sem ee Osegxn)
(MARJOLANDIA 62800-670 sac SH
Transportes *eacani-ce RE FS
CNP HAZ 19 TRTANOI-T7 9E 873061079 ken a]
ANTRC:216099 TELEFONE 4 99170058 gesnree
of bare x
Ret): | Siesees [on [| _
NS tegemunecnae | °
Sa,
"Che de scenue para connate de eutectic 70 uh me-ponantax  gor br Cu 09 SNE
[_______wroveingdaa paraanrr 235.1241. 707. 5794037 SSN AE A
ul 8720.0 [RS 18.176,40 SERRA sm Oto BL
a, A &lt;=
a |
loxtarss | aN forarenaso71 [Ges 218 536-30 MICHAEL PEDRO PEREIRA
luawerss | eR — [santeaso ovasseass30
a
INFORMAGOEE DA COMPORIGAD DA CARGA
EREERA 25951 — chew 221: grr LDN ON
Sram to 0F-s T0100 WARE PEOURADORA SCHR 31642101 Homer
te
: DEL ames
a Re '
dR
Pay
j ,
tio 7</t>
        </is>
      </c>
      <c r="C106" s="15" t="inlineStr">
        <is>
          <t>NOTAS FISCAIS DE COMPRA JANEIRO 2026.pdf - p. 105</t>
        </is>
      </c>
    </row>
    <row r="107" ht="75" customHeight="1">
      <c r="A107" s="13" t="n">
        <v>106</v>
      </c>
      <c r="B107" s="15" t="inlineStr">
        <is>
          <t>aR REE VOLES DEST COVENT PERFEVO ESTADO PD OLE DOU PCA GNP ROO 0 PETENTE CONTRO Dk TRNPORTE
3 iano ABT
[Pures ie ee secu 35
ia SERRE
Aas lZogs lem 1
DOCINENTO ALAR DO CNECHIETO DE TRANEPORTE ELETROHGD novemAno
PG INTELICENCEA EM LOGHETICALTDA TORN EAD i” mI
SET CACTBIMA FONDA Dem wtmere ho hag tae
anc Uy a
TSG SERED oes
rnc enters ores ON ae ie ec
RETTuCisis¢apn TELEFONEAO 9977-968 is 5 ae
SS, ee P| Soe | Desire
fa esos yelees one at Eras OR SRG
Cals em efi po pOaT Dns TEA
PRTCORL OOF AMORA UE US
senses Teas 183 GME
FOP HARE PRERTAGAD
rtd ane. enesacaoe SEVEN TRANSPORT A yARPLECDAENTS COMER
faire conan DTA ve CORIO ARO eesti sxaL ENOENIARR BUSTA SCORER TON
foewregn nope sts -DOMFOCEISO lpoeregn AVSADPUANCECO- sD -TETENA
fnomcre. qvocxt cor common fancmo  roumna &gt; earnsse
Jsezor rarezntes ecm foe: DLE Jowace, essere renoioumioun. coe
fee rim maa rox le mr asst. roe mmote
cod hecem
cero —
oe on once =
om reorient oem eomgo eu
rae row era we
anaes on RNAI DOUTN STEROID ae Tea Sonia
enemeca AV San eASCRCO ate D-EXTREWA wre ps: enasn
lanscn _neseemean necnceeion 8s soe ene
ore rio ura ence aan ai aeRO
Tian YOEILANO CF AR, einvn
[remount —__[ ese tremamis
Tce sas
m0 tome
food | ER TOTAC TOMER
Pecpoe uma sie
Foe co
fe cries om
fee on
a =. a oa
Teeter onenaeT aac “nrc ODEO SEO
— —
ALMOXARY £00</t>
        </is>
      </c>
      <c r="C107" s="15" t="inlineStr">
        <is>
          <t>NOTAS FISCAIS DE COMPRA JANEIRO 2026.pdf - p. 106</t>
        </is>
      </c>
    </row>
    <row r="108" ht="75" customHeight="1">
      <c r="A108" s="13" t="n">
        <v>107</v>
      </c>
      <c r="B108" s="15" t="inlineStr">
        <is>
          <t>F GINTELIOENCTA EM LOGISTICA LTDA
Aitcscnan FUNDA Sen ste Rexel
MeAROLANDLAs2500870-* aS
Transportes: *1xcan-ce SAB ISS.
CNTR 09 a7 TT TREAT Be
[RNTRCSG16099 TELEFON (4) 90017-4068 Sera.
TASTES Heaps Faso Me fy Seca Pose Ean Gnuee
Peyrlirhs | Semeece | al. | ~
[ r [wmemese | |
LPRESTADOR TE SEUCD OF EKARSORTE PRONTO. No |!
"Shave te Snes nate aarti mea ata ac 4 gGn i a Slek
[______aertiagtes ranaserr S026.7097 7057 SOMA OGRA. TOMER
Oy b7a30.0 | RS 18.725,83 | srsasemaconl ais ow Dh nko Bi
= Or
a A
iz raeoeaases 7 SE RODRIGUES SOARES LOPES
lracress on3s4ss9220
INFORMADOES DE VALE PEDAGIO.
eae enaizanom eee Oeste where como oo od
TRFOFIATOES DA COMFONGAD DA CARA
esERA___ 2925] —_ Gan: us ETORTNDHT RNAS
INFORMAGOES SORRE 08 SEGUROE
a
TORO MARNE SEARADORA 6. ON S821 0 a pom206
a
F. 840 OKO Bal |
FRONTEIRA - Py
19 DEL, 2095
Antonio J. G. Sin
ATFE ve
Mes. 036606-5</t>
        </is>
      </c>
      <c r="C108" s="15" t="inlineStr">
        <is>
          <t>NOTAS FISCAIS DE COMPRA JANEIRO 2026.pdf - p. 107</t>
        </is>
      </c>
    </row>
    <row r="109" ht="75" customHeight="1">
      <c r="A109" s="13" t="n">
        <v>108</v>
      </c>
      <c r="B109" s="15" t="inlineStr">
        <is>
          <t>("Wein G08 REGRET OG VOLUIES DRSTE CON TECRIENTO Ews PERFETTO ESTADO PELO GUE DOU POR GUMPRIDOO PRESENTE CONTRATOGE TRANSPORT
| |_|
cxcoeronan ca ames raron a
ici a
PM Mr ——
a a
aS Sf eS
Ss Ff | —e—
a
9006 1 Sarin md. COSMET
|
lo 724
——————————————————————————————————— |
2 aa a |
[fst ar erero co muscon toc. —rrenrnsosiscs
ee |</t>
        </is>
      </c>
      <c r="C109" s="15" t="inlineStr">
        <is>
          <t>NOTAS FISCAIS DE COMPRA JANEIRO 2026.pdf - p. 108</t>
        </is>
      </c>
    </row>
    <row r="110" ht="75" customHeight="1">
      <c r="A110" s="13" t="n">
        <v>109</v>
      </c>
      <c r="B110" s="15" t="inlineStr">
        <is>
          <t>ry
GINTBLIGENCIA EM LOGISTICA LTDA .
SITCACMBA FUNDA Semon, Epil
Cl MARIOLANDIA Ga80.270 &lt; 3
Transportes sracan.ce ea
Dinrer no amveN-71 eers107 Capt.
FVTRCS] 66 TELEFONEt8 9907-068 Baars:
{oO} A ae
Pete Perls | Sitmecmes “a ["s |
[ie |"Smanseccee |_|
maooroemsvaone marie: | roma ms
‘Phat anewe me comm ew nev en pot are nrr oE
[——___rrommngbts aan 25951202709 970UN)7 SH. 1UUO OE TEOR E
me
n 74609 RS 1850270 [muwnaonn eo C10
|
a a CT
faxrares foratetssont W5021853490 — MICHAEL PEDRO PEREIRA
UAWORSS: s4216090 [oiasea4s330
|
es a
TNFORMAGOES DA COMPOBIGAD DA GARGA
STEREGOR 29351 Cave 2525170 OTIS COCOA OIE
|
‘REAPOMSAVEL NOMA OA SEOURADORA (WOMERD DA APOLIGE .
eon coor ‘evo wien RANORA A.C 4221 RCO parce
|
ORMAGOES CONPLEMENTARES DE NTERESSE DO CONTFUGLINTE. Z|
|
JS |
;
v3
ser SS,
er ow
‘a Aa
. Ca
ESE
ast
Pa;</t>
        </is>
      </c>
      <c r="C110" s="15" t="inlineStr">
        <is>
          <t>NOTAS FISCAIS DE COMPRA JANEIRO 2026.pdf - p. 109</t>
        </is>
      </c>
    </row>
    <row r="111" ht="75" customHeight="1">
      <c r="A111" s="13" t="n">
        <v>110</v>
      </c>
      <c r="B111" s="15" t="inlineStr">
        <is>
          <t>: : -
MME ESTADO DO CEARA ‘Acdo Fiscal de Trinsito - 202570638344
QERR® secreTaRta DA FAZENDA
QD COORDENADORIA DE ADMINISTRAGAO TRIBUTARIA
“SM POSTO FISCAL ARACATI
Dados da Ag&amp;o Fiscal
Data de Abertura: 2112/2025 1697 [bata da Entrega: 21/12/2025 16:45
a
Dados do Transportador
|
a
femaren comme Pid
Termo de Responsabifitade
© traneportsdorimotorsta,acima identcado, assume inter resis responsabidade pela selva do Estado do Card das mercadorias descrias
‘0 rata ficeis relacionedas neste documento e registadas como wan Wve,
Ne Data = Sreawar, = SH Emitente UF Destinatario Valor Total Cred, Status Liberada Status TL
sos auz20s | er Nie sazntega Ce B9ss02B000288 - S 1S 98,642.20 ‘Sam Cobranga. Sin
Souk cranny Ecry
overaanoe BEUETaAE
Shanta sem OuEREOLTOA
Histérico da Agdo Fiseal
Qeiisican senses Descrigo Data/Hora Situso
bo. ALAERIOFRENTAS SRA Pr avae ataPat ainazeas ara aoe
naa
sermun- wana Henan ces Ce Sousa + hate Past namgace aac 184890 Nemongace
Autenticacao
(mpresso por 00999415 - MARIA LUCIMAR MENDES DE SOUSA = 2112/2025 04:45:42 Pagina 1</t>
        </is>
      </c>
      <c r="C111" s="15" t="inlineStr">
        <is>
          <t>NOTAS FISCAIS DE COMPRA JANEIRO 2026.pdf - p. 110</t>
        </is>
      </c>
    </row>
    <row r="112" ht="75" customHeight="1">
      <c r="A112" s="13" t="n">
        <v>111</v>
      </c>
      <c r="B112" s="15" t="inlineStr">
        <is>
          <t>aS Bit do Darina
4 ‘Governc do Distrito Federal Fro co Nota Fiscal de Sarviga
gy. Secretaria de Estado de Fazenda do Distito Federal eee ch, mee SS
Dados do Prestador de Servigo
&gt; Tory
‘312/2025 Sct Sates
CONNECT INFORMACOES E TECNOLOGIA SA. . pene reeeeeery
COMNECT INFORMACOES - MATRIZ ‘Gilige do Raentcisede cea ae f
‘S186 OLKORA 02 CONAINTO C LOTE 08 - SUBSOLO SUBSOLO FTtAESces aust
teeta orto fs vera) Bechara
Se Cay viraeet tone 61 anaeabss SrASRN eaponadvel pala ein cee ap heres
Irecgbo ark: OBS459900706- GNP: 00860, 0001-72 rijkeodasra: ae
WantificagSe da Nota Fiacal de Servigo Elebonica
‘areca de Opes are 0 APS Dale de rina co RPS
Prestaydo de Servico ‘536.843 ‘SHN2I2025
oa dos Sonia Tare pode noes
Braelia-Diavito Federal Brasiia - Disbita Federal
Gados do Tomador de Servigos
Prpicer: — massanoi00s imac Annee V04TSOED
KJiosocst SAL ENGENHARIA NQUSTRIA E COWERCIOLTDA
Enero: RODEN SSN 31068 Niner 8
‘Sonpemeria, Bains: x0 RAIMUNDO
EP, exorami0 CibnieF: TERESA?
Toho: tzz7oRe Nat: tomestacrupakofieal co
Dados do intermedidrio de Servigas
Descrigao dos Servigas:
PROCESSAMENTO E GERENCIAMENTO DE COMUNIGACAG DE DABOS PLATAFORMA CONNECTSA
Detalhamento doa Tributes
‘Anaad co Mnlee ila [fom os TTR | OH RES Coorg
CY .03 - Processarnento, armezenamento ou hospedagem de dadus, 2,00 % 103 715090000 6203400
fala Berdgen | Deecoatatnnnelonsde [Design Bane de Cateus [Bena do Calais | omi 40 iBEGN ~~ |TOGGWRatée | Dammnao, Cmacionnda
RS460,00) R§0,00 $4.00 R§460,00 $9.20 Nao R$0,00
7S earns es ise Tesi” [Bina Races | SGN Retas Yor ead
30,00) R30,00 $0.00] RB0.00} R50.00. RS0,00 RS0,c0 ‘R8460,00
‘Construgdo Civil ‘Cédige Obra Art
Informagses Adicionala
RefiCico: 20251 2/01. Dispensa de Retencao de tributas PCCARRF, conforne Solucac Consuba FP 77 de 20 de marco de 2019.
Consulta a auteaticltads deste doosmnenta apessando a ska: kira Jesnetonine.comanlne/LogivLogin.aapx
Faprotsaem OSDYUTIZE THOT-20 Gonnet tlamagies 6 Tecnaingia « Aijiedinnconeclea conihy Powered By Connect kforrencies ® Faciowgia SA</t>
        </is>
      </c>
      <c r="C112" s="15" t="inlineStr">
        <is>
          <t>NOTAS FISCAIS DE COMPRA JANEIRO 2026.pdf - p. 111</t>
        </is>
      </c>
    </row>
    <row r="113" ht="75" customHeight="1">
      <c r="A113" s="13" t="n">
        <v>112</v>
      </c>
      <c r="B113" s="15" t="inlineStr">
        <is>
          <t>REconSEe wee RRTETN GS RURITGCONSTANES bi NOTARRN BORAT |
1" 04.
CceecLiines DANFE ri 1 WWW ETIANTTONT RTH
cape, fesiemantzenserme™ seecesste | TPT
Zp (Gorsnanos 0-ENTRADA jeaveor aces
4 1-SAIDA [2225 1229 1906 9400 A368 55k 1000 420 8615 2694 6353
|OeP Sacro - Neseaees Fiat Sisahs Ge matecticidade ho portal nacional da NE-=
sea ine. nf fannda yov riper ou no Ht Stix Autorzadore |
ATORERT OK OFCENENS ROTOCOUN Be aTEACHB BERG |
VENDA DE MERCADOR DQUIRIDA OU RECEBIDA DE TERCEIROS 222250031314641 23/42/2025 12:01:36 |
RSCG RD ESTAR SER ES. SUBe TRAD TTR
Iseuom eT ionwcuntoy at
frowe ea [enor cars
ISKAL ENGENHARIA INDUSTRIA E COMERCIO LTDA. 123,655.038-0002-49 23/12/2025 |
fpeaico ea rea an 7 arentaxoa sibs
AV SAO FRANCISCO 4000, VD_ EXTREMA. (64076-4530 123/12°2025,
imenesina PT Tisca ious |
[itisgone [aan aie eRe Ve [TRO em Te
ef ns
SIDECKLAMGOO RIS [VALOR BOTA [SSE GRCALOORSTOS SY ~~] vALOR BOE SUSI | AUR TOTAL Bae PmODUTOS
THR ROR VAR 00 BESIONIS [OTA Daas Taco TATOO
ao] 90 on 1320.0 |
iegneaiene REFER SORE OSGI ARTF FRA COVED a —————
peas alll ae a :
i i i a ce
yl ba Coa OER Tran FST ROT |
90 |APODI DISTRIBLICAD 2.006 400 2,900,008
FSR RERANCH ROR TTF a5] 7 84
lar 1
SCOMPRAS |
"Sel eg ASexhy | |
SCRE AO MUNICTEAL VALOR TOTAL DOSSERVICOT pease BE CALCELON Conon soe
Too] anny) a 00]
[intone ORCS RETA TTT
‘tears smmonereronsemimycto ists ese. bonne ni, .
ISSUE in ihahiie casein Deere f ao
yee
fone |</t>
        </is>
      </c>
      <c r="C113" s="15" t="inlineStr">
        <is>
          <t>NOTAS FISCAIS DE COMPRA JANEIRO 2026.pdf - p. 112</t>
        </is>
      </c>
    </row>
    <row r="114" ht="75" customHeight="1">
      <c r="A114" s="13" t="n">
        <v>113</v>
      </c>
      <c r="B114" s="15" t="inlineStr">
        <is>
          <t>WUNIOIPIO DE TERESINA PI
Serge eleerdnic Decumento Auxidar da NFS-¢ RBTAPGCALELETRONICA SEMFGEMTPLOOY.BR
Chava de Acees da nee magaee
Broo w2soeeres 1000 1450000000000022260 15450000328 ene
imo da NFO ‘Comowincia da NFO-8 Date a Hore do amiesto da NFE-® Me
2 HOUR O012028 16:00:41 eras
aero de 088 che da DPS eta Hola de anento de OPS ers
Es 500 Orrot2078 1600-1 trae om pm etn
sett teveaage Rance st
Seacoast pines oe
“SMITENTE A RES) nT ri in ng
Prealador do Sentgo- (24.870.5710001-45- : (86) BBS9-7606
Nome Norse Egreml Exall
22 890.571 JORGE GUILHERNE COSTA FERREIRA SGRGE,GUILL@GMAILCOM
Ender Miankiple cer
00 SOL. 820, PICARRA ‘Terese -Pl Sa016-290
‘ingie Nacional i Dta de Compertcse ‘gn de Rourke Tbuskta plo BH
plone = Microempreendedor rebaual (MEQ :
"FOMADOR OG SERVIC CRIT OPE INE Inscrigho Municipal Talefone
5.688 00n0002-88 osasist (6ey2282-4700
Nore Name Emproacet Emmet
SKAL ENGENHARIA INDUSTRIA E COMERCIO LTDA. frenceko grupokatix@gmat.cam
Enduro sarin on
‘rate Sho Fronisco, 4000, EXTREMA Terosna-Pl 84076450
TEST 00 SERIO RO DERTIFIERDO NANESS
SERVIGO FRESTADO
Saker ‘Coaigo de THbseacdo Muka Local da Prowtect Pala de Prowtacao.
01 ~ Aggessorla, andise, 001 + 649130000 Teresina - PL -
avsigdo, lendenentn, core,
cn.
Descent
Impintegao de prinlo Govomanga conporativa
RGU OR
“iwgho ds t9908 Pele Renata uo Preinghe do SerdgeSunkipo de nctitcle do BOON Raglnn Expaca do THbuact®
‘Sporagto Trbulave! : Torsona Pl Neshur
“Too da lmuntede Sezynctods cance ce B90H Hon Poe pate Acetic Moria!
‘Year do Servo Bascom Inondconado Total Deceeofiduton ceo dob
800.00 : : $
ac 1eS0N ‘Alguoa goa Retengto do $550 1808 Apurado
: : Nip evee :
SRS EER
nae oP oa
bt ‘COFING ‘Retangho do PIS/COFINS: ‘TOTAL TAIBUTAGAC FEDERAL
‘VALOR TOTAL OA HFS-E
20 Sanizs Desante Condetonado DDasoonts incondidenado 12608 Reddo
10,00 RS RS .
F, CP.COUL - Rate PIBICOPNS Raton ee io dla NFS-8
RS.9,00 a R$ 500,00
Totals APRORMADOS DOS THBUTOE
Federale Enaanis unite
7 ES COMPLEMENTARES
vias: 418079000
S,
e itd
GOMew
we cao?</t>
        </is>
      </c>
      <c r="C114" s="15" t="inlineStr">
        <is>
          <t>NOTAS FISCAIS DE COMPRA JANEIRO 2026.pdf - p. 113</t>
        </is>
      </c>
    </row>
    <row r="115" ht="75" customHeight="1">
      <c r="A115" s="13" t="n">
        <v>114</v>
      </c>
      <c r="B115" s="15" t="inlineStr">
        <is>
          <t>—eEOoO7nU OO
Fg DISTRIRUDORA DE oncom ene | TAMIL MAMA WAAL
i 7D BEBIDAS ATACADAO DA ‘Nota Fiscal El i}
| 1 Sake rage a m9) Se gM TAP i
{AW MIGUEL ROSA. 6433 - MACAUBA - TERESINA -21- CEP: N° 000.020-113 —| Consults de autencidade ao portal nacional 4a NF-«
i “ao e80 FONE: 2999574 EMA: SERIE: 1 Cetuatetuarde pv bps oi a sted Stee !
' Pagina tdet | Avedaders :
RYENDA DE MERCADORIA ADQUIRIDA OU RECEBIDA DET Frey SOON TING LG 17/12/2025 10.08.39
Tyeesnee? [reeeterers mons [57 658.920/0001-01 _.
Wensa 828700 Tr: [isaeaezse io) _
FATURA Vewcimanty___ Valor, we Vescinwate Valor w Yemimenty Veber ay
i
uD
a oe
9.00 0,00 £00 9.00 600,29. i
3.600,00
a can ia i bs McC
480. io 520,800, 520,800,
cc Kl i MP
Jj
| i
os 0 :
se
i
Ff egDERATERNITAU \
DADOS ADICIONAIS { 6
FraPORNNQOUS COMPLEMENT AMES. RESERVADO AG FLICE |
e Bain |
yan? |
|
, : : cscwnkorr YEQSsoftcom</t>
        </is>
      </c>
      <c r="C115" s="15" t="inlineStr">
        <is>
          <t>NOTAS FISCAIS DE COMPRA JANEIRO 2026.pdf - p. 114</t>
        </is>
      </c>
    </row>
    <row r="116" ht="75" customHeight="1">
      <c r="A116" s="13" t="n">
        <v>115</v>
      </c>
      <c r="B116" s="15" t="inlineStr">
        <is>
          <t>|</t>
        </is>
      </c>
      <c r="C116" s="15" t="inlineStr">
        <is>
          <t>NOTAS FISCAIS DE COMPRA JANEIRO 2026.pdf - p. 115</t>
        </is>
      </c>
    </row>
    <row r="117" ht="75" customHeight="1">
      <c r="A117" s="13" t="n">
        <v>116</v>
      </c>
      <c r="B117" s="15" t="inlineStr">
        <is>
          <t>Facer Bice Bia do Nason opt tan cormn Go Nou Mat era cate
Jemtt OU RIDE Dov Sak ecgrbede tine Coro ate. Ver Toul 25600, NFe
NP 000,000,172
Seream
1
Pennesmenecene S| A
‘Note Fiseal Elténica
. s-pereane [7] feta
Avenida Donor Jono Siva Filbe, 4705, Loja 02 -Plasaltode | U~SAIDA. 2226 0143 1408 9400 0175 5500 1000 ONCE 7219 D138 1559
Monteserra The - PARNAIBA - Pi ~ CEP: 4207-545 N* 000.000.172
Fone: - ‘Série 001 * Consulta de autenticidade oe porta nacional daNFe
+ | Kotha 11 swineaefazerla gov ifptal on noite de Sean amorizadera
aro Ra &gt; SR RETO
"Yea do mereadoiaadguiridn on reebid ‘zamaceoossmn26 on 12026 15:01:57
joruiontaca RaamIaETDRT RE RRTTO TTI [eerie
DESTUNATARIO /REMETENTE =o
ane: — [aomer pum
er nace ae
canis
fro Sea, coy
a 9 = a
eas
wr 4
Vencimenre 09/02/2026 ‘
[aloe —-RS8.23800 .
CALCULA DO MMTOTO
RECN TaOET ION cos pars einaaotoma rin —[vannosniionaat, [ean inti hon
oo Taree pia em eaRaaNaae Yemen om a
en essa
“TRARSEORTADOR./ VOLUBIES TRANIPORTADOS _.
pee Pasa PP Pe
A a a
P= Oe OO
DADOS DOS PRODUTOS /SERVICOS
rom Tam [= ria Tis
[Ss [seenemenrvennes [seo fon ome [at Jatone| Se [eta] a |S er]
I 2 ll RR
lee Ironacomenzracxasnoccioriia—_, —_|raas| im [aa &gt;= | ann] aati anal —istomal ae) aol aa ato]
SF [rane FuRD Cowl OF MODLLO | DRTRENGID COM] RETARD Er a
ae i i DD i
fareeane
i 7,
" 2/9 (SD
i Oo i
DDIRVEMENO 9G ( ‘a a H
Rut, 4.009,00 \ i
. HN . |
A fh
sf
ANY
DAPOS ADICIONALS: *
(somata rai 1
= iy COMPRAS, , i
Pjeaeewm, BE Veena ba Lancans emeel 02% H
pF RO i
YF
ix 2f Presuo - 8698130230 =
Erarge ou UIDRACE j
DATA EHORADA WERESEAC DIANE . {cae -{UG3RLARA IRATE RELI IO</t>
        </is>
      </c>
      <c r="C117" s="15" t="inlineStr">
        <is>
          <t>NOTAS FISCAIS DE COMPRA JANEIRO 2026.pdf - p. 116</t>
        </is>
      </c>
    </row>
    <row r="118" ht="75" customHeight="1">
      <c r="A118" s="13" t="n">
        <v>117</v>
      </c>
      <c r="B118" s="15" t="inlineStr">
        <is>
          <t>«93 (1 A GE RESET OS VOLUMES DEBTE Cole EORSINTO EM PRAFEITO ESTADO PELO GUE OGU POR CDNPRIDO O PRESENTE COMTRATOOR WANSVOWUT
later 7 ‘TePRanCl OR PRESTAGAD-DATAIMORA cre
js * — PE OG Praga DAFAI HORA
ee
| acarmonmumevconorimeromrensmewce — |___ samba Pe
F GINTETIGENGIA EM LOGIBTICA LTDA
hirencnipa revs sea tare we oh
TORE ERTS ae
(intense waramvn fier as
RATRC64716499 TELEFONE:(US) 99917-9068 THRO Gn PREETAGIO Iago
precio) ie [mene TRAE RORADEGHRSIO [SACI | epi oUtE ope
Lt Last omit eat oT Senin
TOR STE RTORERTS TEES
{AOR TA zp sevice
Car RaNREIR AES
BIRO IOT SNORT SIAR ONAL TEARS 9. restacno oe enc DE TRASSEM COSA
cnr foro seco ronai
ve me ai re
KOON AHVGG RAL LNGENMABIA ESDUSTRIN ECOMERCIOL TDA (ARGC, TERESINA cer ae
_ “ZOMFONTES 0 VALOR GA PREGIAGROOESERYD
sar VALOR] [VALOR TOTAL DOSERVIQ?
hana ad [WALOR A REGEBER
rota eer BRE ed Roa
i — RET
| SF BERT SETTER TS
ALMOXARIFADOD
Almokaritado:
JAS aQir76</t>
        </is>
      </c>
      <c r="C118" s="15" t="inlineStr">
        <is>
          <t>NOTAS FISCAIS DE COMPRA JANEIRO 2026.pdf - p. 117</t>
        </is>
      </c>
    </row>
    <row r="119" ht="75" customHeight="1">
      <c r="A119" s="13" t="n">
        <v>118</v>
      </c>
      <c r="B119" s="15" t="inlineStr">
        <is>
          <t>IAS RECENT OES BETS CRC Ei PERT READ PRIDE DOU POR GPRD SPRERENTE COMTRAT OE EAGPORTE
heise pxaneo tn
DACRE PRERTACAO DATA A pe neo at
inne 1
—— — a a ao
Tocmmomnuaocomencrocenmeorerumcs | ___sonovina |
Taermicusnoernst eee]
‘STU CACTMRA FUNDA Sem adenere wo fi i
Same eae
ARACATI-CE OS TERA
Sesto ems AAP cs
BNTRC-MD160 TELEFONEAEA) 9917-0008 Boba ETN Bore
She, ses | eee | eRe
fa w eet ora io Be AGID
SBT a A OT nan Fags
SATS. SDE ARIS
INBRIER S08 pose nim ctr
TRE Daa a
286 OLAS. FONT STURATT? SOG. OOEAUEG LILO ONY |4990- PRESTACA De SERVICO Oh THANSFORTE A HStARELECMENTO COMBAC
fsarine aoc RoR Dec APH fase SA NOROLIR SISTA ECEIEACOLTON
lower, oc e 5h mon a0 feemego nv snDsmAneuc0 ae .D-LxTARIA
Jimeno gunn co oman amo Tena cor wera
lorie: nomen socneio tan miner loose aero. conlaeroun: ee
fe ce tae na re te my vom enna roa rave
feceees merce
haaome on esse o
foo secncioernou loosen sexton.
on me oar" me
bic mes a inane RRA OREO LTO a Ta ee
Jpoen&gt; nvsnorRaNECD in -VD- EXTAEMA wn rn mas,
Joescst assume eomoioesu. um roe, een
a
ae sian
veo
na Ta RTT TRRT
Fill fed sire
Lobe = DORA NERSET
ronan oo ere
Ce RTE ROOST
Pemeewiomeere mee me er |
ore a ET RE Fe en TETSU
TL 1
___E TT! ed
ror esrRaTar Nee TT
ALMOXARIFADO
eT NS eS
Weolisoifdc Paula
Almokarifado
RG, 2908.905
AALOs'76</t>
        </is>
      </c>
      <c r="C119" s="15" t="inlineStr">
        <is>
          <t>NOTAS FISCAIS DE COMPRA JANEIRO 2026.pdf - p. 118</t>
        </is>
      </c>
    </row>
    <row r="120" ht="75" customHeight="1">
      <c r="A120" s="13" t="n">
        <v>119</v>
      </c>
      <c r="B120" s="15" t="inlineStr">
        <is>
          <t>a
tee TF
_—- a. ?
i. ‘Sree so mua Documento aula da .
Po A Gg in crear t ‘Nota Fiseal Eletrbales [cine ie acres
= Se] ON eter 338 raat me pl eres 29 fmt cro
[Dvscexckoxstapuat [oar PROTON DG AUTORACRD DRO =
[Sie Pomcemsnn na emia |
=a = —
Sicat ENGENHARIA INDUSTRIA E COMERCIO LIDA Biss eseronz-9 |
ia oreasewcosen Sony Fer soe
0 ee |
Nias = — ae
as
2
oor 01200 3.60878 OD m0 3.604,78 mo cl eo SOUS LEOALTE 005. WN22026 5,604,758 !
ee ice Se eet meee dee
}CALCULO DO IMPOSTO. |
iio ———
— a al a
i ia
lian ll a
a tn hae
ae aa
[a] meen mem [mem lne om [mmr | at Pend | [ome] =] ee
| DADOS ADICIONATS. From id
aa —
[eetsdan: S208? a RAPEESENTAMTE: FERNAMEXD WHE LEDER DA BLY» ALMOXARIFADD
Jcommurestoemacmnciaiane caer a ictte GreatpenQrp
festa uanreracrarvonsueropcs orto rains te \
FSS a Witt ga as.a2 75 a |</t>
        </is>
      </c>
      <c r="C120" s="15" t="inlineStr">
        <is>
          <t>NOTAS FISCAIS DE COMPRA JANEIRO 2026.pdf - p. 119</t>
        </is>
      </c>
    </row>
    <row r="121" ht="75" customHeight="1">
      <c r="A121" s="13" t="n">
        <v>120</v>
      </c>
      <c r="B121" s="15" t="inlineStr">
        <is>
          <t>———— DANTE.» | TW i iil i
. eppaan MOUETRAL mLcoUmTOADOD SES ill tI LL II Hi
&amp; renee aM i
now sucesw&gt; 0. ENTRADA JexaveDeacesso
SURNSNS TL | ate feoenda go paral ou no site de Sez Awoiadorn
vena Be FRODU
DA DE PRODUCAD DO ESTABELECIMENTO. 9401/2026 _ 13:42:59
Peertriaall
pens To 2090051
ISKAL ENGENHARIA [NDUSTRIA E COMERCIO LTDA. 13,655.03 8/0002-89. 09/01/2026.
Inv SAO
[avsnoreancscowwoy&gt; esa saorease _loominoae
aa Prssnck
cA a
(frrcexnurae | vemeo [Tien | varimanonic | vevomenro [tae Tearvenwome: | vescnesero [ asoe
[esse | —oaamgs —[—mses[
a a SO SS
Ricks DOE | VaLoR DORE TERSEDCHITLODOTNEST | VALOR DOTEHS SuastTTUTS | VAIOR TOTAL Gos mMODUTOS
Taa0505
a ORT VAL BOREAS ALR 0 BERETA [GRAS BESPEEAT Rae oT THUR TOATETROTA
fear akoocne TEETE FORCE — ORTOTT READE PEEIS|
i == a
i Ge
RRR] EH TE ES SOBRE SOURIS
(Sromooo_loxanee aoe argo 3.90.00,
an PRODUTO SERVO Cer7S Faloa | VALOR VALOR TAgOTa]
i iia Wl iid il a S29 a a Ec
BS er “EP a Esa [arf] ane] oe) — ena a ayaa
zuvigy TICKET DE PESAGEM QX_83
NF Sequencial: 0404250
Entrada: 0901/2026 11:36
Saida: 09/01/2026 13:34
‘Transpottadora: DESTINATARIO
Placa: BDU9J1S
Pesageminicial: 19950 kg
Pesagem Finat: 57940 kg
PesoLiquido: 37900 kg
Parser
Te LTE 77 TRADE
NP 2019 Lame SHINS RE,
cf
Welison fle Paula
ALMOXARIFADO. soup
Lan WAZ ZG iar
sinatore Hel ol te
Powered ty Tors</t>
        </is>
      </c>
      <c r="C121" s="15" t="inlineStr">
        <is>
          <t>NOTAS FISCAIS DE COMPRA JANEIRO 2026.pdf - p. 120</t>
        </is>
      </c>
    </row>
    <row r="122" ht="75" customHeight="1">
      <c r="A122" s="13" t="n">
        <v>121</v>
      </c>
      <c r="B122" s="15" t="inlineStr">
        <is>
          <t>|
7 DESARD OOE RECO VOLES TESTE CONTEEENTO BU FERTETO CETADO TELO OIE DOU EOR RPROO PRSRTE CO ATO TRNEPORTE
ry sk Odes Se RANT oT te
ae : fe cece 382
= RTT oT
83-12 + 299) . * tne 1
Taare co ee ee
ocuMento AURLAR co CoriCEMENTO De TANEGRTEBUTROHCO nooovihaio
cenmermantocre EEA
SIT CACTBA FUNDA Sen wer Oh
nance [Ser Ree
me ARACAT-CE ons yeas
Caevarmreres7 rien 2 Recs
SNTRC:SHIGOM TELEFON) m1 068 WE Da RETA A
Fae | caress come] Soe | | NE
fa Ruvuswen ona Teas RTGS
Connon eas 9 SOT pie
TROTUORO TE ARORDGIOTE
iL Brera 2UIDAMS esr GMT 8
‘FOF RATTRERORRTHGRS
{isa 707.37R37S7OA Seno ooe.LAOINLAME 105. rs74¢H0 0¢ SO BETRANPONTE A TABEURINENTOCOMEREL
ave os aU ERATOR eanorate Sa ENCTHARACETIAFCONERGOTIOR
fmenco naar sn s1 oom secesso poem AVSAOFRASCIC- aD EXTaMA
Meee unser xr cman |uanene Teassin oe worn
ewscer aoe sicnctoemoin. cost oer Asai® sccmpoeman ats
ws ce exe saan oe ie nait ant roe eacres
Geaaned Iacono
loctess. lowenco
on - aaecre on
secnctoetnin: ener recom,
Ain toe eas mo
omGaR SOARES SEAL RNA OURTIAEUORERTOUIN toxereaTN vane
emma av suo FRanctsco- ae XTHA moa BRL
lowsom mesos stessoesun ce roe se
pins amas raat OT prea
Jmentoereannecr at sins
Ps xe UAE
fer sa
Meroe aa a
[Fre wae ‘490 [een asa.
pono “a Woddasoaead
fssemnge re esas
casera TTR DORR aECNGaO a ras
temeomeese ee |
cos ARENA. DOCMDITE
Te Toa aaET GRIT ra TRON ATT
MOT: OSE SILVA NFECASITIS = |
ALMOXARIEADO i
|-—taricang ERIS As 7s sro rrr ———
[Apatite “eo siciuano bg ewssin over — — = 2 REERDS TORR</t>
        </is>
      </c>
      <c r="C122" s="15" t="inlineStr">
        <is>
          <t>NOTAS FISCAIS DE COMPRA JANEIRO 2026.pdf - p. 121</t>
        </is>
      </c>
    </row>
    <row r="123" ht="75" customHeight="1">
      <c r="A123" s="13" t="n">
        <v>122</v>
      </c>
      <c r="B123" s="15" t="inlineStr">
        <is>
          <t>+ 4 FG (STELIFENCIA EM LOGISTICA LTDA, ”
rCACRO FUNDA So ae ERech
MARJOLANDIA 62800-970 Ewch AES
aaacaT-ce ARES te
Cha ner Wares hese
RNTRC:3421400 TRLEFONE:€4) 99917-0068 bat ees
TE -DosnS crorn Domenie Fou na [ees
Poke)" |i =
TODA RGDGVATIO DE CARGA a ae op ovs raenm egore gr o T
[arora rane 205.1242, 7097 4700977 $908, 100.9008 741080000007
jarocrs PESO TOTAL — LOST eee more
O 7500.0 [eS 15.582,50 |wesasawonaaaiss ou Dino &amp;
[a [9 | ag ne
fabesros | — pe przizreans2 G15406 444-6 [ANTONIOIOSEDA SILVA
faunoisz | ex [scieope Josesoorz
INFORMACOES DE VALE PEDAGIO.
(__“evreveeessen TT] arewottwenivn Yann senses | _waonsovarraion |
INFORMA OES OA COMPORIGAD DA CARGA
[uniciplo_—__Tindonmegbes dos Docs. Fiscal Ynciados so Maniesio _ [Wutzinn | naimieptes dos Docs Face Vincuisdos as Manifesto
TERESA 291 thee TDSC A oT
INFORMACOES SOBRE 08 SEGUROS
Tae TONE DR SeAGORA aso OA MoU
Py Too wane SeCURADOHA 8. Ache 5A nT D pie)
ee
TRF ORIAGSEH COMPLERENTARES De STEREGSE D0 CONTRENTTE
FORA TEs ADCIORAIS OF WTEREEAE DO HACD.
|
{
are TER. OR Soul |
La SCE oh Ba
ue A 28
‘ 7 4 :
ay . oe aia
i pC ae ao \\ee"</t>
        </is>
      </c>
      <c r="C123" s="15" t="inlineStr">
        <is>
          <t>NOTAS FISCAIS DE COMPRA JANEIRO 2026.pdf - p. 122</t>
        </is>
      </c>
    </row>
    <row r="124" ht="75" customHeight="1">
      <c r="A124" s="13" t="n">
        <v>123</v>
      </c>
      <c r="B124" s="15" t="inlineStr">
        <is>
          <t>7 7 DEGLARO QUE RECEBI O&amp; VOLUMES DESTE COMMECIAENTO EM PERFETTO ESTADO PELO QUE DOU POR CUMPRIDO O PRERENTE CONTRATO OE TRANSPORTE.
= aoe MESTACIO- BATH cre
PErecearerms (Otuerard so oma RE BORINENTO
24-12 - 209% ianialinia seme 1
oar [tg
DocAManATo ALSRLAR DO COMLCAEENTO DE TRAMAPTE BLETRONECO RODOWTAR
FG ENTRLIGENCIA EM LOGISTICA LTDA
F ~~ rr CETERA FINDA deren —— [Ores
Transportes aRacaTt-cx — : eet:
enemy et Lee |
RITA SAM TELEFON TANS ao TENS Heat
boty TarnomoraeG | WERrNIR | ca: zuiplngum corset
* wo ohne
Conn 0 ww 2 cent pov bapa Pani) tases
PROTOCGLODE ATTORENGIODEDSS
TT pr aa
COP WATORETA DAOPEDTAGHG
FRSA 01 FARSI SONOS SOL) SE SOO OOS 6393 - YRESTACAG DE SERVICO DE TRARSPORTE A ESTARELECIMENTO COMERG.
eer COMeARTA ROVSTRIAL De CORDNTO AFOOL [GN BEN. ENGRRLARIA BOUETIIA © CONERCO LTDA
powers ODIs -2n-Dowsbcesoo Joecraco. AV AO RANCTID-s0-\D-EETREMA
jane. Quart ee cor wees0
lows: razmareennst sexacle sve: coi larson, natewemer wecmcto su: (sua
fe ceo maa. a len mm aan eo: sxe
peeseno loco
° o Java: a
al remo cou: lana enemcto eeu
Salers ro le ne ro
frsrooroo wraps SAL SCENIANA DOUSTRIAEOOMENGO CTO asco TORS oars
focoes AVSAO MANET -em-¥D-EXTRDIA orm ews masa,
leeucee: sassy secagro sven: ation Fo: coon
fmearo renames iad STS CA Baa er
cone roRTLAND- CPV AN rates
a a a |
areas
owe
Tad rc) = fiero oo aaa
aie arm lrsurm
takes a
pee a] facowa RSE
[roa re un] lesu:za
(Dremaenrememanms Num ee ae ae |
OES eo
oo _ = Pad
Tarane Aaa aOSST TRS ‘51 bao FOBT ODRSORDSTTDTT
0
Fenn
ALMOXARIFAQO
_ Te CT
{__| 290 HEAVEN 00 ERROR DO CTE.</t>
        </is>
      </c>
      <c r="C124" s="15" t="inlineStr">
        <is>
          <t>NOTAS FISCAIS DE COMPRA JANEIRO 2026.pdf - p. 123</t>
        </is>
      </c>
    </row>
    <row r="125" ht="75" customHeight="1">
      <c r="A125" s="13" t="n">
        <v>124</v>
      </c>
      <c r="B125" s="15" t="inlineStr">
        <is>
          <t>FOINTELAGENCIA EM LOOISTICA LTDA 7"
'STCACDIRA FINDA ene Biegre
Transportes SAcA0-ce PRR Pa
Geen mme.7 were Ege ©
FTA HEIey TELEFON 817088 Sees
Popeye
Ris eee | =
eal ed
oS a)
revmcmannconanen | "mesmo =o
i po a met oe AGT oOo
[————__srorsigtan rama ser | TISNo TW aTAAST swTReNRATEADeTEATO
pao ToT Pataae Cra
7970.01 |rucameecmt Toe us OC) rto Et
a —_S
reg 7 Om218.53430 MICHAEL PEDRO PEREIRA
Uaweres p
aa |
[neraies “Tren dia Game Fes Vows so eens [Mini ‘(ergs av Ds Farm ncameoe ia neem |
SERA DSS cane DCT SOT
oy RE DA SEDURADORA rimena a
cram eters Teo ARne SeDURADORA A 1884 CEN care
[_—___ rr ro rae oo mae Pt
iS
7 4
2 \
a
, RU</t>
        </is>
      </c>
      <c r="C125" s="15" t="inlineStr">
        <is>
          <t>NOTAS FISCAIS DE COMPRA JANEIRO 2026.pdf - p. 124</t>
        </is>
      </c>
    </row>
    <row r="126" ht="75" customHeight="1">
      <c r="A126" s="13" t="n">
        <v>125</v>
      </c>
      <c r="B126" s="15" t="inlineStr">
        <is>
          <t>“. [ 324% ESTADO DO CEARA Agao Fiscal de Transito - 202572813185
‘ SECRETARIA DA FAZENDA
COORDENADORIA DE ADMINISTRAGAO TRIBUTARIA
POSTO FISCAL ARACATI
Dados da Agio Fiscal
a a
Dados do Transportador
a
Savon 7 Toran fom
Lewewrmm comereie Ed
‘Termo de Responsabilidade
‘as nolae ficais relacionadas neste documento e registradss como transit Ite.
Notas Fiscals NY _)
ne Data Eaaeamen ey Emitento UF Destinatario UF Valor Total (s=/ eu TL
sue waza ie aoue ce PETsOeeNOR-SKALAY RE RIHES Semcon Sim
Conner Beeman Thorac
Ravstrat 0 BoUSTRAE
MENTO EH EGHERCIOLIOA
Histérico da Agao Fiscal ers
Maticula/Servidor Deserigao Data/Hora Situecao
espe ccnm noite orcas + ee i to et aanareas wear ve
mont? rom vA GAA re. eta Pat eae senacens 03677 renaegata
Autenticago
eres a Hl
Impresso por 30001877 - VICTOR SILVA GAIA = 28/12/2025 02:66:54 Pagina 1</t>
        </is>
      </c>
      <c r="C126" s="15" t="inlineStr">
        <is>
          <t>NOTAS FISCAIS DE COMPRA JANEIRO 2026.pdf - p. 125</t>
        </is>
      </c>
    </row>
    <row r="127" ht="75" customHeight="1">
      <c r="A127" s="13" t="n">
        <v>126</v>
      </c>
      <c r="B127" s="15" t="inlineStr">
        <is>
          <t>————————————
= a LID BEE CREO PEDO ERD PLO OUE DOV FOR BNP RODS PESENTECONTHATO FE TANEEE
Gg dimes SS em =
OSU — ae |r. OOCLNRNTS 3PM
Fon 49 - 095 —_
‘DACTE a. ee
sonnei muna ere envORE RNS sittin
fF GINTELIGENCIA EM LOGISTICA LTDA
FQ ES a Se)
arene a
TraWapATTRS ARACATI-CE — re
Cerne satieagh TELEFONEAG0 99814065 wees eC
eo = eee | ane
2 wceneees Saath
roksrm neta Bienen
Sah AORN
HOUT AA sua sump sonra
Socroransaneos
snr paar seg NN esiustcous Sate amen ae)
Pons ects owas Rian” savoneste-aw roman
feces ce cw mmm [Cone Son ar one
ee my meno a Sse 2a sense
| jesoene go |exoanes.
a mcnsatun [ime on
a m= Le ne =
FS RRR TTR Sane a awe
a ee ee enone ro a
et Sane Sao
on = : one
for = aa OE
aa ma ean
Eee ra Sota
fete, bone
Eeedirnetinelrniotre foo ie ee Gee
ae en ao — ERTS
|
a ———
aT
ALMOXARIFADQ
| a es a
|
1
1</t>
        </is>
      </c>
      <c r="C127" s="15" t="inlineStr">
        <is>
          <t>NOTAS FISCAIS DE COMPRA JANEIRO 2026.pdf - p. 126</t>
        </is>
      </c>
    </row>
    <row r="128" ht="75" customHeight="1">
      <c r="A128" s="13" t="n">
        <v>127</v>
      </c>
      <c r="B128" s="15" t="inlineStr">
        <is>
          <t>Transportes sescan-Ce ENS Po:
mre 5
Peppers | swears, jem Fee =
Seca oro SRE A ani ea oan ETO
' SOPMAGOES PARA ANT ‘2A2S. 1242. 7097.80 A377 S001 (006.0005, 7ELEOEEABOL
1, 7890.0. IRS 18.75! [srs rseneeiz044$ sm nao @
|———'——neer EEE ees TOUTORES
a a a a a
ee | aN Fn eat PORE RODRIGUES SOARES LOPES
a SC
| SS :
Kran [rrapion dos Tara Fagus Uren ao Hardee [Muni [forage ds Des, Fre nodes no Mansons |
| TERESA SIRE] Chav 1525126270978 700077570| ACHR ORF
Sara voand coms
ane “
= eee a nee ‘owns
ae a
CL an
SF Sey
fy, t .
“ee Nes ©
\ YON 29 DEL ae
_ AN (we?
Nf “UEs Fume,” war</t>
        </is>
      </c>
      <c r="C128" s="15" t="inlineStr">
        <is>
          <t>NOTAS FISCAIS DE COMPRA JANEIRO 2026.pdf - p. 127</t>
        </is>
      </c>
    </row>
    <row r="129" ht="75" customHeight="1">
      <c r="A129" s="13" t="n">
        <v>128</v>
      </c>
      <c r="B129" s="15" t="inlineStr">
        <is>
          <t>SEA VOL STS Con RET PERSE RTO TIO GE OOU FOR RDO D PENT CONTRATD OE ORCPORTE
~~ ——eeee oom BE
| eee ow a
lew
=a on
[COCUMENTO AIDIUAR DO COMMECMENTO OE TRANGPORTE ELETROMICH RODOVARIO.
FG INTELIGENCIA EM LOGSTICA LTDA,
re ta GREG]
MARIOLANDLA cee
Transportes seacani-cx ——— Nitrate a
Canam ns mars Ones
HYTRCS4216009 THLETONE:0 99817402 SS TTI Rater
=e, eee | eee |
= wa fr
"Coralia om wa he daar 90 ei pore 2211601 TERESA,
PRATT. TERT TRENTO STS
ssn son 14a? GMT 80
Sor ARRAN
TELATL FOOT ERATT STR HOSS SOE OOD 6315. PRESTACAO DE SERVICO DE TRANSPORTEA ESTABELECINENTO COMER.
rear SoA HOUTA DTCRNTO ATO Sane ST RETA SORE
fect oocaisc- 50mm sro feces av sho MANOCO a8. ETIENA
meer Gumane co cman fever Tce om caress
feeserr eons meomoermon woot enaapionnnes eco erane: sae
eco rate toe ler rowan toe ome
feces jocmece
~~ o lene -
; ecrcto on, loco mctocimon:
_" te mw =
cain ao a RL NT POUT FCOCTTETON Tn = oes
Jeroeno, av snorenensoeomt Westen orm me as
foros, _ rcs Pano Yu rae geiee
| [restorations ara Tone ery
\coorrorowrtre sv suamee
a a a cc ccc
xmrvce ‘xo
oon corre
ia a Greslndsseeemad
ieee wae stems
acl re fac et
las a stem
Tv
|
Too SS a | {TO DOTNET
Wate Sanne RTE, $2 aS RON TETTT OT TTE
PA
a L ——_
ro
TET
AL MOXARIFADO
a ee
[~~ Rasinattr et “geomamvocommmeonoocre —SSSC*SCCSCSCSCaO BC
Welisorfde Paula
Almofarifado
Wear on 85
OS} OL} 26</t>
        </is>
      </c>
      <c r="C129" s="15" t="inlineStr">
        <is>
          <t>NOTAS FISCAIS DE COMPRA JANEIRO 2026.pdf - p. 128</t>
        </is>
      </c>
    </row>
    <row r="130" ht="75" customHeight="1">
      <c r="A130" s="13" t="n">
        <v>129</v>
      </c>
      <c r="B130" s="15" t="inlineStr">
        <is>
          <t>| beaten hn 7
— a
oaneransmoncmtncnocemeremnamin — [__eaiige
ar ys
Scores Grates
—— Tone
erie ates
ETS, ae | eee | GRR
eae
sab eTTRIOTES
COMIN EA
Soman
snsina rr. sain rime
SS enon Se Ser sic
= i ere
eee scr Eee —
Game OO
ee eee
a ee ee
Se 2 _ iim
fesse eh tae
Troe. arco nares TT GER TWRG COGMENTO
she he —
——
ee
SS
[—_Aftnatore “(eo eLueWO DS EMESORDS STE rr sce}
Welisof de Paula
mete foes
aoe ee</t>
        </is>
      </c>
      <c r="C130" s="15" t="inlineStr">
        <is>
          <t>NOTAS FISCAIS DE COMPRA JANEIRO 2026.pdf - p. 129</t>
        </is>
      </c>
    </row>
    <row r="131" ht="75" customHeight="1">
      <c r="A131" s="13" t="n">
        <v>130</v>
      </c>
      <c r="B131" s="15" t="inlineStr">
        <is>
          <t>.
RT aPROUTON
sntcurccrecananecanionncaae Fed
D EI VELOSO -CEMBLINE 200
FORE. 080 PARADA 1
: ving ra coe! Cara atk FL.003280
Se TABU PSS
besser rane SEO Sa
aod parce ean Fru Liar Derg ‘itzas
sipoc waco Soom Cres
Ere Ee .
ISGERIE WADA SAO FRANCISCO. (GRY “EXTREMA, TERE PT TEA
- ‘eae
FFT SERIF Abn GARONNE TR CBWE Wa ARTA, PARR
every aneencananr as
a ae
Hae SR — oa ETE tone
2a hone ub A8 tse reer 180 tue tan
3 Psowatice GassakzA30 24RA oA wom a Cs
TOMAR at
Tet arness DEIABON: UIE
Trae WS a SRE ee
18 EAR ULAR 0 oan PC a es
qa tremens mn a Romanus pevawecy|: $08
"Tolloreglo oe
Valero,
\y IPRAS</t>
        </is>
      </c>
      <c r="C131" s="15" t="inlineStr">
        <is>
          <t>NOTAS FISCAIS DE COMPRA JANEIRO 2026.pdf - p. 130</t>
        </is>
      </c>
    </row>
    <row r="132" ht="75" customHeight="1">
      <c r="A132" s="13" t="n">
        <v>131</v>
      </c>
      <c r="B132" s="15" t="inlineStr">
        <is>
          <t>ara ~ Prefaiture Municipal de Teresina esac
e Secretaria Municipal de Finangas Heats
SZ Nota Fiscal de Servigas Elstronica por ey
NFSe - Prestador AaGiyrvn,
DADOS DA NFSe faterene ce tooe eee
(sae nore mminse —Compatinds ——imero/ Sen Pastas as Ss
Deore etc ORR ‘arlu me
SRE Ne
EMITENTE PRESTADOR DO SERVIGO
Pr cast Inecighe Muntele Yatton
Stone $03N001-68 eeare eneneaney
ewe ema @mpresadat ena
evox PRESTADER DE SERVIGOS TOA fererm sorvenGotmst com
encarsgo tinkiie or
POC rgE uo PERE 261 SAA. PAROLE EA, Jenene PIBRASIL on07e8e0
TOMAOOR DO SERVICO
oe CHP ence Murcia ‘eetome
Funes noa002 80 : .
Nome Home ngreaarta Ema
SKA ENGENHARIA NDUS"RIAE COMERCIO LTOA, femorioieaicce
Enderge unto cep
ENON EXO FRANCISCO 00 EXTRA TERESA, PLORASA, sore
@aaicorrestise
(CHAE 1680
'7120-000-00-QUIHAS ATIVIONSES DE SERVICOS DE SEGURANCA
Senteo
‘Tots VRHLANGA, BEGURANGA OU NORTORAMENTO DE BENS, PEBEGAS E SEMIOVENTED
oan dn proving verve Pate de promapte do nerge
Senzonnrer BRASH,
DESCRIGAO DO SERVIGO PRESTADO.
Roesestle Se Simvage Se aacees on Fen0sn0X REMEMRWTE Ab us ox oempeme ex 2025
MPRAS
rane 10 Fan 00 On nT PR
@Rarrackowowcrac
rig ace co 1SON nite da connote do SQN ‘sanponabral pate commer do ESBOR
oes TEREDIIN-Pr PREGIADOR DO SERVO
Finds do IBEGN ———Rtuapho dopreendor do sani pre 0 Benen Nacional Ragine expect de tna do IS50N
MiG RETIDO. Serene Earp acne!
CALCULO DO ISBQN
alr etl dare) Teal maigine RS] Ovee-Incontlonada (RB) Sasa ctl MOUBEON (RH) Aba CK) Valor doABSCM ER
2175.0 200 000 e170) om si
RETENGOES
13908 (RA) ARRE {RS) risers) COFWES (RS) Nas (RS) ‘CSLL (RY ‘Orasas retengoes (PAP
00 00 000 oa 90 299 fee
VALOR TOTAL
Tate de cewe do SON RS) ang Rt} One. Inconcttonado RA) Desc. concelonado (RS) ater gue da WES 8)
e760 800 fia oo prison
INFORMAGOES COMPLEMENTARES</t>
        </is>
      </c>
      <c r="C132" s="15" t="inlineStr">
        <is>
          <t>NOTAS FISCAIS DE COMPRA JANEIRO 2026.pdf - p. 131</t>
        </is>
      </c>
    </row>
    <row r="133" ht="75" customHeight="1">
      <c r="A133" s="13" t="n">
        <v>132</v>
      </c>
      <c r="B133" s="15" t="inlineStr">
        <is>
          <t>ie me
~ abe . Prefeitura Municipel de Teresina rl
Tate ak
Ps Secretaria Municipal de Finangas pra ael
Se Nota Fiscal de Servigos Eletrénica ee
-Prostad
: NFSe -Prostador NOHNgASr |
ere a ES
DADOS DA NFSe Sepese me ereeeoe conse
Datac hore deemintto — Campestncia = rammero/ Strie SOAS Saee te pS
cows inant ayaa ‘eevu im
ee tN
EMITENTE PRESTADOR DO SERVIGO
corteneyi ne Inacio Wanel ieione
Stamm snvo001-08 fare fayoroes79
Home Nor pees eal
PEUX PHERTADORA DE SERVICOS LTOA fone oreo hotretcon
emote pen cep
BORRGL 0 PERET G4 BALA. PARQUE REAL TERESINA PIBRABEL ‘tare 600
TOMADOR D0 SERVICO
cer oNeAr HE rmcipta Munipad Telatone
Fasssoven007.08 mast :
Nore Nam Eger eal!
SHAG ENGENHARIA NDUSTRUA E COMERCIOLTOA ‘nmeoro@akxcom
Enaesco famnepte cep
Bot Seaco ace xRENA TERESINA) PRAGI. ecoreso
@RvicoPrestano
nae /B0
‘tzt0z00-OUTRAS ATIVADES DE SERVICOS DE SEGURANCA
terige
{Tin IGLANCIA, SEGURANCA OU MOMTORAMENTODE BENS, PEBBCAS E SEMOVENTES.
oes a preeaghe do wnvga Pale do prestnga do serio
Tenens Pt BRAS
DESCRIGAO DO SERVICO PRESTADO.
mesricio oe rem 10cAb0 a Cie mt REEL TE
SERGE SE SE SURG SURES 0 wen oe permis oe 2028
COMPRAS,
—— aoe
aro to Pon 070 arte PSR RE
@eewracho woncieat OT
Exit dade 40 WSO mankiot da Petdincn 60 658M espana pee recofownte doS50N
Eagvel TEREGNAS PI PRESTADOROO SERCO
Feeengle do BQN Bduashodo prestador do sonign pera »SurptesNecicrl Rogime vovasinl deinbutante do 60N
NkO RETO press Sipps Nasa!
CALGULO DO ISSGN
‘loro noe (Rh) —Teaeslaa ecupen (98) rnc ncondicioneda (RA Bhan de edleve deKSEGN TRE) Allg CH) Veter do RSEGN fH)
2.17500 200 39 7609 o
ReTENGOES
“Baan ane ey mss Cormac, moans) cou my ‘ures tenes (Rt)
a0 90 a0 600 om 00 as
VALOR TOTAL
Besa Ge cAleudo a EBON (RS) ‘Ratergdee {RS} Cenc. Incondicionade (Rs) Das. condicionadio (RS) Vator Liqeido oa NFS¢ (RS)
evreoo eo to 30 aot
INFORMAGOES COMPLEMENTARES</t>
        </is>
      </c>
      <c r="C133" s="15" t="inlineStr">
        <is>
          <t>NOTAS FISCAIS DE COMPRA JANEIRO 2026.pdf - p. 132</t>
        </is>
      </c>
    </row>
    <row r="134" ht="75" customHeight="1">
      <c r="A134" s="13" t="n">
        <v>133</v>
      </c>
      <c r="B134" s="15" t="inlineStr">
        <is>
          <t>ween ‘gay MUNICIPIO DE TERESINAP)
| ed oe oy DANFSe v1.0 SECRETAFURAMRECIPALDEFRIANCAS.
eee Dacumento Auxitar da NFS-0 Ritonscaecernonca seur@pureicu/6n
Si _Rerormscanereremnnca ser gtr .c0ve
‘hee de Aeneas da Wee en
221900122482648260001040000000000022260 18045234016 sateen.
Momero 63 NFS-@ ‘Compatincin da NFS-2 Duta = Hore de emieedio da NFR Pens
| 2 yaovan28 12012026 09-4020 Sie
Waeo da 0S suoe dare Deore dessa da DPS eu |
# 300 ‘yarotaga6 0920 ‘miata ma ptm vn
Se |
arnow somes roptmcoasntes
“EMITERTE DA RES-= "SCT ap Teg
Prastador de Seevign 45. 284,8261000 1-04 . 186) 9848-0255
Noma Nome Empresa Eat
EMERSON CANDIDO DE AQUING $6476770520 CANDIDOTERESINAQGMAL COM
ncaa Maniipio cr
CENTENARIO, 9687 A AEROPORTO ‘Teresina -Pl 6008-700
‘inpte cise oa Oe de Compact Rogie de Aranso Trot polo SH
plane «#liroemereendeda Intdual (MEL) :
“TOMADOR G8 SERVIGO NF GPF Ta a pe Fst ——_——~
wo (23.855.098/0002-89 . .
ome / Nome Empresarial Eos
'SKAL ENGENHARIA INDUSTRIAE COMERCIO LTDA. :
Enderoga snicbte coe
‘SAO FRANCISCO, 400090, EXTREMA Teresina -PI 64076-450
Sas RES po ——__ NTE EROS ENTRAR
‘SERVICO PRESTADO:
‘too vo Trews Nesionl (lin do eben to wana Local ds Presneéa Pale ts Prompt
16.02.01 - Oubes senigas de 051 ~aazesoo00 Teresina - Pl :
: de novurvza municpa
2 sarge
SERVIGO PRESTADO DE ENTREGA DE MERCADORIA
SBRIBSTRGR MUTA
Tebutepto do ISSN Pate Reeutado da Proctglo do Serigo Municip de ocistnci @ (880K ——_—ggin Especial an Titetaglo
Operagbo Trbulavet : Teresha =) Neokare
Toes munisade Sepa de EilitdadedotSS0N Name Poceeo Sompantto Banetele Manicol
Yolo do Serica Dewcon condom Tote OncustenRoaugion Gtido 60 BM
rasa : : : i
BCISSQN Aaaia pokoade Retengho do (380N (S808 Apuredo t
: . Nbo Ratio :
‘TRIBUTAGA FEDERAL 7 _
ar o cou.
*s ‘ooFINS Retanglo ao PIRICOFNS ‘TOTAL TRIGUTAGKO FEDERAL
WALI TOTAL BA ES
Yate 0 Serge Depoonts Condiconegs escoons Meonaonedo 1380N Reva
8200000 re °5 :
(BRE, CPCS - Ratios PIBICOFINS Roe Voter gue da NFS
REg.00 . R$ 2.000,00
4 I$ APROX NBUTOS _
Federale emma Nunes
INFORMAGOES COMPLEMENTARES — 7
COMPBAS
‘LANGADO EM.</t>
        </is>
      </c>
      <c r="C134" s="15" t="inlineStr">
        <is>
          <t>NOTAS FISCAIS DE COMPRA JANEIRO 2026.pdf - p. 133</t>
        </is>
      </c>
    </row>
    <row r="135" ht="75" customHeight="1">
      <c r="A135" s="13" t="n">
        <v>134</v>
      </c>
      <c r="B135" s="15" t="inlineStr">
        <is>
          <t>Prefeitura Munteipal de Teresina meses
Secretaria Muntclpal de Finangas pes)
Nota Flacal de Servigos Eletrénica peso
NFSo - Prestador ymmwzawe
nT
DADOS DA NFSe Seater biec ira sees
Ontashoradsomisséo — Competbnctn = Ndmero/ arte Sesto ron"
AN 2028 1227 ouenZt Te7IU wee
faownane viz
EMITENTE PRESTADOR DO SERVIGO
CPRroMPAt MEE Insarigbo uatipal Yetatora
ca.z46.087R00147 cat Beyaz.
fiom Homa presale Emel
EDWARD NOURA SCCIEDADE INDIMIGUAL DE ABVOCACIA EDWARD MOURA@EDNARDMOURA-ADV.COM
Ensetesa, uniegte oer
Faber eeu on cwnen sean sursaLs oor TERESINA/ PARAS. Stoga-t10
SanAtoRBL
NN
TOMADOR D0 SERVIGO
OPEFOHPSING Inaetedo Monto “Tenfore
ease nseeona-20 oaosts :
Nore tome Expres Eexat!
‘SEAL ENGENHARIA INDUSTRIAE COMEHOIOLTOA, toichecel@ialccons
Enseroge uniepto ow
[RIESDA nko FRANCO 4000 BARRO DITRENA TERISWIA/ PC BRAS. etgre.4s0
oe
SERVIGO PRESTADO
eo
ABD ie: sxaces avecariaos
servigo
rad -ADVOCACIA,
kcal de penstorto vo-service fale da postage to srvtgo
‘TeRESRTPL BRASH
mercer
DESCRIGAO DO SERVIGO PRESTADO
enontrton etreoaaoe
OO —
DOGUNENTOEMVTOG PORTE GUEDE OPTANTEPELO SNPLEP RAGIN.
eemcro MUNICIPAL
do do SO Iuricigle da octeincta do BSN Reaponaivel peloreccthtoenia do ISON
Bighet TERESINA PRESTADOR DOSBAVIO
Ratongse do S508 ‘Shuagto go prestadoe do servi petante o Sirpisa Neciona ‘Roglza expecta bo tisingSo do 880
NAG RETO OFTANTE Sinpon Nacional
GALCULO DO ISON
Valortatalda NR20 (RS) Totsl due dedoy0es (RS) Dass, Incondidonado (Rt) Bavede clcule do SGQN (RK) Alla.) Valordo1950N RS}
407600 00 000 407500 saad
RETENGOES
Tes0n (as) IRE (RS) pis (Rd) coenes ins) as (RS) aL. (Re) ures oneness (25)
900 900 ‘800 990 090 0.00 490
VALOR TOTAL
Bove do cllevio de 1580 (8) Rtengbes(R§} Deve. boondclonado (RS) Desc. capdclonado (3) YYalor Ligue da NPSe ORS}
4075,00 0.00 0,00 000 4076,00
INFORMAGOES COMPLEMENTARES</t>
        </is>
      </c>
      <c r="C135" s="15" t="inlineStr">
        <is>
          <t>NOTAS FISCAIS DE COMPRA JANEIRO 2026.pdf - p. 134</t>
        </is>
      </c>
    </row>
    <row r="136" ht="75" customHeight="1">
      <c r="A136" s="13" t="n">
        <v>135</v>
      </c>
      <c r="B136" s="15" t="inlineStr">
        <is>
          <t>* . A
Se IDIOQDESEOPAULO.__marodaNote
PREFEITURA DO MUNICIPIO DE SAO PAULO erer01 6004
SECRETARIA MUNICIPAL DA FAZENDA (Data e Hore da Eminsdo
49/12/2025 09:15:12
NOTA FISCAL ELETRONICA DE SERVICOS - NFS-e Cédigo de Venticagso
‘ees 21geNaSTEMEECOUD | 7vux-99Ne
PRESTADORDESERVIQOSSSOSOS=~=“‘“—S*S*~™”
(CPF/CNPU: 11.257. 580/0001-13 tnscrigho municipal: 8.981.089-6
Nome/feazho Social LENCO CENTRO DE GONTROLE TECNOLOGICO LTDA .
Enderege: R BRKG XAVIER DE BRITO 00126 - LMAO - CEP: 02651-000
‘ Municiplo: Slo Paulo - UF: SP
a
TOMADOR DE SERVIGOS
NomeyRezto Social: SKALENGEMHARIA INDUSTRIA E COMERCHO TDA .
i CPR/ONPJ: 73.685,038/0002-89 Inserigao Municipal: =~
"Endecago: AV Sho Francteve 4000, GALPAO D- Tancredo Nevee ~ CEP: 64076-038
{anltplo: Formato Ue: PI E-wit: CONTABRIDADE@KALFIK.COM
INTERMEDIARIO DE SERVICOS
LOPFIGNPS: NomasRazlio Sociat: =~
A DISCRIMINAGAO DE SERVIGOS
pees ‘PRESTADO DE ENSAIO
|APGAMASSA DE REJUNTAMENTO ACRILICO BRANCO TIPO II LOTE: KALOS25
227 caREN neo: a9
Pecoino: 73.854
i seLarORto 0G ENSAIO: 25171886 LOT
lemme: as 22,25 2.90,
IRIBUTO FEDERAL: RS 34,88 (4.658)
FORMA DE PAGRAENTO: BOLETO .
IVERCINENTO: 16/03/2026 RS 703/87
| ,
| . Sy
COMPRAS, 7 un ww /
EMD So!
NEN
NY
x
e ALOR TOTAL DO SERVIGO = RS 750,00
{ NSS (RS) CSL 0) ‘COMS {RS} PSIPASEP RS) eres
1 : 11.28} 780) 2250: aaa] :
‘Cédigo do Servign, &gt; °
(019072 - Pareles, laudos, examas tecnicos e anillees técricas, inclusive inetiwios psiootécnicce,
“Valor Tota) dae Oaducies (F$) ‘Basa de CHteto (RS) ‘Abaects {§) ‘Vallor do FSS (RS) Graaite (hs)
9.00 | 780,00! 5.00% 37,50; 0.90
Tris do Preemgio 62 Danaea Tia rato Gia | Waihi doa Tas Horie
: + : RE 122.48 (96,33%)_
OUTRAS INFORMAGOES:
+ (1) Exta NFS fol emia com roepaido na Len 14.097/2005; (2) Ota de vencimenta do ISS destn NFS-: 10/01/2026,
ak</t>
        </is>
      </c>
      <c r="C136" s="15" t="inlineStr">
        <is>
          <t>NOTAS FISCAIS DE COMPRA JANEIRO 2026.pdf - p. 135</t>
        </is>
      </c>
    </row>
    <row r="137" ht="75" customHeight="1">
      <c r="A137" s="13" t="n">
        <v>136</v>
      </c>
      <c r="B137" s="15" t="inlineStr">
        <is>
          <t>Prefeitura Municipal de Teresina paenen
Secretarta Municipal de Finan¢gas: bP Bs HS
‘Nota Fiscai de Servigos Eletrénica aod i
NFSe - Prestador uReOIaS Jy
_— ee  .0€0— Lae Sane OR pot
papain’ Sear
Data ahorade emisesn — Compatincls —_Naero/Séte Sonia ae nae
Orrozoze 170s 0172028 R200
eV—_—_e
EMITENTE PRESTADOR DO SERVICO
cPeronrs/Hr (nacrigto icine) Terfove
(08 708asz0001-08 64s70-2 188) 4008-0000
Noma toma Erpresscist Exmat
‘CONSULTING AND INFORMATION SERVICES LTOA Iemiieenina.corn be
Enderego Mucicieia rd
URIOSS DOS SANTOS E SILVA 2850 PICARRA TERESINA/ 1 BRASH. 07-045
a
TOMADOR 00 SERVIGO
‘GPF CHAT NIE Inches tieetpal Totter
23,658.036N000-89 seats :
Nerve Name Empresarial email
SAL ENGENHARIA ROUSTRIA E COMERCIOLTOA traveerogkatir.com
referees uniciplo cep
[RYENTUSEAGFRANG:OC0 40001 BNRRG EXTREMA TERESINA PI BRAS, 4076490
a
ee PRESTADO
cxis0
|» SUPORTE TECNICO, MANUTENCAD E OUTROS SERVICOS EM TECNOLOGIA DAINFORMACAO
ace
21.07 SUPORTE TECNICO EM INFORMATICA, INCLUSIVE INSTALACAO, CONFIGURACAG E MANUTENCA DE PROGRAMAS DE COMPUTACAD € BANCOS DE
Lace! de pretest do service Pale ce prestayto de some
TERESINA BRASH.
Tre
DESCRIGAO DO SERVICO PRESTADO
armsents so e2urrgae PA2t7100$ Wo NE DEENND/2025
Sik "vercera ov, seas
rma Erverane 934942, 9966, 6345, 9365, 0367
30 Rag cas dis,ee a Sow (
EMT TERT FR AE HEF OAT PED PMLEFNNGOME OO
TIQGTAGAO MUNICIPAL
Exigiilkiade do 950M Manetplo da tockltncie do IS9QN ‘Responsdvel pelo ecaihimento do 1S80H
Exel TERESINA- Pt PRESTADOR DO SERVICO
Retene de 1880 ‘teangdo do premtador do varvgo pecan 6 Benplaa Nacional agin expocal on tbutacso do BON
NKORETIOO OPTANTE Sings Naor
CALCULO DOISSON
\Vetorttal da NFS* (RS) Total des dedugSee (RS) Dvve.Incondicionado (RS) Gate decticuls do1890N (RS) AN.1%} Valor do SSON (RA)
170875 090 B90 17875 ad
RETENGOES
SSN (RS) IRRF (R$) PIB ARS) COFING (RS) INSS (RS) CELLARS) (Outras retengies (RS)
299 a80 000 00 00 0.00 090
VALOR TOTAL,
Base de cileuto dotSSON (RS) Retengoe (R$) Desc. Incondicionedo (R$) Dex. condiclonade (RS) ‘Valor Liqukio de NFSe (RS)
4788,75 0.00 900 0.00 17887
INFORMACOES COMPLEMENTARES:</t>
        </is>
      </c>
      <c r="C137" s="15" t="inlineStr">
        <is>
          <t>NOTAS FISCAIS DE COMPRA JANEIRO 2026.pdf - p. 136</t>
        </is>
      </c>
    </row>
    <row r="138" ht="75" customHeight="1">
      <c r="A138" s="13" t="n">
        <v>137</v>
      </c>
      <c r="B138" s="15" t="inlineStr">
        <is>
          <t>a EEE
Folha..t 1
ORDEM DE SERVIGO Emissao: 08/01/2026
—_  —
TOPI CONSULTORIA E GESTAO LTDA
Ay, Jose dos Santos @ Silva, 2659 - Pigarra - 84017045 - Teresina (Pl}
wuw.totvs.combr = ~—=—s‘Telefone: 86 3011-7069
Consultor.: TPI086 - RAYRA ESTEFANT BEZERRA TTALTANO / Central de Recursos
Cliente...; FO15570 ~ SKAL ENGENHARIA INDUSTRIA E COM LTDA
Viaweese.01 Cliente
—_— eee
Data: 02/12/2025
Periodo: 09:00 ~ 09:45 Translado: 00:00 -- Intervalo: 00:00 -- Total: 00:45
Ref, OS: *1TPT0863350818087F01557020251202* / Num, 0.5.1 00008363
Motive : HORAS FATURADAS reessonon987
C a conforms solicitagsa do cliente =
jeto...: PROJETO KALFIX - AVULSO
Tarefa....1 SUPORTE REMOTO
Atendimento iniciado com Girlandia, onde a demenda tratava de e2221 que a cliente nao conseguia
geraz o gatilho pro esocial. Fiz acesso remoto onde verifiquei cadastro do funciondriv, cadastro
do exane, e fungac do mwsmo, solicitei prints dessas ahas para anexar ao chamado com o suporte
totve (25624235), pois estando tude ok, precisava investigar o motivo do 32221 ndo constar na aba
fila de eventos do esocial, ficamos no aguardo do retorno para continuar as analises
Eventuals restrigbes quanto ao conteddo, apontamentos ou outros dados confides nes Ordens de Servigos aqui listadas
devem ser apontadas no verso deste documento. O cliente ainda terd um prazo adicional de 48 horas, contados a partir
da emissio desta, para apontar restrigdes através do canal de atendimento indicado no cabegalho desta OS.
reT06é - RAYAR ESTEFANT BEZERRA TTALTANO unite Meade Sect hie ‘SRL ENGENHARIA INDUSTRIA E COM LTDA
Zz 2osa197-£742-Aco-8068-SA17E6578920 fora Téemings 17:34:78</t>
        </is>
      </c>
      <c r="C138" s="15" t="inlineStr">
        <is>
          <t>NOTAS FISCAIS DE COMPRA JANEIRO 2026.pdf - p. 137</t>
        </is>
      </c>
    </row>
    <row r="139" ht="75" customHeight="1">
      <c r="A139" s="13" t="n">
        <v>138</v>
      </c>
      <c r="B139" s="15" t="inlineStr">
        <is>
          <t>oO
Folha..t 3
ORDEM DE SERVICO Enissao: 08/01/2026
——
TOP] CONSULTORIA E GESTAO LTDA ;
Ay, Jose dos Santos © Silva, 2659 - Pigarra - 64017045 - Teresina (Pl)
wewsotve.combr = ~——‘Telafone: 86 3011-7069
conaultor.: 7P1DS6 = RAYRA ESTRFANI BEZERRA TTALTANO / Central de Recursoa
Cliente...: FO19570 ~ SKAL ENGENHARIA INDUSTRIA E COM LTDA
Vises: Cliente
nn
Deta; 04/12/2026
Periodo: 10:30 ~ 12:00 Translado: 00:00 ~~ Intervalo: 00:00 ~~ Total: 01:30
Ref, OS: *1TPI0863350918089F01557020251204* ¢ Num, 0.S,3 00008364
Motive + HORAS FATURADAS Perea
- expeutadas conforne solicitagtio do cliente
Trojeto.,.: PROJETO KALFIX — AVULSO
Tarefa....; SUPORTE RENOTO
Continuidade de Atendimente com Girlandia referente 32221, foi feito acesso remoto e feitas
verificacdes se havia filtro por usuario ou filtro por perfil em seu perfil que esta atrelado ao
nédulo Folha de Paganento © Seguranca e Sadda Ocupacional. Visto que ndo havia e feita consulta e
Goncluide que havia sim @ gezaeao de Z eventos 82221, conseguines localizar na bese, geramos xn
@ orientel a cliente que fizesss 0 envio para o esocial, onde fol acaito ret
Eventuais restighes quanto ao contevdo, apontamentos ou outros dadas contidos nas Ordens da Services aqui fistadas,
devem ser apontadas no verso deste documento. © ofente ainda terd um prazo adicionel de 48 horas, contados a partir
da emissdo desta, para epontar restrigSes através do canal de atendimento indicado nia cabagalho desta OS,
‘TOBE = RAYRA ESTEFANT BEZEARA YTALTANO r015570P= SKAL ENGENHARIA INDUSTRIA E COM LIDA
| dtoha 97792 -4te-O060-H1 16672 yore rormng: 17:96:28</t>
        </is>
      </c>
      <c r="C139" s="15" t="inlineStr">
        <is>
          <t>NOTAS FISCAIS DE COMPRA JANEIRO 2026.pdf - p. 138</t>
        </is>
      </c>
    </row>
    <row r="140" ht="75" customHeight="1">
      <c r="A140" s="13" t="n">
        <v>139</v>
      </c>
      <c r="B140" s="15" t="inlineStr">
        <is>
          <t>fotha..: §
ORDEM DE SERVICO Emissac: 08/01/2026
—_—_———
TOP! CONSULTORIA E GESTAO LTDA
Ay. Jose dos Santos e Silva, 2659 - Pigarra - 64017045 - Teresina (Pl)
‘werw.totvs.com.br - Telefone: 86 3011-7069
Consolter.: TPE086 ~ RAYRA ESTEFANI BEZERRA ITALIANO / Central de Recursos
Cliente...: 018570 + SKAL ENGENHARTA INDUSTRIA £ COM LTDA
Viareee.et Cliente
a
‘Data: 0612/2025
Periodo: 14:30 - 16:30 Translado: 00:00 -~ Intervale: 00:00 -~ Total: 02:00
Ref. 0S: *1PP10863351210091F01857020251209" / Num, 0.8.1 00008365
Hotivo : HORAS FATURADAS THOsSOMISEL
[ execuladas conforme soticltagiio do cllente
fojeto...:  PROJETO KALEIX - AVULSO
Tarefa....: SUPORTE REMOTO
Cliente entrou em contato com demanda&gt; n&amp;o conseguir localizar o s2221 do empregado 900511 dentro
do esociel meamo estando no RM o evento aceite ret.
Acegse! renctamente e consegui localizar no egocial 0 evento que a cliente desejava, com codigo
sequencial do exam e maano recibo do evento enviado pelo FM.
——
Eventuals restrigdes quanto ao contaddo, apontamentos ou outros dados contidos nas Ordens de Servicos aqui listadas
devem ser apontadas no verso deste documento. O cliente ainda teré um prazo adicional de 48 horas, contados a partir
da emisedo deste, para apontar restrigdes através do canal de atendimento indicado no caberalho desta OS.
eYEG ~ RAYRA ESTEFANT BEZERAA TTALTANO soup pin dete Oh GRAL ENGENERRTR TNDUSTRIA E COM L70n
r | StcSa197-£742-4cDo-8068-5517C657820 sora Termine: 17:34:28</t>
        </is>
      </c>
      <c r="C140" s="15" t="inlineStr">
        <is>
          <t>NOTAS FISCAIS DE COMPRA JANEIRO 2026.pdf - p. 139</t>
        </is>
      </c>
    </row>
    <row r="141" ht="75" customHeight="1">
      <c r="A141" s="13" t="n">
        <v>140</v>
      </c>
      <c r="B141" s="15" t="inlineStr">
        <is>
          <t>Folha..: 7
ORDEM DE SERVIGO Emissio: 08/01/2026
oo
TOPI CONSULTORIA E GESTAO LTDA
Ay. Jose dos Santes e Silva, 2659 - Pigarra - 64017045 - Teresina (Pl)
wwwiotve.combr = ~—=Talefone: 86 3011-7069
Consultor.; TPTO86 ~ RAYRA ESTEFANI SEZERRA ITALIANO / Central de Recursos
Cliente...: FOLSS70 ~ SKAL ENGENHARIA INDUSTRIA © COM LTDA
Via-.seesst Cliente
oo
Data; 11/12/2026
Periodo: 14700 - 17:00 Transiade: 00:00 -- Intervalo: 00:00 -- Total: 03:00
ReE, OS: “2TPL9GGI352018093F01557020251211* / Num. 0.8.7 00008366
Motive : RORAS FATURADAS piessenmooLaas
re executedas conforme soicitag&amp;o do cliente:
fojeto...: PROJETO KALFIX ~ AVULSO !
Tarefa.,..: SUPORTE RENOTO
Acendimento com Girlandia, com demanda de envio de 92220 para o esocial sendo rejeitado(funcionaric
000507),por duplicidade, vimos que 0 evento 34 constava no portal do esocial, por ise que o envio
do RM era rejeitads, foi neceasdrio um update via banc, onde pegamos 0 zecibo do evento no portal
e colamoa no evento do RM rejeitado, e via banco concluinos 0 aceite do evento.
asain passance para a denanda do empragade 000457, onde ac tentar enviar 52220, 9 mesmo ara
Tejedtade, informando qua nao poderia ter o mesno evento con data posterior so que estava sendo
unviado, evento rejeitado: data 07/2025 @ vimos no esocial que 34 havia evento com dats 10/25,
informado que precisava excluir esse, para enviar 07/25, © assim tanbem alterar data de eniseio do
22220 admisaional que era de 10/24 mas extava com date de exissdo em 10/25, cliente iria fazer o
procedimente @ me acionar
Eventuals restrigbes quanto ao contetido, apontamentos ou outros dads contides nas Ordens de Servigos equi listadas
devem ser apontadas no verso deste documento. O cliente ainda teré um prazo adicional de 48 horas, contados @ partir
da emisso desta, para apontar restrigdes através do canal de atendimento indicado no cabecalho desta OS.
veTOO¢ = RAYRA CSTEPANI BEZERRA ETALIANO vorsli - atin Nan Se Kea tha TNDUSTRIA E COM LTDA
|
|
| DAc$al97-£1a2-Ac0e~8068-Sal 7F667HE2D Hora Término: 17:34:28</t>
        </is>
      </c>
      <c r="C141" s="15" t="inlineStr">
        <is>
          <t>NOTAS FISCAIS DE COMPRA JANEIRO 2026.pdf - p. 140</t>
        </is>
      </c>
    </row>
    <row r="142" ht="75" customHeight="1">
      <c r="A142" s="13" t="n">
        <v>141</v>
      </c>
      <c r="B142" s="15" t="inlineStr">
        <is>
          <t>Fotha..: 9
ORDEM DE SERVICO Eniasao: 08/01/2026
—_—_———
‘TOPI CONSULTORIA E GESTAO LTOA
Ay, dove dos Santos e Siva, 2659 - Pigarra - 64017045 - Teresina (Pl)
- wawitotve.combr = Telefoane: 86 3011-7089
Consulter.: TPI086 - RAYRA ESTEFANI BEZERRA ITALIANO / Central de Recursos
Cliente...; ¥025570 = SKAL ENGENHARIA TNDUSTRIA E CON LTDA
Via.......2 Cliente
oo
Data: 17/12/2025
Persodo: 10:00 ~ 13:30 Translado: 00:00 -- Intervalo: 01:30 -- Total: 04:00
Ref, OS; ‘1TPIO863356518095FO1557020251217*  f/ Num. 0.8.1 00008367
Motive : HORAS PATURADAS CHOROID
te exeoutadaa conforms solicitagao do cltente ;
fojeto...: PROJET KALPIX ~ AVULSO
Tarefa....1 SUPORTE REMOTO
Atendimento referente SESMT(s2220), com Girlandia onde foram verificadas as seguintes chapas:
000457; resolvide corriginde data admissional, retificande e excluindo exane de retorno a pedido
da cliente
000498 duplicidade no codigo dos exames, necessdrio corrigix um dos codigos ¢ enviar o evento
000294 duplicidade ne recibo do esocial, visto que a informagao enviada pelo RM 34 constava 20
enocial
000488 duplicidade no codigo dos exames, nacessario corrigirc um dos codigos e enviar o evento
000176 duplicidade no codigo de exames, necessdric corrigir um dos codigos @ enviar o evento
Eventuals restrigdes quanto ao contetido, apontamentos ou outros dados contidos nas Ordens da Servigos aqui istadas
devem ser spontadas no verso desta documento, O cliente ainda ter um prazo adicionel de 48 horas, contados @ partir
da emisso desta, para apontar restrigdes através do canal de atendimento indicado no cabegalhio desta OS,
© ote tore iste cere TITAN wos ehirain lense sta, mae, SHAE ENGESHARTA INOUSTRIA E COM TOA
i | 94¢5a197-£782-Aee-8060-5al72667b625 Hora Términos 17:34:28</t>
        </is>
      </c>
      <c r="C142" s="15" t="inlineStr">
        <is>
          <t>NOTAS FISCAIS DE COMPRA JANEIRO 2026.pdf - p. 141</t>
        </is>
      </c>
    </row>
    <row r="143" ht="75" customHeight="1">
      <c r="A143" s="13" t="n">
        <v>142</v>
      </c>
      <c r="B143" s="15" t="inlineStr">
        <is>
          <t>ey
Folha..: 12
ORDEM DE SERVICO Bmiseao: 08/01/2026
‘TOP! CONSULTORIA E GESTAO LTDA
Ay. Jose dos Santos e Siva, 2659 - Pigarra - 64017045 - Teresina (P!)
wwwotvs.combr = ~——CTellefone: 88 2011-7069
Congultor,: TPI070 ~ MARCO VINECIO MARTINS DE OLIVEIRA MELO / Central de Recursos
Cliente...: FO1S570 - SKAL ENGENHARIA INDUSTRIA &amp; COM LTDA
Via.ssss.t Totvs
Data: 28/12/2025
Periode: 10:00 - 12:00 Translado: 00:00 -- Intervale: 00:00 -- Total: 02:00
Ref. OS: *1TPI0703365118209F01$57020251223* / Mum, 0,8.: 00008423
Motive : HORAS FATURADAS OLeRSLECOLEG
re ‘enecutedas conforme solichagdo de cllante :
fojete...: PROJETO KALFIX - AVULSO
Tarefa....: SUPORTE REMDTO
Suporte para a geragdo de Lancamentoa Financeizos para o ano de 2026, que nao estavam aparecendo.
Eventuals reatrigtes quanto ao contatido, apontamentos ou outros dados conildos nas Ordens de Servigos aqui listadas
devem ser apontadas no verso deste documento. © cllente ainda tera um prazo adicional de 48 horas, contados @ partir
da emisséo desta, para apontar restrig6es através do canal de atendimento indicado no cabecalho desta OS.
Frrirun Obase/eA
‘TPIO7G - MARCO VINICYO MARTINS DE OLIVEIRA MELO FOL5570 - SKAL ENGENHARIA INDUSTRIA E COM LTDA
ia 94c5a197-£742-4clc~B068-Sal T£667BEZ&gt; Hora Término: 17:34:28</t>
        </is>
      </c>
      <c r="C143" s="15" t="inlineStr">
        <is>
          <t>NOTAS FISCAIS DE COMPRA JANEIRO 2026.pdf - p. 142</t>
        </is>
      </c>
    </row>
    <row r="144" ht="75" customHeight="1">
      <c r="A144" s="13" t="n">
        <v>143</v>
      </c>
      <c r="B144" s="15" t="inlineStr">
        <is>
          <t>Sing i
Poa MoNGO cE TERESA
NESe m2: DANFSe¥1.0 @ Shar i
Le  geeee \
SP Spotzeescas22009 14000000000000082601434028188 pais
by pared Seid he aoe |
‘Nimero da OPS. Série de OPS: Data © Hora da emisaso 62 DPS alia |
: b= Boies aoe aerate |
“EWITENTE DA NFS-@ CRPIT CPF TNF Tascrigio Municipal " Teleloss |
Poi osome eco saocae a0 : mua |
toes tnem Capt coat i
STUNSTLACREcernos eeanco fiilevaweoenoszsecuat cou |
| Endre Mirco com i
| SiC sconcenos, so, vALE QUEM TEM Meme Soros |
| “Smples Nacional na Data de Competdacis Regime de Apuracto Tribatiria peo SN
LOptante - Mreroempreendador Individual (ME!) |
| omaDoW 00 SERVIGO ERPS TCPFT nso Wap Tonto oP i
| Barmoqnenss q |
Non owe Sn — \
SOUENSEARESGlousra € cowencioLTOA |
tnarse nie or !
ERS PS wcieco, 000, EXTREMA ets. Sresso |
— Fi ERED RIO D0 SERVIC RRO TDERTIICADO HANES St
\ a PRESTADO——— =
eTumotcrnl ade Hato meal naan Prt Puerto i
| Seoese meet a, SHS anes
enn oto |
(et ae be de daremtro/2025
Re i
‘iano 08 ‘a Rentne da Pree fo ager ec B80 agape de
| nome ecmenaemeienen, yewreriieenmn: aetna
“ale bre Deco eats To Deiteaeaee nto doau
| sai : ( |
tersson et ee Fung 1900 [ssotpnen
| ne ° om
| a corns heme co iscorees ora mutichorecena |
| aC RE $$ @£$@$@@$am@a@a$aiia i
Gi oaeiada cma meas
Re isc Bs Es
fr, aon PesCORHE nin ‘eat ca
| Race : Rea a0.
| 7S D6s RETA i
| INC =S COMPLEMENTARES: OS ae |
eh 00 ,OS
300,92
\ 00,09
JOMPRAS. . v
| UntEAQD ESOS wa J |
| instore
| 05 04: Ley |
| Ke fun BPS |
| ‘</t>
        </is>
      </c>
      <c r="C144" s="15" t="inlineStr">
        <is>
          <t>NOTAS FISCAIS DE COMPRA JANEIRO 2026.pdf - p. 143</t>
        </is>
      </c>
    </row>
    <row r="145" ht="75" customHeight="1">
      <c r="A145" s="13" t="n">
        <v>144</v>
      </c>
      <c r="B145" s="15" t="inlineStr">
        <is>
          <t>Prefeitura Municipal de Teresina
| Nota Fisce! de Servigos Eletrinica
NFSe - Prestador
DADOS DA NFSe
ots ethara de emisaso — Compatinia eran / Siva
oar22028 1659-8 122025 1961970
20:57, EMITENTE PRESTADOR DO SERVIGO .
2676 COR /ONPA StF Insorigto Muntelpad Telatone
Eo, 1,7001170O013 - 1025155 86) 3222-1897
EA: Nome / Heme Enerecariad met
Gr] VANGUARD PECAS € SERVICOS AUTOMOTIVOS LTDA SOCORFOM, VES@BSCONTABKIDADE. COMER,
ei 2 Rarag Mustespie cee
Taemuamer» + AVERIGR GETULIO VARGAS 2000 SALA A REDENOAD TERESINA /PLBPASE HOH? 815
TOMADOR DO SERVICO
CPF /GNPANE . taserigo Municipal Teietone
. 23.858.0380002 60 oensts-4 (461 2007-47001
Wome / Nome Empeessrial Beat
SSKAL ENGENHARIA INDUSTAUA E COMERCIO LTDA,
Enearage Murterpie cep
VENDA SAO FRANCISCO 4000 BARRO EXTREMA TERESINA /PIBRASIL ‘1076-450
Bis PRESTADO:
CNAESCRO
1520-0901-00 - SERVICOS OE MANUTENCAD E REPARACAO MECANICA DE VEICULOS AUTORMOTORES
Serviga
+01 LUBRIFICAGAO, LIMPEZA, LUSTRAGAO, FIVIGAD, CARGA € RECARQA, CONSERTO, RESTAURACAO, BLINDAGEM, MANUTENGAO E CONSERVACAG DE
‘Local a prastarto do wera Pale da preetagto do wervigo
TERESINA / Pt BRASIL
DESCRICAO DO SERVICO PRESTADO
‘Asslnatura
e—_ ren eo GU EPP GFTARTERLO CuSO
TRIBUTAGAG MUNICIPAL
gia do ESM unig ds eidinola do 5H Reagonsdvel pelo rcofniments do SON
exghel 4, TERESINA PI PRESTADOA DO SERVIGO
; Ralangie do 159M ‘Svegte 60 prvatasor de oeévgn poranno Sims Kecional Regime expect! de tbutagha do ESSON
‘NAG RETIDO ‘OPTANTE i” ‘Sunples Neconei
|lcacoutone SsaN
Yalortotal de MPSe (Rt) Total das deceptee (8S) Dees. Incondiconade (RS) Ramada cflouto dolSBGN MS) Ale. () Valor do SEONIRSs
77000 00 8.00 wooo o
RETENGOES
TBeon (rs) ene (78) PIS (R8) ors (As) mess 8) csi (a3) vires retoncers 5
900 9.0 990 8.00 300 00
VALOR TOTAL
(ese estate co 1880N (8) Rateagtes RS} Deseo, ncondicionado (Rs) Dust. conetcionat (8) Valor Liquid da NFS 15)
Et 000 8.00 00 me
. INFORMAGOES COMPLEMENTARES
Pjmeteor. $lQria4</t>
        </is>
      </c>
      <c r="C145" s="15" t="inlineStr">
        <is>
          <t>NOTAS FISCAIS DE COMPRA JANEIRO 2026.pdf - p. 144</t>
        </is>
      </c>
    </row>
    <row r="146" ht="75" customHeight="1">
      <c r="A146" s="13" t="n">
        <v>145</v>
      </c>
      <c r="B146" s="15" t="inlineStr">
        <is>
          <t>ner Prefeltura Municipal de Teresina peewee
a ‘Secretaria Municipal de Finangas. at es
SZ Nota Fiscal de Servigos Eletrénica pe ees ane
NFSe - Prestador ‘exauoger |
ES
DADOS DA NFSe Beawle eclew a te
Detashorece emesis Compatiela Monro tits SEO
namnts2026 16:92:32 ovens a
EMITENTE PRESTADOR 00 SERVIGO
PECNPSINE Inserigbo Municipal Taatone
ssa 2190001 69 coees {aspen tone
Nowe Nome Emerevartes Ewa
MARIGEL O€ MOURA COMED LTOA OMIOUETHERTZAROMAILCOM
ey tuntcpto co
Seb bow agvenno ra rarain TEREEMAPIORASIL saois7s
TOMADOR D0 SERVICO
PE roHPY NE tragigfoBhadelpet Talatona
23ets osancez a9 postr :
Norns / Home Bmpresriat emet
‘S00. EHOENFINMA NOURTHAE COMBRCIO LTDA, :
Encerg Nuntieo cer
BoPUNoco 0 ExTHENA TERIA PI BRASSL earesso
ey PRESTADG
160
b CASADE FESTA E EVENTOS
Bertgo
{23 2 EXPLORACAO DE BALOES OE FESTAS, CENTRO DE CONVENCOES, ESCRITORIOS VIRTUNE, STANDS, QUADRAS ESPORTIVAS, ESTADIOS, GRASIDS,
Looat ds provacte do veri Pats prostgto do erga
TORESMAU FL co
—
DESCRIGAO DO SERVICO PRESTADO
sresmclo ot seNr908 Be DTVTIEKGAO D= 2ONER ALTE N
il
P|
088
Assinatary
IBUTAGAO MUNICIPAL
isdace $0 1500N ‘Mericino rotted 18808 Respanatval palo reoothiniante do HGH
oni TERESWA-Pt PRESTADOR DO SERVES
Fetneko do '58QN —_Stungho do prestader do sarge erent «Sips Mactonal Iaghne etonchl de Uttapio do SSCA
NAGRENDO Nig OFTANTE :
CALCULO DOISSQN
Valor tal a Me (RS) —ToHaw dedurSen (RS) xtc. lnconcionado OES} AEH Ge cAoule sO RSBON RS} Alle. (k) Veber doFBSON (RS)
1000.00 00 000 ‘300000 s.00e000 1090
RETENGOES
BON (RS) RAF 3) ro) COFINS mse gy LL (Ra) Ctra etengen 16)
neo 00 Bs) 200 400 00 oa
VALOR TOTAL 4
Base de chleuio do ISSQN (RS) Retengoes (R$) Desc. incontiiclanada (R3} Dest. condiicionado (RS) ‘Valor Liquide aayF5e ie
"300000 $0) to 000 ‘sono
INFORMAGOES COMPLEMENTARES
:a
of 04 |?</t>
        </is>
      </c>
      <c r="C146" s="15" t="inlineStr">
        <is>
          <t>NOTAS FISCAIS DE COMPRA JANEIRO 2026.pdf - p. 145</t>
        </is>
      </c>
    </row>
    <row r="147" ht="75" customHeight="1">
      <c r="A147" s="13" t="n">
        <v>146</v>
      </c>
      <c r="B147" s="15" t="inlineStr">
        <is>
          <t>‘
a
ae FATURA DE REEMBOLSO— |
Ticket ~~ 48 2
Log’ olen os poracammmsac: 29/12/2625, i
Sear eereeeeee | tevIA |
t 67178532. 07/01/2026 | DESTINATARIG
a i
| a re
| scr estanual ~reteet i
7 |
Ine e7 178552 |
MRD COHFPAS CARTAD SOODCARD PLS coy
frmagaro. css 1
e | i
|
|
[35988</t>
        </is>
      </c>
      <c r="C147" s="15" t="inlineStr">
        <is>
          <t>NOTAS FISCAIS DE COMPRA JANEIRO 2026.pdf - p. 146</t>
        </is>
      </c>
    </row>
    <row r="148" ht="75" customHeight="1">
      <c r="A148" s="13" t="n">
        <v>147</v>
      </c>
      <c r="B148" s="15" t="inlineStr">
        <is>
          <t>_—— ee ERITITER EXT SPRVICNE CONETANTES DA NOTA RISCALELETRONICA | ah Pl
{E06 DE BORGES &amp;: CAMURCA RESTAURANTES LIDA GS FRODUTOS BU SERVICOS CONSTANTES DA NOTA FISCAL ELETRONICA,
Se Ee re ERIALOR TOTAL Ry €19 bo DESTINATARID: Su mpuaa nua eons na AvinSeo Fb, NFe
deb Beton te? N°. 000.003.520
ee Stet
DANFE
Documcnte Auli de Note
BORGES &amp; CAMURCA RESTAURANTES LTDA Fiscal Elesowica
‘avenida nossa senbora de Satna, 2674 - A 0-ENTRADA Gl
Fociateati to 13aiba [ORD ACESS
ccc . 2226 0135 1401 7690 91695500 1090 6935 2011 5796 S000
N°. 990,003,520 ‘Conta de adertciade 26 poral pciool da NF-*
Fale vere af aera go be prtal ov si da Sef Avvorzadore
REA TRORTTOND Poco be AUTORTKGNO oeUSD
Venda de mercadorias 222260800231216 - 06/01/2026 99:03:28
EO RTOT rRaCUCRO WOROCER ACCME TATE TMU. NOTCRP
125236 ee soma se
ESTTNATARIO/ REMBTE
Beatosen am aRBASTS
cre Pe esuaezs
twenide Soo Eraneics 4000/0 ost cana | oamuane
cre ° fran efoneRTRAB
a} Care ae Dam]
amas Ee OSE RT TT z FSR Fa RTT
“erras ogo oad) eo ose) ar?
0.09 0,00 0,80] 0.08 0 9,00 0.00 819.00
Esc aig rE od Ian errr
Mewtrapee le
ae a i
‘npogpos mRgDUTOS/
SUREONTOeoesouchono muGiTOlTanae) 7 xOuaa TaCSoa cron TIT wun 7 GRE) WORE GRY GRE VRE Ma TAP
le ler ee eee ek ae
: COMPR. Poo i
: Reeth kt
ao Oe hoe ' ' to ‘ too
: Roan ‘ yo ' ' ' H 1 toed
ZB els y 26 H too : ‘ to i too
—— =e ee
»ap0s ADICIONAIE
$FORSTACDES CONFLISCERTATE TTS TREE
a, Conttlnge: PIX PARA PAGAMENTO 25. 40.178/9001-69
SGEDMENTO EMITIDNO POR ME OU EPP OPTANTE PELO SIMPLES NACIONAL
TAD GERA DIREITO A CREDITO FISCAL DE IPL</t>
        </is>
      </c>
      <c r="C148" s="15" t="inlineStr">
        <is>
          <t>NOTAS FISCAIS DE COMPRA JANEIRO 2026.pdf - p. 147</t>
        </is>
      </c>
    </row>
    <row r="149" ht="75" customHeight="1">
      <c r="A149" s="13" t="n">
        <v>148</v>
      </c>
      <c r="B149" s="15" t="inlineStr">
        <is>
          <t>RENOVAR INDUSTRIA E COMERCIO DE DANFE
EALACEN EEL sooner acct | MALTA
| 5 cApoxonrr.sts DA NOTA FISCAL
“ly Santa euzie ELETRONICA fenave pe acess0
Sal contain 1-seiéa, C1]
y ‘Teueroner nse Nt 000,016,028 .
SERIE: 1 we ecg pa arate rane
FOLHA: _1det
fRarinza onortantha FROToCoLO ne aUTORIZACAO DE USO
[VENDA PRODUCAO DO ESTABELECIMENTO. 1246259 156777928 ~ E2/1272028 16:38:25
| frscaicsoesraacat IRSCRR AD ESTADIIA SUR TRIBUTANIA lor
n2g071647 Jo4.904.996/0001-10
DESTINATARIOMEMETENTE.
fowrnazdo soca [ere Iaara Da Ewassto
SKAL ENGENHARIA INDUSTRIA &amp; COMERCIO LTDA 23.655.038/0002-89 [12/12/2025
xenec. feannoosTeTo [eer ata oe sab END
MsENIDA SAO FRANCISCO 4000 D EXTREMA 64076450 [12/12/2025
sr poner fer —Jrscnicdoestaouar [own ve sate
TERESINA 86) 2107-4700 |PI__ [194446298 18:28:50 :
FATURA |
[Simero ata Veto Vater Nimero Data Velo Valor Name Data Veto Valor
001 10172026 sams 002 190172026 597856 GOR 25012026 5978.50
cot ovnzan26 597830 005 enor 2076 597854
CALCULO BO EMFOSTO
aseuccatcieoacnns [Valen Doiewe ease neCHecevorensst __]vatom vou nRSURETIRAGAO — YwALOR TOA DOS PRODLTOS
. 27.236,94 3.26843 0.00 2.00 27.336.94
L600 0.00 0.00 0,00 2,655.60 S141, 12 29,892.54
« TRANSPORTADORAOLUMES TRANSPORT ADOS
azo Me FRET: oR CONTA CODERTANT mancanaves [or eer
JOSE CELSO DA SILVA 0- Rem. 688.362.444-91
per) saamcane Ur [ WHC RICRO ESTADUAL
RUA VEREADOR DURVAL SOARES ,155 LAGOA DOS GATOS| PE
QEANTIDADE TEC Teac TOMER Corry
ual 1.291.200
Davo DO PRODUTOSERVICO
aa ed roe
Re rere [om [offline] a [se BTS top fe
wa stim | sa] “a agen
TAS VAL SHORTED REND AC ee Ta = Few Taw vi TEP ar
Tabata P| P| | PT |
sa orRet ise
| [betceaco vane ane mimeo
En “Waa can arcabiareaniasTe
ALMOXARIFADS.
LANCADO wl
"Raghav
DADOS ADICIONAIS
fsvirscies coMPLime Tans BeaVADDAOTINO ensopic Pauls
Joe. AZPRESEXTANTE: LOURIVAL LOSE DASALVA NETO -e es Weis oC aul
Att L104 FARA RECLAMACAOROUDEVOLUC AD LAE © PARI aM a
jotorr ne Fasnacacao
_l ¥ HEP 1
'</t>
        </is>
      </c>
      <c r="C149" s="15" t="inlineStr">
        <is>
          <t>NOTAS FISCAIS DE COMPRA JANEIRO 2026.pdf - p. 148</t>
        </is>
      </c>
    </row>
    <row r="150" ht="75" customHeight="1">
      <c r="A150" s="13" t="n">
        <v>149</v>
      </c>
      <c r="B150" s="15" t="inlineStr">
        <is>
          <t>zz 2 :
a
a ¥ DogfavarcaR BANGTATISEAL FaTURA DE SERVICOSHE: ‘COMUNICA CAG ELETRONICA, 3
" fA eS. haa wy “ fae
pe 5 HazaBOcians nud rat soortTO ayy gt a ee 3 aie. %. |
duo) BNDERECOHRUA AREOUIYODE An iss -gGeino eg we |
DUOM civane, ehesre set con 1 BP ogee HF
Tete Ty CNP TROT 28 7440 SR HE ays Soa ye 4 weer
|. mas” [reziagsasod's” ) 2 oy i ee we
ah Gl meenoie:osolsezy "aie | ate 2a al ike
CONSULTE PELA CHAVE DE ACESSO EM:
ee bttps:/afe-portal sefncvirmal.rs.gov.biNFCom
waar |NOTA BISCAL FATURA N”: 000000213
Seen SERIE: 001 |CHAVE DE ACESSO:
cates DATA DE EMISSAO: (2/01/2026 09:26:48 | 2226 D107 1287 4400 0135 6200 1000 0002 1310 8893 2590
inENeS | MODELO: 62
/Protocelo de Autorizmpfin:
'3222600001971976 - 12/01/2026 09:32:07
RCACENGNGARA THOSSTRIA ZCOMERCIOLIDA. NRO.DO.CLIENTE: 117
| ENDERECD: AVENIDA S40 FRANCISCO, 4000D, EXTREMA
/CIDADE: TERESINAMPL- CEP: 6476-430 vies R530600
[ERPIICER 23 coseNeNOORES Tes 194LAGVa
See ASE mem EY roe a os [Bioie [Wiaas |
| [serie dence teem fowoowr [ew |r |xsooa0 _rszeog0 Yasaon Jasean Irsom fasox [asooe
VALOREOTALNECOM ues K S| NALQRTOTATSG! [ator icy. Re |
RS 30000 [ss00———SSSS——=*d
Résérvidn a0 Fsep, SRT ree |. aunt
as (5
{coms [sea
fross ase
Cr
 Observagiio: ,
Roferente 2 prestayio de servipos més 2/2025,
Ff&gt;AD0s BANCARIOS: Banco Tied - AgEncia: 0344 Conta: 996723, PEX: 07.128,744/0001-35
hea nine tae sete | "A FKced do Collfibalnie eDeleniinashendaAnste) weeny AWTS TE]
MNO LT l ll I lll bee
Sittin
‘1 Apeon conan pero! trae Fees
o%</t>
        </is>
      </c>
      <c r="C150" s="15" t="inlineStr">
        <is>
          <t>NOTAS FISCAIS DE COMPRA JANEIRO 2026.pdf - p. 149</t>
        </is>
      </c>
    </row>
    <row r="151" ht="75" customHeight="1">
      <c r="A151" s="13" t="n">
        <v>150</v>
      </c>
      <c r="B151" s="15" t="inlineStr">
        <is>
          <t>————————
~ ~ Recchemos de ELITE PECAS E MAQUINAS LTDA on produtosiservigos comstantcs da NF indica ao lado T
a ‘ wa meade
A SS ASE Fn '
rirremecasemgunsuea | PEE. | HMMM
aka a Sra See UU
‘yi See O-ERADA py REE io aor sm nce t02 209
a rowmupimoss | TSA Cea de uteiiade op acs
y areas N.* 000.004.834 da NF-¢ www.nfe,fazenda gov br/portal ou
OE SERIE FOLIA VL ____nosite da Sefaz Auonizadora,
VINBTABO Powe CUB TESTI Bhinz0s 1851
Soe igi sila —__ 153% o1s0001-22
ESINATA RIO 2 MT —_ —— TATA De ESTES
EXCENGERHARIA INDUSTRIACOMERCIOLTDA Less oswooz.nn [S300
RRUA'8A0 FRANCISCO 4000 __|EXTREMA am ine “64076450 |S
‘TERESINA TE orsr00 SEPT Sied,
AUTH aaa —— peo — pa =
| — a a am ao oon ome ma |
Es ro see
‘UE oe aS iar pr oo
az 0,00] goo 0.00 THLE 0.00) NN 16.40
nary apog ta as TRACT ——
aa REE RS — SSS AOR —
[RUA‘DOM 117 FELIPE DE 0 AN 59 _ :AO PAULO Ts | RI6TORSOS 17
ee you ia ae hala
a — il
ooo sa fart a to SSC]
| | ‘|
| sake Lemgste 2501, eee
le | Volortc ast = 136,4 | | | | | fi |
| |
| | | | 1
x * ca | | | i | |
| ft iy
| I ft
| \\ | \ |
tn}
BQ] ermpncmatrar | hid! tt Pity
DADOS ADICIONAIS x. _ is Oo
Le es ———_—— a aaaemanes. e
{CAD ENTREGA HEM, SHR SAO RAIMENDO «690 - TERESINA Fe VERDEDOR: RODIIOO Welisorce Paula |
SSL tncocnbo ox SensTtTeRo HaBUT Ua CONTORG OTOCOLO DOK 612008 KAD ‘Almoxrritado |
frie rn te Si circ |
|
oshoxee |
‘ATA GA a RRSRAG ISO a ee</t>
        </is>
      </c>
      <c r="C151" s="15" t="inlineStr">
        <is>
          <t>NOTAS FISCAIS DE COMPRA JANEIRO 2026.pdf - p. 150</t>
        </is>
      </c>
    </row>
    <row r="152" ht="75" customHeight="1">
      <c r="A152" s="13" t="n">
        <v>151</v>
      </c>
      <c r="B152" s="15" t="inlineStr">
        <is>
          <t>[rcenee tim cco sa Soa a OT RTT RAS A Nie
— sess . N* 000,001.955.
SERIE O01
Lo...
— Ms | 1 HAA
CAEIIEA CANTA GALO ENTRACAQ E
CCOMPREIG BE CALCARIO LTDA DOCUMENTD AUXILIAR DA
2 SK GLIAL Sw KALIDE-CARTAGALO inerennsse
jommamegeeene. | See
1 MRE . conn aarti pore aceval DAFT
wy) Neeanoon9ss 1 / a
sy SERIE 001 magia St Adore
\bM\ DE PRODUCAG DO ESTABELECIMENTY 2232:0001084547 0401/2026 0418.08
SKALLNUENRARIA INDUSTRIA E COMERCIO LTDA zsssospumr-ye | vao.206
a TTT ERIE TPR ae
Aes RT SE ERE ERTIES TTS OTE
\ ors 1930 00 om 234000
AS An ANTE
an - p cS eeccia
Hs jsaravirnaronicon TG GABOE aE me ka
lcs ila i Dc
DO
[lacie rsrr CIAL DE'TRBUTACAG- Ret sa a ontestnas, gh CARGA
| TROUT ARIA HRLIEMS BE 3.30%, CONFORME ARTS 567 E 568 80 DECRETO NAA 24
1 si" - WIC JESUS DUSEJA TE SALVAR
{ A Welisorfde Paula
! 2 Almofarifado
ALMOXARIEADD. A
jure fi Oh Or seg
i sinatra</t>
        </is>
      </c>
      <c r="C152" s="15" t="inlineStr">
        <is>
          <t>NOTAS FISCAIS DE COMPRA JANEIRO 2026.pdf - p. 151</t>
        </is>
      </c>
    </row>
    <row r="153" ht="75" customHeight="1">
      <c r="A153" s="13" t="n">
        <v>152</v>
      </c>
      <c r="B153" s="15" t="inlineStr">
        <is>
          <t>RR RT Ta NT TT PRON WES
; vam “1 ‘N° 000.001.938.
i SERIE 001
| eecomeaciooecaieamouron” | itteca samoue’ | .
E44, SHEBLSDESCANTAGHLD- rr
rus soadane cana epaean [4 so 2m eo 0 9 eet 7
TEL: B5)807-9007 N° 000.001.9338 fl. 1/1 ‘Counio de mtentihade a pr enol a NF-t
938 fl. sieaaa pen
SERIE 001 ou no wie da Sef Autoermaidora
a ono mane
VENDA DE PRODUCAO 00 ESTARELECIMENTO 2224009001595 05012026 10254 .
ance z ee
nas eee Treas _
Sera RERETOWE _
See — —
SKAL ENGENHARIA RNOUSTRIA FCOMERCIO TDA aoscenmar | os0v.0
he a My a
a sho ANCHO. no GALPAO-2 ExTREwA ovate
TA TRE TRAT RECUR ESTADO Ham DASARI '
THRESNA oon [Tn lisse
Ts
Cesc re a a see ee rem —— ro
[ost eae 1 ed :
eucionommen
geet aaa — — aT RT
~ sams 30790 000 coo rm
oe 3 cm oan serie Ta aE
00 200 ooo avo 132000 |
SaasorToa FOUN TRRORT.SSS
ee aa TR ToT
0. REMETENTE "|
a
ae pe . 5 aE"
1206 | SACO cca 38.0001
aaa
aria : —
ee ees
fe goroonmnconscers” ai al ial
i preneo] = aa al ll
susos eons
Soa aT
REGIME ESPECIAL DE TRIBUTACADO - RET - NA A 00363/2025, COM CARGA 7 °
TRIBUTARIA DO ICMS DE 5.36% CONFORME ARTS 567 £ $68 DO DECRETO NA A 24.
$69/97 - RICMS. JESUS DESEJA TE SALVAR
A ula
elisorpe Pat
ALMOXA\ x. Waloparifado
a nopares
. a obigs 126
ator</t>
        </is>
      </c>
      <c r="C153" s="15" t="inlineStr">
        <is>
          <t>NOTAS FISCAIS DE COMPRA JANEIRO 2026.pdf - p. 152</t>
        </is>
      </c>
    </row>
    <row r="154" ht="75" customHeight="1">
      <c r="A154" s="13" t="n">
        <v>153</v>
      </c>
      <c r="B154" s="15" t="inlineStr">
        <is>
          <t>Prefeltura Municipsi de Teresina
i Secretaria Municipal de Finangas
Nota Flecal de Servigos Eletrénice
‘NFSe - Prestador
DADOS DA NFS
Data s hora do emissBo — Campetincin —_Hisnaro/ Série
onoirams 11:40:20 vuiat2e zu
EMITENTE PRESTADOR DO SERVIGO
CPR IONPIIE (nscrigdo Mowictgal Taefons
27 A.S2N0T-AS 4608-3 @9y3903:2007
Nama More Emprozeral Evaull
EAP SOARES DOS SANTOS LTOA -ME ‘alan trauforpen@hotrnat.com
Roderoc. Munteipto op
PUA NERE B QUATRO De JANEIRO 1487 COMMEMENTO:AY JOAGIAH RENMO,N M4 MSEAS TERESINA! PIBRASS. 018250
TOMADOR DO SERVIGO
CPR PCNPAT AE tnecrtgta Munictoat ‘Teefore
‘zaees.1230002-28 8016-4 9e)2107-4700
‘Nome / Norse Empresas Exall
‘SKAL ENGENHARIA INDUSTRIA E COMERCIO LTDA. ‘vende @gmalicon
Endereyo. msceiplo cep
AIDA EAD FRANCESCO AI00AD BANKAO EXTREMA TERESHA/PL BRAS. eore4s0
SERVIGO PRESTADO:
1080
SEBS. ncereserones comenciis EAGRTES 00 COMERGIO BE MERCADORIAS EM GERAL NAO ESPECHLRADO
10.10 DISTRIBUECAD DE BENS DE TERCEIROS,
{Level de prascagdo ds uervigo Palen prevtagto de aervigo
TERESA! PL BRASIL
DESCRIGAO DO SERVICO PRESTADO
1 Oe PENEEEATGAO CHENIN RAFENOATE A COMPETENCIA UO WEE OE DERSIRIO DE HtZs,
TOCLHERTO ENTTIOO FORDE OU EPP OFTANTE FELD WHALE KAGTORAL,
TRIBUTAGAO MUNICIPAL
dee dotsSaN Asxntapio ds ncidincls do EON fReaponstvel pate recobmanto do BEQK,
rot TERESINA-PL PRESTADORDO SERCO
RalangéodofBE0N “tives de preetador do vurvigo porate © Simplee Nartonal Rage eapochl ds thus do S60
WAO RETO OPTANTE: ‘Sknptes Nuctocal
GALCULO D0 Is6GN
Valortoiica MEERA) —_Tolabes.cacigtes 3) Deas. Rcandicloando (RH Gune de chieul do MEGN RS) Ally. (hk) Valor do HOON RS)
82670 290 90 8209700 a
RETENGOES:
IBSON TRE) IRRF (RA) Pre IRS) COPING ARS) INSG RA) CBLLERE) ‘Outre retongor (R3
900 000 00 00 2.00 00 0%
VALOR TOTAL
Tate de ciletowotGSQN {RS} Retr Bes RS) Dessincondstonnda {AS} Dene. cometonado 4) “Valor Liquldo do MPSe 185)
35.2820 09 00 i 3525870
INFORMAGOES COMPLEMENTARES.</t>
        </is>
      </c>
      <c r="C154" s="15" t="inlineStr">
        <is>
          <t>NOTAS FISCAIS DE COMPRA JANEIRO 2026.pdf - p. 153</t>
        </is>
      </c>
    </row>
    <row r="155" ht="75" customHeight="1">
      <c r="A155" s="13" t="n">
        <v>154</v>
      </c>
      <c r="B155" s="15" t="inlineStr">
        <is>
          <t>Ay ° Prefeltura Municipal de Teresina —
rt Secretaria Municipal de Finangas oo]
SZ Nota Fiscal de Servigos Eletrénica Bee
NFSe -Prestador
‘WeZazqicz
DADOS DA NFEe eciapererton
Delse hore decmveute — Compatinets = Nimero/ Ste ‘a atumciese soot te oun
moineceiesoze—Ovatee Buu ae
EMITENTE PRESTADOR DO SERVIGO
PF cn OF Ione tripe wisone
car agmnoy-90 carers cores
ome Norn Empresa a)
KEDASE LEMOS “ME Srmeieettone cord
Ende Murionie cee
Fis efEuc neves Ue vELOUTEDCOnLPARGLE ARURE UAORALOTE 1 FAROAEIOEAL TERESA PIBRASH, a0r7s0
TOMADOR 00 SERVICO
PF rcHPS MIF Inacio Muntepd Yaatene
Sherseswomean pe tayarer-709
‘tome f Nome Brprearit Eau!
BRA. GIGENAAIN RDUSTRIAE COMERCIOLTOA, Foor gupskas arco
Enaarege manele oer
REN trorRNouC0 400 saRRO STARA TEREBINA PLEASE 1078-480
@iaicornestase
‘CHAE 1C80
‘abt -ATIMADES DE MOSRTORAMENTO DE SISTEMAS DE SEGURANGA ELETRONICO
sonteo
110" VICILANCIA. SEQURANCA Cts HOHTORAHEVTO DE BENS, PEBSOAS E SEMOVENTES
Loa aa prseasae 6 serie aie at prestapae co ravi
Temonarn aes
DESCRIGAO DO SERVICO PRESTADO
envio somoweyro 2/2009, ah 8.0
EOGb Sem eae
ro anniag
ue eee
Qerncounern
eipitaade 30 520H smunipin a Wesetnen do BON ‘Raaponasval pale recone do ISSO
Sov TERESINA-P PRESTADOR 00 SERVIOD
Rrianpho do S89QN aga do prada do aecvige pra © Ganges Nacional opie sepia batagbo de EEC
(NAO RETIDO NAO OPTANTE - “ont
CALCUL Da ISSaN
Valeria! aa NPSe(s) ‘Total dasdedupSea{R8)Dees.Incondnionada AA) ae de ccvionaIBBON ES) Alla.) Valor do MSAON (RS)
Tat ce) 00 vera? 6000000 mat
RETENGOES
iaean es IRF FR) Psms) — conNn Re nos a) cae urns atensten (RA)
200 tt) 00 a0 090 ce) oe
VALOR TOTAL
Bese de ctu do SON (RS) etengban (RS) Deas. incondiionado (FR) Ons condconado iS) ‘alot guido a NFB (8)
ata 00 tty to 71a
iNFORMAGOES COMPLEMENTARES</t>
        </is>
      </c>
      <c r="C155" s="15" t="inlineStr">
        <is>
          <t>NOTAS FISCAIS DE COMPRA JANEIRO 2026.pdf - p. 154</t>
        </is>
      </c>
    </row>
    <row r="156" ht="75" customHeight="1">
      <c r="A156" s="13" t="n">
        <v>155</v>
      </c>
      <c r="B156" s="15" t="inlineStr">
        <is>
          <t>eet PREFEITURA DE PARNAIBA Geese | Nimeroda NFS=
: ee ie:
PREF. OE PAANAIGA BETES) (coo eseaton toonene
| NOTA FISCAL DE SEAVIGOS ELETRONICA-NFS-e BREE oan eres
satin 88 Emenee ‘ncp0:% reobea iss isa caPrnala seurrarounenonsra RSS
| eoaiet pamnnen porere)
i pai semanas |zpmemeeee:
ee ae Saoeeminomne |
[ne nde Acemapetas tap Pen Poe WEED tan Patents | eee
(PaesraDon DESERVICOS RENO ARAL Ss rie dia ee lie Maman howe BS i
jarows Paton Eeha tmogielrnb Exon Nemes eal
H lnosasa000+08 sues e00057879_ 1.4 P-CAROOSOLTDR
j {NY PIERO MACHACO, C1087 preeeey Pau
| PARNNOASL
| JOMADOR DE SER Pama SERS ike de ede om
Ncere.cenmare REnaretoEaatnranlobinced None
snessonaonene3 ‘KAL ENGENHARIA NUSTRIAE COMERCIOLTOA
| nua sho FRAwc1sco, 4000 cairion TaNoREDO NEVES |
1075058 TERESWA-PL zai
i= 1D REFER ANOS DS EOS ROTOR a ane wal
| IPRAS
EM AOK jae
stiakars
D/HesremeEr EDU PoRomsA |
evsces enon Mean Avemwinaege Congo Gapeces oman |
seircagen decor tem emia ewan oii sia ik 0% RUOOOLE00_ 0801 |
[cntaenerqe Seow bedi Coin tasGice isan tame aoe]
|nsazeao ms000 coo re zm000 re a96 Bene 5009
be corns nes ie cm ‘Oran
30.00 3000 rs000 5000 000 e000
(op Levi area weer
(lntormapies Conpienenaree
0k |
|
ee
j REGED OF AA PARDON TEAC Go CoNBTAMTEGR FU De NAVE AY EC0D00 OE VERFEA/0ORUUNBLA |
| ae cornea pas
—————— =</t>
        </is>
      </c>
      <c r="C156" s="15" t="inlineStr">
        <is>
          <t>NOTAS FISCAIS DE COMPRA JANEIRO 2026.pdf - p. 155</t>
        </is>
      </c>
    </row>
    <row r="157" ht="75" customHeight="1">
      <c r="A157" s="13" t="n">
        <v>156</v>
      </c>
      <c r="B157" s="15" t="inlineStr">
        <is>
          <t>Prafeitura Municipal de Teresina
i Secretaria Municipal de Finangas
Nota Fiscal de Servicos Bietronica
NFSe - Prestador
/DADOS DA NF&amp;e
Dabeborderniesso —Compatinca Nimes Sede
oyoinnee mee? Oates alu
ENITENTE PRESTADOR DO SERVICO
corteorut at Inmcighe Macpat “Teton
omer 740x000 omreies onan
Nara Noma Empress Tel
Ufoxseiemes sue Seadoo
ndaogo pn cop
BEER wo reves oro moo PAROLE MHRUNZOUDRAMLOTE AAR meal TREEAPrORASE oa077.60
TOMADOR DO SERVICO
LOPE /CNRSTAE ach Murttont atiooe
‘essacac0e2 #6 nies waar
Nome Nome Emre teal
BAL ENOEIBAIS NOUGTRIAE COMERCIOLTOA omnes rupetingatcrs
Enoamge numba co
AVENIDA BAG FREECLECD M000)D GARROERTAEMA ‘TERESIVA/ PRERASR. eaoTe 8,
ano PRESTADO .
‘cxacscoo
(2020-00101 - ATTVDADES DE MOMITORAMENTTO DE SISTEMAS OF SEGURANCA ELETRONCO
Savio
$102- VIGILANCIA, SEGURANICA OU MONTTORAMENTO DE BENS, PEBSOASE SEMOVENTES
Lorna prosiaete do vsrvige ‘Pala da proutagin desaevige
TERESI BRAS
DESCRIGAO DO SERVIGO PRESTADO
yexrevepeunro 12/2073, 01 34 400,00
ope amon ota ft,07
@Qinc MUNICIPAL
Saatnte cose ‘nko de mektenta do EBC. Raper peio recotnento a ISSN
TERESINA) PREDTADORDO SERIAGO
ase go oc Situaylo do ravine do nerigo parane o Simeles Hacional Ravin ovpsc 0 Ho 19S
asnate de Sitmpto doom parante 0 imp Fapin oes do tite do
CALCULO BO ISSGN
arttlatraeges) ‘etl dae deduce RA) Pete tecandnad 4) Boon ductcuecorsScu (RAK (X) Valor dafO00H eH)
1a ond 00 wera 6.000000 3187
RETENGOES
‘aean Rg) RAF Fas (a ‘cor gy es osu ot) Ounas etengbes 5}
00 080 00 000 090 00 op0
VALOR TOTAL
Ame det doisean sy Rvungan RS) Onenenderndn (3) Ove cma) ‘Valor Unulio da MP6 FS)
Sta? 00 op 73a?
INFORMAGOES COMPLEMENTARES</t>
        </is>
      </c>
      <c r="C157" s="15" t="inlineStr">
        <is>
          <t>NOTAS FISCAIS DE COMPRA JANEIRO 2026.pdf - p. 156</t>
        </is>
      </c>
    </row>
    <row r="158" ht="75" customHeight="1">
      <c r="A158" s="13" t="n">
        <v>157</v>
      </c>
      <c r="B158" s="15" t="inlineStr">
        <is>
          <t>|
ae Prefeitura Municipal de Teresina ERY
a Secretaria Municipal de Finangas pose
SZ Nota Fiscal do Sorvigos Eletrénica Bares
ab NFSe - Prastador Papa BjOLW
DADOS DA NFSe ‘Sete pentorrngeme seer
Dala e horace antieese — Cocipattnat Mamero fSéria Dia do RPS Namers 1Séite da RPS ‘Eisai ate So soe oS
fowmvenenoneeen — —Ovaoon ees 0 Lava ‘yee 09 os
| ENITENTE PRESTADOR DO SERVIGG "
: oy cerscHPS IME Inmet Municipal Tatton
f 12.770. 740H0001-09 2017880 (0)8831-0000_
t Nome / Wome Emorescrtal Exell
| NATUS AMBIENTAL LTDA ekpamakeendiomall.om
NBTUS — enderege senile cr
| intr” RIREMPRESARD ARUDK BLA 506 PEER UR TERESA! PIDRASIL 090.100
H
JOMADOR DO SERVIGO
‘ope (caps rie Inactigho Municipal ‘Talefone
zaesos0000269 . ;
1 Name Morn Baresi Ema
{ ee ERGENHARI MDUSTRAR EC COMERCIOLTDA Femretba pepshatiegignalicom
Endrree Mookio op
1 EGF Nasco ao carmooraicasno Heres TERESINA! ERAS siare008
Ol ooo
Gam PRESTADO
enac#ceo
| ‘981 4iNG-01 - COLETA DE RESIDUOA NAO PERIGOSOS
fon
87.9 VARRICAO, COLETA, REMOGKO, RIGNERACAD, TRATAMENTO, REGILAGEM, BEPARAGAO Ef OESTINACAG MAL DE LINO. RELEITS OUTROS REBIOVOS
| Kepal de prosinsie de actvieo Pale de preetagébe de eorvipe
Hoc BRAS
| DESCRIGAG DO SERVIGO PRESTADO
Se ms ay ox mere rene meen om atcretcnaeat, Tannese, H/T Sy SEITE, EE
mine a ele extsfios 2 este,
ercien: O70 ~ vane, aban, resede, Sostnatae, EmAanNahe, etssDiqet, dapttns« 4abtikine Fpl de Sim, megnttan « eutces rustOies qpadege,
BUTAGAO MUNICIPAL
Exipblldede do BSN IMuniinio da stdtocia do SON ‘oaponabved pad rcobiinees do EON
eager Teresi Pr PRESTADOR DOSERVIGO
Retenglode FSG0N ture do pevtador do senga perme ington Hetona! opie espaca de trbutago de SEAN,
Nig ReMDO NAG OPTANTE :
| CALOULO DO 1S50N
' ‘Yalrtotel da NeSa (RS) Totals dedusSee (RA) Desc. tncondlcbonade (RS) Base de ctladodot@OQN ORS) ABy.¢8) Velordo DEON FS}
pet 000 200 1208% Sete 708
RETENGOES:
Tossa er RF Psi) COMME] mies outer) Daten tangten FF}
00 208 om 20 200 ‘ga om
VALOR TOTAL
Base de chlculo €6 ISSQN (RS) Refengées (RE) Deso.Incandicinado {Rt} Dose. ceeidiclonade (RS) ‘Vader Liquide da NFS» (3)
120659 ‘300 ont 00) 13S
INFORMACOES COMPLEMENTARES
H</t>
        </is>
      </c>
      <c r="C158" s="15" t="inlineStr">
        <is>
          <t>NOTAS FISCAIS DE COMPRA JANEIRO 2026.pdf - p. 157</t>
        </is>
      </c>
    </row>
    <row r="159" ht="75" customHeight="1">
      <c r="A159" s="13" t="n">
        <v>158</v>
      </c>
      <c r="B159" s="15" t="inlineStr">
        <is>
          <t>— —_
1 yap Prefeitura Municipal de Teresina —
re Secretaria Municipal de Finangas ees)
Hl SZ Nota Fiscal de Servicos Eletronica Reece
|
| NFSe -Prestador on
i ak ae WE pe
|DADOSDANFS)SSSOSCSCSSSSSSSSOSSS”SSCO
|busevanacenmie, Conpatncs Niner /stie Dunanas—* ines !attedonrs aaa Ste a
(ticwaiscosste Seat tec" Steimee Teno Be
| EMITENTE PRESTADOR DO SERVIGO
Yq arom recite tied restore
v6] Serramanntas mauies0 (5) 085-0000
\ peed a
; NAISS tess can eanAEA THER Se
| ammo oo SERTES
vorromsine ett enone
Setanta novermAE couERCIO TOA Foe ossecgomtoon
exewre nace exe
ere
Sterno 0 -1RATAMENTO  O1SPOSICAD DE RESIOUDS PERIGOSOS
[seo
[fe tomas ermeronenimrsn oun umnan scones aucnescomn
tos gamer so aan lege etc go eas
via Beat!
; = canna «tenn stents ue entaen  e aprn see, nn «naan,
————
ea ene act do 880% eioraht aa ecobinete 18S0H
er Temeanacre Prcstzponbo came
fagio do S0n Steet copretatr de sega per ees Nan evtnope Mgt dotean
| morenoo Moteaste :
| CALCULO DoIssaN
sneered canese ts) Thldanytn(H) Dene conde) Onn eee ISON) ln) YarsorRSON
| at Son te sels _ Sons tet
| RETENGOES:
RETENGon se mise comme i) ee et
| co co to Son te on Soo
\WaloRToTAL
[sees do sans) Retsten es) DecncndenndoiRs) oer cantor) rac)
! ! moe ae tos con east
|INFORMAGOES COMPLEMENTARES
\
\
|
|
|
i
|</t>
        </is>
      </c>
      <c r="C159" s="15" t="inlineStr">
        <is>
          <t>NOTAS FISCAIS DE COMPRA JANEIRO 2026.pdf - p. 158</t>
        </is>
      </c>
    </row>
    <row r="160" ht="75" customHeight="1">
      <c r="A160" s="13" t="n">
        <v>159</v>
      </c>
      <c r="B160" s="15" t="inlineStr">
        <is>
          <t>MUNICIPIO DE TERESINA
ene, DANFSe¥1.0 Weaeeaae cathe
Gee sekemo wee —
Persie ere eseoneeomcarzcreosz3889 wees
Nameco ¢0 NFS0 Compettincia da NFS-@ (Data @ Hora ds emissto da NFS-@ Spee
3 Sanaa Saatden trae axe)
Nine dors sisecaors aa rd wa da 8 Bens
8 so Seats etese sentient es
Etow tenccansepetncaoaicee
“gree ORNS] Tepe snc
Sremcren cones Biararincoss ; (eaters
oer one eae tee
SSSPSUFTSGRSE WO uerme costa rennera _—_SRecuveanan.con
toes " cs
EOE, x, caren Tks ps isa
Sin ase Dt Conpae ech oto Tata pa SN
Spe aetna we :
STD BOSERISO RPL OPT np
‘Resioooozan ae Game
sone en Ene a)
‘SSUENGEITRNR Houstane cowencioLtoA Farsi guptataggnatcen ’
awe, Meise : os
SSID ao rnc 400, ©XTRENA at ot re
SERIGOPRESTADO
cypteTineototedaed Sunde tigate atepel ——_—LalgaPrtata dao
FREE Concent, coe,
Sm
Serge deGronaman Fnncako
FUR SL
“one si8s0H on nauseated ko tdmlcndndo105ON Ee gece TH
Senso navel : - Neen Roum ma
Tho elmtde fyyosteacinie 80a non Pomedurmte etc gl
Valor do Servigo- ‘Desconte Incondictonado: ‘Total DeduteeRadupton Clcite do BM
wesonate ? : g
ecvson tue pea nt ot, [asad
: isd 5
RR RF
0 o cat
ms corms 1 gnc isconts TorAL BUTAGKO FEDERAL
Se 1. ac
atta seo nna Cndsra mon ante —
Pai Ly e ;
eration rocorne Rese os Udo gene
i Bera
FOF RRR DOE RFS
Feions fad verge
rr
ses 141s000</t>
        </is>
      </c>
      <c r="C160" s="15" t="inlineStr">
        <is>
          <t>NOTAS FISCAIS DE COMPRA JANEIRO 2026.pdf - p. 159</t>
        </is>
      </c>
    </row>
    <row r="161" ht="75" customHeight="1">
      <c r="A161" s="13" t="n">
        <v>160</v>
      </c>
      <c r="B161" s="15" t="inlineStr">
        <is>
          <t>‘CD Vsuatea Pi agruntdos
FE, {Consuttas - Extrato de conta corrente poze o72B10
ExpansaoASerOcultadaVersoesAntartores: Extrato de Conta corronte: Conta
corrente;
(ante «Conta tun!
Agia 189
Conia cowanie 9000-1 SKALE|COMERCIOLTDA
Peviado do go 06/01/2026 wi 08 £01 {2008
Langarnenton
petctinte mentors Aas ergnn tote Hheoo Documenio Valor RS So
ed 009 (00000 Ot Salo Ayia ono
Sale O90
ros 0.90
Dala de Dato de Jus ‘31/2026
OF 0,90
Dela de Debiia da (OF 0270212026. S
Rael
Baldo de fundes de Investimanto i\
BB RENDE FACE 190,17
| 96 A CONTA NAD FOX NOVIMENTADA ***
DRSRAMACDRS:
. ‘Trannagio ofauada com suteese por JFUSTESS WALTER DIVING Wek</t>
        </is>
      </c>
      <c r="C161" s="15" t="inlineStr">
        <is>
          <t>NOTAS FISCAIS DE COMPRA JANEIRO 2026.pdf - p. 160</t>
        </is>
      </c>
    </row>
    <row r="162" ht="75" customHeight="1">
      <c r="A162" s="13" t="n">
        <v>161</v>
      </c>
      <c r="B162" s="15" t="inlineStr">
        <is>
          <t>EEE ———————____
DOCUMENTO AUNLLIAR OA NOTA FISCAL FATURA DE SERVIGOS DE COMUNICAGAG
+ ELETRONICA
NEU cw recnoiocia ts
TEEWOLOGL 4 Rs Outio Falco, 921 - Morada do Sol, Teresina - CEP; 64056025
: CON: O5409676000105 «Es 19TACNO2S
x WT REFERENCIA: 01/2025 | VENCIMENTO: 150112026
GANG IA soranscascormane a
BCAESECS omape sansho awowzoasorso TOTAL APAGAR: RS 900.00
| Resuuo pos seRMgos
CONSULTE PELA CHAVE DE ACESSO EM i
iyi potalseazviaula gen. bu4FCom Descsigba Vier
CHAVE DE ACEaSa:
7208 0108 4996 Tet0 0°85 6200 1000 0000 23104208 4828 ‘Azaiare de senigon de comuricacto 09 90,00
Prokcole de Auoieagso 5222600000845472 —USI012028 bo 08:80:01
SKAL ENGENHARIA INDOBTRIA E COMERGIO LTOA
‘Aver Sto Francisco, 400- Compr, Teresina’ - CEP: 64070178
CCNPUCEF: 2856438000200 « INSCRIGAD ESTADUAL: 194440208 ‘S00IGO DE BARRAS
{0DK90 D0 GLIENTE: $75
&amp; rrr ‘ emtorooesasesenssenzoedootzer7ret 227 000n90008
Pentono: 0172028
AREA CONTRIBUTENTE: MENSAGENS PRIORITARIAS / AVISOS AO CONSUMIDOR .
VALOR YaLoR
TENS DA FATURA uv quar precounr. WOR pmicorms ecicms auto “ALON
Assinaura oe vericen 2
re oe aians uw 190 Re90000 ASOD REGION «REO ONY ——AED.0
VALOR TOTAL NFF TOTAL BABE DE CALOULO YALOR ICM ‘VALOR ISENTO/ OUTROS
tes 900,00 ns 0.0 R000 aee00
WFORWAQDES DOB TRIBUTOS * nesemvano ao Fisco
+ TRaByTO VALOR -
Ps 5000
@ ccs e000
rust 50.00
PUNTER Re000
INFORMAGOE® COMPLEMENTARES
CContibioden para o FUST (1%) « FUNTTEL (0.5%) no so russia ds tats.
AREA DO CONTRIBUINTE E DETERMINAGOES DA ANATEL
CETERMINAGOES OA ANATEL —~ EXEMPLO: CETALHAMENTO DE CONTA
OK</t>
        </is>
      </c>
      <c r="C162" s="15" t="inlineStr">
        <is>
          <t>NOTAS FISCAIS DE COMPRA JANEIRO 2026.pdf - p. 161</t>
        </is>
      </c>
    </row>
    <row r="163" ht="75" customHeight="1">
      <c r="A163" s="13" t="n">
        <v>162</v>
      </c>
      <c r="B163" s="15" t="inlineStr">
        <is>
          <t>Ga rortatea | PREFEITURA MUNICIPAL DE FORTALEZA Nimero da
By Fortaler SECRETARIA MUNICIPAL DAS FINANCAS NFS-e
rams | NOTA FISCAL DE SERVIGO ELETRONICA - NFS-¢ 464
: 4
Bice oS
ected sc eee | |
=a eel ee Ses ees Sra
[:-Xasmceac cons has anspor car seiniano om moet uaa cupwbr ma eka cusp ovo
Avisos: = 4
ok
i 5</t>
        </is>
      </c>
      <c r="C163" s="15" t="inlineStr">
        <is>
          <t>NOTAS FISCAIS DE COMPRA JANEIRO 2026.pdf - p. 162</t>
        </is>
      </c>
    </row>
    <row r="164" ht="75" customHeight="1">
      <c r="A164" s="13" t="n">
        <v>163</v>
      </c>
      <c r="B164" s="15" t="inlineStr">
        <is>
          <t>I
Fortaleza PREFEITURA MUNICIPAL DE FORTALEZA Nomers da
&amp; PARPEATURA SECRETARIA MUNICIPAL DAS FINANCAS NFS-a
bane NOTA FISCAL DE SERVIGO ELETRONICA - NFS-e 484
PORTARIA HOMES DE OEZEMBRO DE 2026, LOCADOS EM TERESINA,
Oo .
[1705/7e2050001-LOCAPAODEMADDE-CBRATENPORARA | Se
[esas ceey coon IRatepece er vernnere |
Bie ee a oe en
eo se a
eam oa &gt;&gt; ae
i-fP —SY</t>
        </is>
      </c>
      <c r="C164" s="15" t="inlineStr">
        <is>
          <t>NOTAS FISCAIS DE COMPRA JANEIRO 2026.pdf - p. 163</t>
        </is>
      </c>
    </row>
    <row r="165" ht="75" customHeight="1">
      <c r="A165" s="13" t="n">
        <v>164</v>
      </c>
      <c r="B165" s="15" t="inlineStr">
        <is>
          <t>dy, Fortaleza PREFEITURA MUNICIPAL DE FORTALEZA Namero da
B® PaCHEATORA, SECRETARIA MUNICIPAL DAS FINANCAS, NFS-e
luac.od NOTA FISCAL DE SERVICO ELETRONICA - NFS-e 463
[somaya eRRET] oro ize [a clematis [ome | gn veri | orareoea |
| anio SScmns [SAL ENGENNATAROUSTRAECOMERCOLTOR
[FRESTAGKO DE SERVICO FINAIS DE SEMANA E FERIADOS REFERENTE AO UES DE DEZENGRO OF 725, LOCADOS EM TERI Sar |
nn ene
|; ER Detalnarente deValdres —Prestadordoe’Senvica 4 ciildida ISSQN davidenowvtunieibio. |
eciecsharis enaantati buat see cat se ae Pee ean | Beare ye Oe OO es aU a
ie TE ee
Pe EE oo ee
PSone ee
; |</t>
        </is>
      </c>
      <c r="C165" s="15" t="inlineStr">
        <is>
          <t>NOTAS FISCAIS DE COMPRA JANEIRO 2026.pdf - p. 164</t>
        </is>
      </c>
    </row>
    <row r="166" ht="75" customHeight="1">
      <c r="A166" s="13" t="n">
        <v>165</v>
      </c>
      <c r="B166" s="15" t="inlineStr">
        <is>
          <t>a
Prafeitura Municipal de Teresina —
¥ Secretaria Municipal de Finangas Famers
Ss Nota Fiscal da Servigos Bletrénica eee
NFSe -Preatador ytiVK,
————— OO Tanai Seoer We Fo ve
DADOS DANFSe onaanirseensemeen
Oat shoradbenieszo — Competbneia Ikra) Cre Gerataocee nasa he red ek
paovare res Outs son ae
manana eae oie
EMITENTE PRESTABOR DO SERVIGO
rE fe LI WE Insodefo Muricteat atone
sten.ssanan. Ae arse {s9) 97009970
‘ome Nore Empreste! nat
FON PRERTADOPADE SEAVICOGLTEA fenletason@hora ort
Ender tinier cep
RON ASE PERETT2O SLAC; PAROUEDIEA, TERESA PLBRASHL enore-o80
ne
TOMADOR DO SERVIGO
rr CHRD We teporigte ken “Tateone
umnasenn28e : :
ome Mara Ropu! out
‘SAL ENGENHARIA NDUSTRIA E COMERCIOLTDA, Framesloghaticcm
Endersga Nusiiple or
[SENNA ENOFrovsco amo rDEXTRENA TERESINA PIBRASE. ea07e.180
Rixcorsiioc
cRAEL¢80
{270-002-00- OUTRAS ATVIDADES Df SERVICOS DE BEQURANCA
fer
‘i NGLANCI, SEGURANGA OU MON TORAMENTODE BENS, PEGOOAS F SEMOVENTES
{cul in prstagi do sonia Pais de prestoyia do vevigo
SERESnArAL BRE.
DESCRIGAO DO SERVICO PRESTADO:
SESEGESS 2 Snorfo Soham Se Homan titteece 25a ow oman 2028,
{
cS” CREO RRNTIOG PORE ODSEY OFTANTE PED EMPLEBHACERAL
|BUTAGAQ MUNICIPAL
aadhdade dotston! Atvolsblo da nehbact te SGN AResvonatval pal acomeno da 12S0M
Saget TERESNA-P) PRESTADOR 00 SEAVION
fixengiodo 650M Stage do preetador do sani pera o SimelenHecisnm ein copia do bibwigbe do OS
RRORENDO SPTANTE ‘Spies Naiaal
CALCULG Do IssaN
‘YalortosldaMrGe(Rs] —‘Totedaadatgben (RS) ene. beatae (RA) Mase deedluie no BRON OE ANG. DH) Vler ORSON RH)
. ‘e170 200 a0 oid ‘
RETENGOES
‘esau na Pm) CORRS RY pio RY oth) utreeotete9 (RS)
0.00 om 0,00 000 300 000 pO
I VALOR TOTAL
‘Base da célculo do ISBON (RS) ‘Retenpies {RS} Desc. incondicionade (RW Desc. Condicfonmio (RA) ‘Valor Liquide do NFSE{RS]
| 27800 080 0.00 000 e100
| INFORMAGOES COMPLEMENTARES</t>
        </is>
      </c>
      <c r="C166" s="15" t="inlineStr">
        <is>
          <t>NOTAS FISCAIS DE COMPRA JANEIRO 2026.pdf - p. 165</t>
        </is>
      </c>
    </row>
    <row r="167" ht="75" customHeight="1">
      <c r="A167" s="13" t="n">
        <v>166</v>
      </c>
      <c r="B167" s="15" t="inlineStr">
        <is>
          <t>H Prefeitura Municipal de Teresina ee,
Ed Secretaria Muntclpal de Finangas rae |
x Pps
Se Nota Fiscal de Services Eletrénica peers
NFSe «Preatador Nati
——— ng Ne haa Sot IS oa
BADOS OANFSe are har bard
DalzedoredeenisaBo — Compettincts = Mimoroférit ‘Sseenac Sa os pond
ORNN/2026 TEAR m2 168 U ial
EMITENTE PRESTADOR DO SERVIGO
‘SOF FCN ME trwerguo urictpal Feletone
sean sog0n07-38 erase ouseare
Wann an eprocartas emma
FEN PRESTAOORA DE GERMCOBLTDA feneh aardeaghernatcon
ercarsga fankite cep
Rukia renetr 201 cao PAROue DEA, TERESMATPIORASI. taore-e
TOMADOR DO SERVICO.
Pr cua THIF Aesctho Munpad TWetone
+ pees nanons2.9 onn3is.4 :
Werna tome eraprasareh Ent
GKAL CNGCNHARIA INDUSTHIAE COMERCIOLTON, Foomanloghanccon
nsoego Pardo oo
HHorialascd amp erRes TERESINASPLORASTL 1076.50
RVIGO PRESTADO:
‘eNAEFCBO
Staanned-OUTRAS ATIVADES DE SERVICOS DE SEGURAHCA
ton
‘1.a2" VGILANCIA, BEGURANCA OUMOMTORAMENTOUE DENS, PEBSOAS E SEMCAENTES
Loaal de prorogfe de wav ase da prostogta do earvigo
TERESINA PE BRASIL
DESCRIGAO DO SERVIGG PRESTADO
| EGA 9 Sn We, as aro peme oe oe.
= DOTNETO EAS PORTE GU ei GPRS FELD BRPLTENACDOE,
IBUTAGAO MUNICIPAL,
Stem dp ISSO stusicto aa tncdtncta do HSSON Rarpana ea pet recaneato do $5808
bar TERESNA-Pt PRESTATOR OOBERGO
felengie do1SGQN ——_Stuapba do peentader do soni parane.o Bimpos Hecionat Regie capecte doling do HGH
18hO RETIDO ‘OPTANTE ‘Simplas Nacional
CALCUL. DO 1880N
‘Yapeteal daNrae (Ra) Teteldus Geduydae (RA) Ooersincondlcioneda RY) Baeo tecAinuodoESBOH (RS) Al. ft) Valor do SON (RH
f ‘207800 ona 00 ‘atso0 ot bd
{RETENCOES
} Tsay er raga) come) meses su sy Ohtron tangs RS)
H 00 400 ono 0 200 000 200
| WatOR TOTAL |
{ BasadacticulodatS3aM(Rs) Ro tmipfes (RS) Dace. Incondclonado {RS} vse. contkfonada(R3} ator Ugaida ca NES)
H 817500 a0 200 O90 es
| INFORMAGGES COMPLEMENTARES:
| |
‘</t>
        </is>
      </c>
      <c r="C167" s="15" t="inlineStr">
        <is>
          <t>NOTAS FISCAIS DE COMPRA JANEIRO 2026.pdf - p. 166</t>
        </is>
      </c>
    </row>
    <row r="168" ht="75" customHeight="1">
      <c r="A168" s="13" t="n">
        <v>167</v>
      </c>
      <c r="B168" s="15" t="inlineStr">
        <is>
          <t>a eS eT SE
DANFE
ene
TERESINA MANGUEIRAS E PARAFUSOS LTDA  Emernde: @ (2226 OLST 9764 7780 0124 5508 100N ONST 9515 2IBE E846
Tebule (es) s0967.9007 Ni3798 ee ate plc ance anaes
‘Série: 1
renee
VENDA DE MERCADORIA DENTRO DO ESTADO 2222600249065 19 3101/2026 17:36:50.
197739180 _ [57,97647710001-24 _.
ISKAL ENGENHARIA INDUSTRIA E COMERCIO LTDA. 123.655.038/0002-89° 30-01-2026, 1
AL — _ |
ENIDA SAG FRANCISCO, @ EXTREMA 164.076-450 30-01-2026 |
[TERBSINA, [or [isconmituine —_ [tocaaenoe Pr iraese | |
0, 0,00] 6,00} 0,00! 124.74
TRANSPORTADOR/VO1.UMEA TRANSPORTADOS: |
ia a ie
nanan oooaSia
00 oD, | eesectovoRGDLTOSENNTS [ara [wera [inrorii [seem [wae [enim ee |
aii.” |aanauena creo sorvenrean zaman feonase | 0m | AE CC)
based _[uancuriegcmieran vance forrmen | exe eas [ ORT Tame] "= azo] enol ace] o_o rel
8/40 pac
aa Aa —
| j powered by [id dlterdata</t>
        </is>
      </c>
      <c r="C168" s="15" t="inlineStr">
        <is>
          <t>NOTAS FISCAIS DE COMPRA JANEIRO 2026.pdf - p. 167</t>
        </is>
      </c>
    </row>
    <row r="169" ht="75" customHeight="1">
      <c r="A169" s="13" t="n">
        <v>168</v>
      </c>
      <c r="B169" s="15" t="inlineStr">
        <is>
          <t>a
aa TNE
ITOPCOM COM. DE MAQ. EQUIP. E MAT. DA ‘Decvocate twa do
ve wecmnouamet peecart teen
y CEP: 9007-076 iN" W08013538 ‘Conselta de xutemticidude no portal naciomal da
t Femme: 19493 05 HO SERIE 1 NF-¢ wirw.ale.fazcudn.goybriportal wu mo site:
| era as See Averienra
Seen ainaoe ana
ne eso RAzO re esonese setase we
a Ga
cet eta rpUSTRIA COMERCHO LTD nai
iwaoremccown mae [gee [PE
rei rae
w VALOR ORIGINAL Tare gpI
sonst sm
‘CATCH RSTO = =
Pre cians ag EE gf IEE ggg [NBR [ MeO |
ums aul val i rete
Commer yn er Simm
RRR SOT TTS
fees |
Rae a aaa
STIL
a Eee EP Ee Pe a |
OOO
Peoish® OPIS (m8 ox)
| .
|</t>
        </is>
      </c>
      <c r="C169" s="15" t="inlineStr">
        <is>
          <t>NOTAS FISCAIS DE COMPRA JANEIRO 2026.pdf - p. 168</t>
        </is>
      </c>
    </row>
    <row r="170" ht="75" customHeight="1">
      <c r="A170" s="13" t="n">
        <v>169</v>
      </c>
      <c r="B170" s="15" t="inlineStr">
        <is>
          <t>rm
Praising nteiopat dc Masons
nontuea DANFSe v1.0 Gh cee
Sarees Socumento Auniiar ca NFS-2 sees Homer eetmhteteene come
‘have on Acero NEO a
stenoat2veng402 10001 14260000000009926012725457174 eee
Minen datire Compacts can -2 ara Here casts do NES SRM
‘songooave0a3 pena oot 72026 17 05:00, ae
arma de OPS $éio du BP Dato Hors os anfeabe do DP ciiaes
2600000000038 208 20872026 17.05.00 Porras
EMITENTE DAHES-&lt; CREST CRRT NE “Bearegae Monteipal Teles
Predudar do Sane Tranaeavo00i-14 bo ies
Seem Wome Exper tom
‘TOPCON- COMBE MAQUINAS EQUIP. E MAT.OA CONST.LIDA QeenclaQunapnoontetcomr
Endersey rene cae
IV WHISOM ROSADO DE SA, 9, KM 412. BALA0S, AEROPORTO —-MOBSORO. RN 50607-260
‘Singin ficou au Data ce Conpetioga Racin de Acura Tiana po BH
NSeoplorie :
“FOMADOR DS SERVIGO BRST Tg Wg
Rese coanoc2 40 : (aayoers.rst0
Noo Nome Emeremtal Beat
SAL ENGENRARIA NOUSTFUA E COMERCIO LTDA, sokacyeletPhotal.coun
Baderage Menlo or
ERVENIDA GAO FRANCISCO, 4000, 0, EXTREMA Torani -P Berea,
2 _______ TERICDIARIO DO SERVIO No IDENTIFICARO MANFSg———
(GO PRESTADO
1 Teuaapb0 Hadonal ‘ekg de Tebng Madotpal aca cargmagae Painca Pmencto
1601.0 -Luadtcacdo, topaz, = MOSSORO “AN :
luna 080, crga 6 reo —
Doecte do Sonica
SERVICD PRESTADO REVISAO DB 250H6 - A 690.00 /08BLOCAMENTO PIGOS - 1k TERESINA. P1- 313K (2%)- RS 17.12.00
“TRUBUVAGRG MOMGIPAE——
“Tough do 60 ats Rooted Preto do evzoMurcpn de cline do 85ON ‘agin pac a Teutagdo
Operagho Tioasvet : MOSSORO -R Nenu
Tyoaaantte Sepa catenin tB3OH Mier Pecans mer Barwce tanitpat
gee de Sacto Deseane condoned ‘Toi deduspeetiterson Clase do lk
£8 224200 : : :
80 16808 ‘igi Aon Azan do 230 18804 Avvraon
F52242.00 500% io Rae Rs siato
ine cP Ratio PSICOFWR/CLL Rein
Pinte conn Deto emagto do PSICCRMSFESLL TOTAL TREUTAGRO FEDERAL
a
ata vo Servo Dancer conanoed asant nconteonsco 15800 Ratan
2.242,00 iy cy :
GP, AB, OOF RS. CA, POCORN Dean er awe dots
75.000 : 2242.00
‘Toikis APRONMMADOS BOS TRBTTOS
Federte Cel alos
"WEORAIAGOES COMPLE
soma: FOP COMPANY MACHINE 00 BRASH.
—
Pevsis xcue (got wt)
|
|</t>
        </is>
      </c>
      <c r="C170" s="15" t="inlineStr">
        <is>
          <t>NOTAS FISCAIS DE COMPRA JANEIRO 2026.pdf - p. 169</t>
        </is>
      </c>
    </row>
    <row r="171" ht="75" customHeight="1">
      <c r="A171" s="13" t="n">
        <v>170</v>
      </c>
      <c r="B171" s="15" t="inlineStr">
        <is>
          <t>RR REIT BEC TOR BPRS ORT TR ROT RSA AR 1 HY Fae)
paneer . a
PSOE PRES BUSTA DE GOMEREID LTDA care anon
CACIOUE are ono a ton
PRS smiom arene 62 tga «son 1
Cetoce  fewomanemn | eee aT | eee cetgeantee aa eae
= : [ecasc, arama
e :
(Ca cers fee lle om me [von [ee [ one on)
|
P/ capzoceria GUERRO,
\or- 0432
RARER cemuarmnpemunin anete.
|
|
|
|</t>
        </is>
      </c>
      <c r="C171" s="15" t="inlineStr">
        <is>
          <t>NOTAS FISCAIS DE COMPRA JANEIRO 2026.pdf - p. 170</t>
        </is>
      </c>
    </row>
    <row r="172" ht="75" customHeight="1">
      <c r="A172" s="13" t="n">
        <v>171</v>
      </c>
      <c r="B172" s="15" t="inlineStr">
        <is>
          <t>_———————————————— eee
SERS SINE
EIRELI- SAMPAIO CONSTRUCOES | STAINS
ee tSine?® [1] | esata aeanonisieve poral aca Ne
poten 8 vervaf a seh
VENDs DE MEKCADORIA ADOUIRIDA ‘nasa so30Nne172684
pees Psat |
Sica ENGENIIARIA IND E COMERCIO LTDA [Fissenssooon.sy [Su 1aae
[AVENIDA SAO FRANCISCO -N 4000 TATRIMA ‘w7s.150] "27012026 |
[rERESINA Taf ates Paae
imal 77) alia?” cca I ci 7 itl
at a GY TT
bua a "Te
Eee [otlwes TT ee
| Barer TRIGA : od iM 7 L
fat be tart
afta CARIN TET ART ararrafamt a sea Tm] a Tm Es
keer mesa a fs id Hl aba
a Braet _ a i i ia
sca —| oot PMRA. S81 STFA So TT | Top a aT ah —
[Siemans Le
Eenue eae sil a
rr fo WSs RETO STSIC WORT 93s} 2] ema | os
ial rte ki
Fer Ml Kal ll ed fil
reas CVENC Pes -CNC un OBA SOTO ATENEO SO
Siudronan aterexcsc peroane Rx OC ausucttx oc Horo
2) Coveta PE Prewmaa
i I see</t>
        </is>
      </c>
      <c r="C172" s="15" t="inlineStr">
        <is>
          <t>NOTAS FISCAIS DE COMPRA JANEIRO 2026.pdf - p. 171</t>
        </is>
      </c>
    </row>
    <row r="173" ht="75" customHeight="1">
      <c r="A173" s="13" t="n">
        <v>172</v>
      </c>
      <c r="B173" s="15" t="inlineStr">
        <is>
          <t>a”
ATTRA DANEE
pocunENTo
SAMPAIO MATERIAL DE CONSTRUCAQ| stauazDa
EIRELL~SAMPAIO CONSTRUCOES | SAESAL | O
‘VENDA MONSENHDR ANTOMO SAMPAIO. 8-DIECEU | ge any
a ER on team” [1]| “Ghent area opr ncond GNF
tae Eas £1990 sermafefeenda gover
Prien 000 aie ds Sette Avltizadors
euicae COTATI
VENDA DE MERCADORIA ABOUIRIDA SrzeOnLteI28 FDINET TRIES
SST ITAA ATE, a
1944030127 02347.042/0001-29
1g sos wan) aC
es SRST RTT Sane aT
(seme sesetonreitomere TD sae [rome] a [ere] a | oe |
Sot RRCAA SHIPS 3007 CHRD GR TE se ap ae</t>
        </is>
      </c>
      <c r="C173" s="15" t="inlineStr">
        <is>
          <t>NOTAS FISCAIS DE COMPRA JANEIRO 2026.pdf - p. 172</t>
        </is>
      </c>
    </row>
    <row r="174" ht="75" customHeight="1">
      <c r="A174" s="13" t="n">
        <v>173</v>
      </c>
      <c r="B174" s="15" t="inlineStr">
        <is>
          <t>WATOS E MELO LTDA -ME ;
133) SANTA TEREZA -CCPsS4075.532
FONE: (C0906 7665 TERESINA-P)
MM oc A OES: CNP) (MF) 19.915.05510001-50 IY FL-100548
TKS ESTADUAL ISENTO
ERGO DE REFERER RUIN DR OPEC TAREE
ena; 6012008 022008 Fig nace ore nord puoi
ey
TAL ENGESUARIA ROUSTEWA E COMERCIO TON, perio _[anest osvoresn
[FNOERECL AVENIDA SAO FRANCISCO, 4000/D - EXTREMA- TERESINA - PI - 64076-450
tener
larTacax GATENGENTARIA NOSTRA E GOMERGIOLTDR” AVEMDASROFHANGISCO NCOUD EXTREMA” [NOC RMCPAT
TERESNA. PI e407e-40-CNPL: 236860080000 88
GTO Eevpanan Perego Terpe Sube,_VLBesr Valor Total
Qe GREG bea SER aS W Rane
1 BETONERA #001 RENTAL (000) 1901 182 sip Nu 80.00 8000
| BOTAO OE ENERGENGIA COM GHAVE OF {ot tear 0 fee rec mmnaetts
SSCIONAENTO
@] | Waren wonorAsico zev 100) tos tama 10 No 0.00 060
| PROTEGNO OREMALHeIRA MENEGOTTICSM 101 tae HO No coo eo
JotatRemevee foreorat; __s5n00
Total. pcogaes 38000
fomrerny Toe
[hos Fc obser toe eaceae
Pia
Vercimente 12/02/2026 RS 350,00 ‘WALOR TOTAL
RS 380,00
Rf comsrenedSs LOK forges &amp;
f
aw</t>
        </is>
      </c>
      <c r="C174" s="15" t="inlineStr">
        <is>
          <t>NOTAS FISCAIS DE COMPRA JANEIRO 2026.pdf - p. 173</t>
        </is>
      </c>
    </row>
    <row r="175" ht="75" customHeight="1">
      <c r="A175" s="13" t="n">
        <v>174</v>
      </c>
      <c r="B175" s="15" t="inlineStr">
        <is>
          <t>— RR
Tide ~~  """ Prefeitura Municipal de Teresina aera)
&amp; Secretaria Municipal de Finangas pee!
te Nota Fiscal de Servigas Eletrénica pre es
“De NFSo - Prestador ore
rr ERS GPR
GADOS DA NFSe ee pb tr cee OR
Dein hore de enioeso  Compattncla «= Mimaro/ Sila
swouzige 1a2ra1 OURO point
Codiga de Verttewgso
SromeTaeg
: EMITENTE PRESTADOR DO SERVIGO
PE FCN MF Inscrigho Bluepel Teletone
9414797000016 4390002 ees |
Nome Nome Empresa! Eon
39a VigTA AUTOELETRIGA LTDA OFTEINABQAVISTACCHOTMAR COM '
Endeneso Munisivio cep I
RUA JAIME FORTES 3414 NOVO HORIZONTE, ‘TERESINA / Pl BRASIL. BOBO 10,
TOMADOR DO SERVICO
CPF rennet tecrigho Municip Taleo
7385500000200 cmais-s
Nee some Emprasaral eal
SKAL ENGENHARIA NDUSTRIA E COMERCIO LTDA,
Enderogo aecipo cer
MEM G0 mancisco 1000 GARROEXTCIA ‘TERESINA PIBRASIL 076480
SEiggro PRESTADO ‘
cual
‘570.0220 - SERVICOS DE MANUTENCAD E REPARACAO ELETHICA DE VEXGULOS AUTOMOTOFES
Service
1101 LUBRIFICACAO, LIMPEZA, LUSTRACAD, REVISAD, CARGA E RECARGA, CONSEATO, RESTAURAGAO, GLNDAGEM, MANUTENCAG E CONSERVACAO DE
Local da prestagho ao seriga Pais ca passagia do service
TERESINA?) BRASIL
DESCRIGAO DO SERVICO PRESTADO
-SIGO YORE SRD
| TT oer rom we ov ern rte Sees ac
: Ws MUNICIPAL .
Exigibilidade da IS80N Municipio da incidbncie do ISSON Pesponsdwel pelo recainiments do ISSQN
Exgwet TERESINA PI PAESTADOR DO SERIO
| Ratongdo de 850M ‘usps do prestedor do earigo paanta © Shnplte Neclonel apie eepecta de tttatagto do e808
‘NAORETIOO OPTANTE ‘Simplea Naciona) |
CALCULO DO ISSON |
Valortota da NFSo (Rs) Total dae dedugden (RS) Dune. koeescionsdn (M5) Rasadn edule daSSON (AS) Ala.) Valor soSSON Oe |
1420.00 ooo 200 e600 =
RETENCOES:
Tss0H (as sn (RS) Piss) commis irs Wiss (rs) esi. (rs) ‘Ouvas cotoneson (6)
200 a0 209 000 00 200 200
VALOR TOTAL
Basa deotlule da EON (RS) ——-elengi RS} aes. ncondcionado (RS) Dac. condictonedo (AB) Valor Liquide de MF (RS)
125 0 00 200 900 142800
INFORMACGES COMPLEMENTARES:
9) MB BYABUES</t>
        </is>
      </c>
      <c r="C175" s="15" t="inlineStr">
        <is>
          <t>NOTAS FISCAIS DE COMPRA JANEIRO 2026.pdf - p. 174</t>
        </is>
      </c>
    </row>
    <row r="176" ht="75" customHeight="1">
      <c r="A176" s="13" t="n">
        <v>175</v>
      </c>
      <c r="B176" s="15" t="inlineStr">
        <is>
          <t>2 EEE oooorerererrrreoeesE=E e_
ae —— Prafeltura Municipal de Teresina Bases
e Secretaria Municipal de Finangas yee
/ Nota Fiscal de Servicos Eletrénice Peete
DE NFSe - Prestador seek Se
— AS ee
 DADOS DA NFSe ‘Sine now hee boom e000 OT
Dela hers Ge-emisato — Compelineia ——_imavo/ Bie
| ataras 13:8800 yas aasu.
oaige de verteagto
saMiPrsaD2
EMITENTE PRESTADOR DO SERVICO
CPE ONES NIE lneerigto unica! Teotone
Neate 727000116 919002 186) 2622-0625
Noma? Nome Emoceatriah Ene
BEA VISTA AUTO ELETRICALTOA OFIGINABOAVISTA@HOTHAR.COM
ncurses Municite EP
FUN ANE FORTES 2112NOWOHORLDATE TERESINA /PI ARASH. teo00.110
a
TOMADOR DO SERVIGO
CPE CNL Inacio Muntepet Teiefone
7a 8. 030000269 cena
Noma Nome Empress! ema
SHAL ENGENARIA NDUSTRIA E COMERCIOLTDA
Eagerars Aausicinio cw
RONDA SAO FUNCSCOGNN BARRO ETRESIA TERESINA /PIGRASY. e076 480
sero PRESTADO - TTT
cnatreao
£620-008-00- SERVICOS DE MANUTENCAQ E REPARACAD ELETRICA OE VENCULOS AUTOMOTORES.
Serigo
‘31 LUGRIFICAGAD. LIMPEZA, LUSTAACAO, REVIBAO, CARGA &amp; REGARGA, CONGERTO, AEGTAURACAO, BLINDAGEM, MANUTENCAD F CONSERVACAO DE
Local a pentagte do beviga ala du prostagho do savico
“eRrsnar ERASE
DESCAIGAO DO SERVIGO PRESTADO
venrige murmioe a ex@rorae.
TQ_____ rarer tarroo ron over orem rea mre means
TRIBUTAGAO MUNICIPAL i
Exiisode do ISON Munkepi de Inctdncta 30 1SSON asponasval pala rocettimento do 19S0N
Fogel TERESINA- PI PRESTADOR DO SERVIGD
Retanghe 408808 Btvagde do presindar do sorvignpaceniao Spies Neclonst faagiota expacta ds tbutagso a ISEQN
NRG RETO OPTANTE ‘Simpson
CALCULO DO ISSON
‘Valortotel de Whi (gj ola dae decugies (RS) ase. noendictonada (Ri) aedn célcule do ISON RS} Alig.) _Vatordo 1830N (AS)
12090 9.00 00 10000 o
RETENCOES
T980H (5) Inne oy F543) ories (5) 58 (8) cau rs) Ouran rotangone 9)
00 90 00 000 309 0.00 0
VALOR TOTAL
Guse de baleule do ISOM {AS) Retenpoea (RE) Desc, inconsdictonada (AS) ‘Qnac. concicionado (RS) ‘Valor Liquido da NFS¢ {A5)
18000 00 090 00 15000
INFORMAGOES COMPLEMENTARES
9 / Vou EMPLEDA- QRWIZ3SZ :</t>
        </is>
      </c>
      <c r="C176" s="15" t="inlineStr">
        <is>
          <t>NOTAS FISCAIS DE COMPRA JANEIRO 2026.pdf - p. 175</t>
        </is>
      </c>
    </row>
    <row r="177" ht="75" customHeight="1">
      <c r="A177" s="13" t="n">
        <v>176</v>
      </c>
      <c r="B177" s="15" t="inlineStr">
        <is>
          <t>Nrcetlaieoeiiiediabsbemsbimbenbbesiaiahtiaholaniatighinahidahiddinatnaneieanmmnnna ann 7
Panaracer a a Lo
i A !
hoe ee er eet
FORAEGEDORA CAMINHOER COMERCHO E SERVIC _— —_ at
‘OREE i
ENOEREQOAVEMNA pREFEITO WALL BEAR | poeAANETO AULA]
| DA META FItCAL
ome eueTROHCA
CHREREREERS canromsstwTo: vane preexrt
pas A ENTRADA ——
! MONIC IOTERESI oY aan oeaerecne
jezze 0119 9778 6500 0604 S500 t000 0106 2417 0062 1159
‘cap: saa We tobe
FONE: 650200077 piaions oeaas do ndarsoace apa nosere ane
: ‘senate tiie noe a Sloz NANOOTE
“VENDA PECAS BALCAD PEELE PUNE N28
ni nUaTRNESEMENOO LTA
AVENIDA 8A0 FRANCISCO. H" 4900 EXTREMA sroress0 | swovanes
ced 7 &gt; recwonn aC
iii? bie" hielo leona nner ont pal
nn ne eta [awe
ria See oe zal 3a: [sash ni] 109] aoa] wc af af no
oe ‘oncom, | Fo co es a i}
Hl |
| |
H H !
i !
| ee ae mares |
| PAM WETS QA $LQqr38
| ar</t>
        </is>
      </c>
      <c r="C177" s="15" t="inlineStr">
        <is>
          <t>NOTAS FISCAIS DE COMPRA JANEIRO 2026.pdf - p. 176</t>
        </is>
      </c>
    </row>
    <row r="178" ht="75" customHeight="1">
      <c r="A178" s="13" t="n">
        <v>177</v>
      </c>
      <c r="B178" s="15" t="inlineStr">
        <is>
          <t>DERE TT OT OTE DANFE
. DoCEMER
ISAMPAIO MATERIAL DE CONSTRUCAO | auxuuarva
EIRELI-SAMPAIO CONSTRUCOES | S7Abear
ico VERDE CSIRO [0] otek tosis S
a ERE oe Tare de auensciag we pota national NF.
(086 2222-725) fat sere farce. pov beipoeta)
(fee cou vee da Sefity Autoizaders
{EnDA DE WERCADORIA ADOUIRIDA
SKAL ENGENIIARIA IND ECOMERCIO LTDA [essoworn se [SiS
|AVENFDA SAG FRANCISCO - N.4000 EXTREMA GAVAGE] _2VOU2026
TERESINA. Te aaa hn ETSY ona
Calera orMreaT 7 Z
aa? le a 13617
NIESMO. [sain le Pe |
nes [Valinees pe ge Pte — |
aos oou moneTON MENTOR
fl Da ad RA ces ed
[en aie eee eee eee
[Pr _[ementaers sien VO COPERTE, ain wi alia
: pat, ER cs ais wr | 5 wa F
‘a pee tne inal
oo as a2 032800002
TTS [EADO FLEX 4507 750V 4.0NoM Vi COPPERL ING RAG east ST | 35a bed Cs) Px
i, Barns 89803229081 a a
TTT ERP RDO ART CONT COPPER Re “ana ait
os Ray DEED i il
[Fa RAR i A TCO Gill di ld ia a Ma a
od Rar TOADS a ee “
ELATRON PVC FLEX CORRUG 20MM KRONA mp MIP WIG) Tau) 00] ano, Lap 2s co
Ca) Leena, 7RPTOIIOPGIS . she -s, nal od .
GESSO MRONTO KG 32 dae sc hivso| “Sf ita] oolf in fe
MASCARA DE PROTECAO SMUT INTEC TT Fes Tid TINT POF SOTTO SP PN PESTA OF 6] ay Se:
es, 199430931073 |
Hs [Pa a TOA DORCO CAMEL HA TLIARE araras o) Ha7 Fee eed Te
od Barn 190803257
ES ROT Ra aTRT
at Aprox en Tin RS 79:9 (2.02 6 Fema KBPT aio: 3:61.30 Obvevaced PAC
ovata c/VERC Timtd-CNO DA OBRA 9) BLAMES ATENCAO:* VAS
FAIUAL VAMOS BOLETO APOs 0 VENCIENTO “HAO RACEBTOOS PAC AMENTO Dt;
BOLETO POR TRANSFERENCTA, DEFOSITO, PIX OU QUALOVER OUTRO MEIC.
ods Ue MONSES (89) 094 73S3u0 Usui: DUDA Pra SOT O95
Pf/caegeca oc Tewmsa — §
USUSSAD T0126 VALOR TOTAL ARIS DESSTAA TAR SIAL INGE YNARA TSC COWEACION IDA SAN INEYA SUD FRANSES LX1-ECMN, et NE
nsec " nos</t>
        </is>
      </c>
      <c r="C178" s="15" t="inlineStr">
        <is>
          <t>NOTAS FISCAIS DE COMPRA JANEIRO 2026.pdf - p. 177</t>
        </is>
      </c>
    </row>
    <row r="179" ht="75" customHeight="1">
      <c r="A179" s="13" t="n">
        <v>178</v>
      </c>
      <c r="B179" s="15" t="inlineStr">
        <is>
          <t>any
re 000.193.479
nl ee serie
Tea DANFE
[ibis TERRA Bocumenio Auxiiar rat
HNGSINOS _DISTRIBUIDORA DE | Neve recat Eeroaca
ABRASIVOSE = [teats [4]
Aven fnlonlo taanhaz Sone 062. Naveonria INF n0,183.479 © ¥3te ax87 1181 1900126 5800 2000 19947041 9197 9617
Fone: 001130314500 ‘SERIE.002 Gonaufia de avtonbcidede ro oval aaconal da WF ~
Folha 1d t www le lazenda.gevib/poral ox no bie Ga Safar Autorizadora
ae ewe itilar ore acnonoe os
[emer Pe Pnseianonae |
‘Desmua ANG RERETERTE
Sta gohara care 9 comerco Ria
fees aFrnin. w-CrpotaieReteer pes [ewes saree rsoncone |
aL (ri
aT WRAOUPOEATA
LS Se (OSS
SET
ero oo SEE TERT DATES [ROTTS TGTTTS [ROTO REPT
20] i) 00] 0.00] 272.90
‘TUNSPORTADORNOUNE
on aR Sar poaneweas Taare
JeeAzZaR COMO LTDA 2 Terceon fo3007 3510122.96
parece Raat SRT
FENDA on nacoes voy 90208 [eensco te fitment |
pare a are ST a aa
cc TS ceca (nian (i: een (ee
‘sf ORMAGOESDO LOCKE DG ERTHROA/ RETRUADE
Pee LL LL
PDO 0 PRODUTO  SERMED
San, [scrandoas renviee nine | vase [oon]er [ew [am mano Ee
4903 [26
cco ooesgn a ces ce : [
aos ACORN
ate rare 2 dopo ra“ swe aga: EEAZAR SOM BN LIN Crop GODNTSTOUTENE MseRS” | RERERVAGO AB FICO
esiman 20 0804S do wnbecbeBra Gee an urs SO, Clerc ney
Empresa drsrnoan Gunter Copa, Cop OF/FEO0 Cras 86 Pou GR Pm Ser or wear
fra, ence ex SOTIG6 wre 2 non orn 94 Param CAT SIOV9 Vato apovoies doa etcs OPT FANE 2
seen tat pn tron dae 913 28
estas pr MEEPP ape co Sots Rei Sue dee Berd foc do KMS ANSHPL</t>
        </is>
      </c>
      <c r="C179" s="15" t="inlineStr">
        <is>
          <t>NOTAS FISCAIS DE COMPRA JANEIRO 2026.pdf - p. 178</t>
        </is>
      </c>
    </row>
    <row r="180" ht="75" customHeight="1">
      <c r="A180" s="13" t="n">
        <v>179</v>
      </c>
      <c r="B180" s="15" t="inlineStr">
        <is>
          <t>MUNICIPIO DE TERESINA-PL
NESemszs DANES v1.0 oe
Se gets Documenta Auxillar da NFS-o MeretecreriTIOMCASRHFORITPLOONR
END Dosen Documenta AipilardeNf}e Ne atiecnesterpompsowrarartnicne
‘hove do acsan da NFBe nore
Ze vvoot 222487087 todb14S0090001000028260 18523592860 eee
ineto de NFE-® Compania do HFE-0 Dita a Hora da sao cs NES0 oe
3 Sorotr2028 Supiia0ae Tae nee
Heer de DPS ‘arin a DPS Data Hora ce alto do DPB ies
3 800 Duotone Teast Ageartate pn espeo aais
Grete sawve ropuanraco eto
eee
EUTENTE DA NFS RITE TRE TaD MAT aeaw
Proviedor do Sundgo BABTOSTINOO(-46 : ‘Gap subo-7606
Nes / Home Egreanes Ena
2a870571 JORGE GUILHERME COSTA FERREIRA SORGE.GULL@GMAILCON
Eetopa tmunkto
Do SOL, 820, PICARRA. Teresa -Pt s4o1s200
sing Nacional na Dan de Cones Reohoe de ApuaptoTibuti pelo BN
Sprint -Hleroempronnddor Inde () :
TORADOR DO SERVIGO GRRE RF TAI tg apa aa
23.088. caamoona.ae onosies (oa) 2222-4700
‘Nome Kone Empresa Eat
SRAL ENGENEARIAINDUSTRIA E COMERGIO LTDA. Enancet crupokatingymelicom
_— thatefto cep
‘Avenide Sé0 Franeiaco, 4000, EXTREMA Jecoara Pt 64076.460
Sc
ta PRESTADO
do Tietasta Katona Dtxkpo de Trbecto Bsn Looe da Prestasto PatndePrvenete
2am -Acsecrra arden, Teresina Pl
_weaagdo, atendnanto, commu,
Deecgto do Senge
Gorendamerto Phanceke
TREO ROSA
‘Teexeanbo do SSN Pale Flevaha da Prog do Goczo Murksbode nlitcin do1G8GN Rago Capea Tibet
pares Tiaiavel : Tereaha-Pl Negan iad
“pode tment Sarnia igo ORSON Miner Room Sererde Bente Muna
‘ator do Borgo Deceart omanado “out Daeugtanadigon Cllaedoon
RS7.00000 : , 2
powwean ‘Aianta tetera tengo do 1500 (0900 ayerade
: : No Rete :
SRR EER
ine cP Pato PIRICORNICELL Retkos
Ps bode cons bento etingto do PISCOFINSICSEL TOTAL TRBUTAGKO FEDERAL
Bee meee cents ate
Serko Devoonte Conslonade Desconto trcondkinnade (9900 Rate
rO0000 8 RS : °
IRR, oP, 78, COME, OSL, PRBICORTES OeMdoe VeoeLigain oe nro
Fe008 : 6 7.000.00
UTOTAIBAFROMPAADOSDOSTAIBUTOS.
Fedele xis Markie
“THFORMAQOES COMPLEMENTARES
sus: 114180000</t>
        </is>
      </c>
      <c r="C180" s="15" t="inlineStr">
        <is>
          <t>NOTAS FISCAIS DE COMPRA JANEIRO 2026.pdf - p. 179</t>
        </is>
      </c>
    </row>
    <row r="181" ht="75" customHeight="1">
      <c r="A181" s="13" t="n">
        <v>180</v>
      </c>
      <c r="B181" s="15" t="inlineStr">
        <is>
          <t>aERTETC DBO BATT DANFE
pocuMESTO
isa MPALO MATERIAL DE CONSTRUCAQ | st suiiena
EIRELI-SAMPAIO CONSTRUCOES | MEAG CY .
AVENIDA MOREUSHOR ANTONIO SAMEARD IHE-PIREEY | gory (fe cnnesn mem ronan |
carts PaMAIEA-21 sain ‘Congulia de suri dade av poral saciona NF
womens Bm semnnf soa bool
a
Rarer urn site do Sefue Suwnizadoro
aeatabagad POTS TRACT
RS TCM ATO EEA TARA HORST THT i
insa014 ee earns
Sina eeee BEER
SKAL ENGENHARIA IND E COMERCIO LTDA . 123.686.03878002-99 | 1910/2136
[AVENIDA SAO FRANCISCO -N4000 TXIARMA aonaso |” toute |
TERESINA eT aa baa Te Ss81
Te
SAT ib ae MT
Taacapae Anon” CoN AEN TPO
NIESMO [Riera Pe ene —|
re"? Mins TS eee
peered
a ll lL Ne a
TRG | BRC CORTE INT RIED NON STARRETT ys Tay a
oem pT
Pee a hes eee eels —theclerelmelee/et
iq Bera ORGAO EDS
FLETROOKD att3 EMA ESAT cS EL et aT
Pl Wi il
57] TREWA FITS ACO LSMROXSAT STARRETT a oF ERPS 1%
ae
Sea CRATE
it apron dni RS 116397 (92084) Fane: HPT Pedi, 1818391 Urea. 7A
BOLFTO.C’VENC 1990 «CNOA GHRA 99025083/21 ATEXCAD * NAG
[AIVALY.AMOS BOLLTO APOS G VENCIMENTO "AD RECLBL MOS PAGAMENIO LA:
BDLETO POR TRANSFERENCIA, DEPOSIT, PIX OR QUAEQUER OLR MEO
wendodor Gb MOSES (86199473524: DUDA
PJemweicn Of Urumark  &amp;
Futssuo gets Vlum TOPS DIFTSATOND: Sal PROELARA INDE COMM REIDT Fon” WA So TRANCE TRIS a NFee
inns suey
eT SC TIETTIEOT
cea ininsiiaeiniitieEON O</t>
        </is>
      </c>
      <c r="C181" s="15" t="inlineStr">
        <is>
          <t>NOTAS FISCAIS DE COMPRA JANEIRO 2026.pdf - p. 180</t>
        </is>
      </c>
    </row>
    <row r="182" ht="75" customHeight="1">
      <c r="A182" s="13" t="n">
        <v>181</v>
      </c>
      <c r="B182" s="15" t="inlineStr">
        <is>
          <t>TITRA TTT DANFE
0CuMPRTO
SAMPAIO MATERIAL DE CONSTRUCAO | at xuiarna
EIRELA- SAMPAIO CONSTRUCOES | NiAbycs
cane ee Pannetba &lt;P TsAlba Conta de anced 6 poral ational da 37s
es ETA B16 anew fe fazenda gov brevet!
eae ce ited Sela Madore
SRT RTT RTA RT
RATT RTO TAR POS TT =
19,440.30 1-7 02,347, O42ANIOT-29-
Saar
SKAL ENGENBARIA IND E COMERCIOLTDA 23.658.038/0002-89 | eI 2026
IAVENIDA SAO FRANCISCO - N 4000 EXTREMA inr202
Sear : neva =
TERESINA Tape eas ea]
Ree RE PETITE RTE RT
wie
"POT pom coe TaePORT ABO
eso ea a
pets __otowes a
one pe HBT AERIS
Ea al SI
Ee | TOPTADOR SOLD CURTO BOSINT RRONA ia Ka Wil Ocal Gad
oF | sn: 2x07 ODEO ool oe ool
Ta] WAST RTRTETRO PRESSAG HIVE TE DISH DICT ET ETRY FT RY RY AY RY er
(Cd. Bum: THOS
‘CUNTA STI PRIVEEARSENTO THORS CORTAG TORR A am Fm) FT ETO
Kl FS =i 131 lid il
Ca, Barras, 2997451469632 a
THAT FSPACADERE PI 1 nd NIVET AZ CORTAG TMH] Tea oR ar
[R [csemmnmcitp | i al id eid a al
TUVA BUCHA LATAO B0MERT KRONA TE 7
[elie iota Peeempalele el eel | Pl
PES0T] PORE Gl 17X90 BOSCO CATIEL MA ELIANE Ce rd dD
- [Cod Benue: TROIS AIST =
ivi” [towrR 80ND NT 200 ssisvox6 |i] sséa] tse] val’ cpa] 90] coo] 1ss}aes| a2
(Ch Basra: RIORDAN 163
TraT CDS CoH RT pcr
Pe peor dn Toone RS 3 30(3.51 #8) Fae: YT edie: 314081 citer ace: PACs
[DOUETOC'SENC te -CNO DA CRRA 00.02506885-19 ATERCAL! NAG
ATUALIZAMOS BOLETO APOSO VENCIMENTO °NAO RECLOEMOS PAGAMENIO Di
POUCTO POR TRANSFERENCIA, DEPGSETO, POL QU QUALQUER OUTRO MEIO
ended. O64 MOISES (86) 99473-5524 Usuario: OUDA
O/Eexaaw ee ‘Parenancr Ky
GTS BE SAG NTS OF GERD REL ET HE OSTA DME
sin tara Venera wae baat An REMAND Coors ivan Na LS |
|</t>
        </is>
      </c>
      <c r="C182" s="15" t="inlineStr">
        <is>
          <t>NOTAS FISCAIS DE COMPRA JANEIRO 2026.pdf - p. 181</t>
        </is>
      </c>
    </row>
    <row r="183" ht="75" customHeight="1">
      <c r="A183" s="13" t="n">
        <v>182</v>
      </c>
      <c r="B183" s="15" t="inlineStr">
        <is>
          <t>SRT BE DANFE
SAMPAIO MATERIAL DE CONSTRUCAQ | 2x0 xuiiens
EIRELI- SAMPAIO CONSTRUCOES | SVAN AL
(6425 PARNATDA- PE gala ‘Conaibs de aatentie dade ne portal naional ds ime
ane 7222-7283 1.431 sewer of, fazenda gen beipn tal
(RE ue ie de Saiz Reads
ISKAL ENGENITARIA IND E COMERCIO LTDA 73,886.036/0002-89 | DSL 202%
RVENIDA SAO FRANCESCO -W 4000 BRT ‘iore.as0| sun uains
FFERESINA Tae Sian TP eet |
Pee B20 PO pas PEGG ooo [AS 2.0
‘SRR a: a
STS a |
bre ts pe pore rr peer |
Poors
fr ar resarerreerormT ——oesr e —1
Ca heres slogan
Tad bapa titties i il el a dK
ES ues sooo
Cd Hats, 789 1985252342. pie sine sis . a! vat eye fee
|i TER Si Sos er
fa bees Rasen
SNERY Rin Re UtrCRENCA DevoM ak OeaUMCTE oe
evra moses ansoeioat or Ueacer be
Bercgrica PE Bennet
re SRR Tea aT zom ae Cassie oTCRTAR
TAUSSAL: 05012090 VALOR TOTAL. 32300 ISEISATAMO: BKAL HRGHIGIARIA IND: COMLRCIO LBA AVIMIITA SAO TRAMCISCO, PLTRIMA, "ita, bias</t>
        </is>
      </c>
      <c r="C183" s="15" t="inlineStr">
        <is>
          <t>NOTAS FISCAIS DE COMPRA JANEIRO 2026.pdf - p. 182</t>
        </is>
      </c>
    </row>
    <row r="184" ht="75" customHeight="1">
      <c r="A184" s="13" t="n">
        <v>183</v>
      </c>
      <c r="B184" s="15" t="inlineStr">
        <is>
          <t>INCL Ba maT DANFE
. OLUMENTE
SAMPAIO MATERIAL DE CONSTRUCAO | ac suis
EIRELI - SAMPAIO CONSTRUCOES: Renowes Lo —
AVENIDA MONSENHOR ANTONIO SAMPAEO 264-DERCEL | oyna
aco VERE Saino” [1] Gedo poral eos
eT er 8 ‘onella do auintendade ww poral aacionsl dl
ys 2222-7253, Bt599 woven iv, frie poy brim
SERIE | onc atte J Sehay \etarizaders
FOLUATA se nie ds Soh
sac CRaATABTAL RTA, ROTOR TT Ra
19,440, 301-7 92.347,.04240001-29°
maar
AVENIDA SAO FRANCISCO - N.4009 EXTREMA 1076-150 EL2026
TERESINA fap Ra Pa
aaernee PTT aE RTT a TET
Toso 103.72
‘aa a A
[Garsia [rowan
Pen Mines POT ees Oe
ater Dom RTD AEN
lm Rl el
TSS |S TORDAVTDIT WOR GP BH FANE ia Gl al Rec iM Ra
66a Savas HO6UI9TEIONS
ESHER CREPE AGhIKGOM TIGRE Gz] ON TES] oe a
PE letememonanre | i Wi hl
i Barge 269104006363 - is a eee ed -_
cia Barer 749003915391
FATTER SSTOPTES CF SH TOUS PA ree Taso] Fat TF
ai Ea li Ma lll id a
OWLIDECK NATURAL 361 SAVERLACE eT [Osa] TY wR] enya] TC
2d Hara 7eP1S67324038
FIEHDE | WOLD LA SINT SCM ANTIRESP ATLAS oe sd a)
| a tare, 796008894383 ne feed cbeedenet x tatesrad es n
is] TRRECH SIMPLES 500-2 CERO GREE TIGRE, scasracayaoay eraRT ONT FP Rin Tisi] “HRGP TIWPRESE At
oe Cid Barras: 7891385003195
SORE TROT
Sal Apr de Toute RS 742,80 (54, 66°%) Fone TPT Pos: 11.3723 Obanacro PAG
[ROI TD CGM VENC 161 ATENCAO: * NAO ATUALTZAMOS ROLETO APOS ©
FVi2@ IMENTD *NAO KECEBEMOS PAGAMENTO DE BOLE 10 BOR TRARSELRENCTA,
DEROSTTD, PIX OU QUALQUER GASTRO MEIG Veeder Oe» MESES (6) OHTA
Ute: OUDA Prodan ST/Ouben: 363.50
P/eioaece oe Presrge Hey.
Tatsehc tenis VALGMOPAL Hp ERITNATOND BEAL ERGENARA NR “COMEOT iS 0 A STMT FTES A Ne
SAS ERTS SANTEE RIETANA ESIC 1.599</t>
        </is>
      </c>
      <c r="C184" s="15" t="inlineStr">
        <is>
          <t>NOTAS FISCAIS DE COMPRA JANEIRO 2026.pdf - p. 183</t>
        </is>
      </c>
    </row>
    <row r="185" ht="75" customHeight="1">
      <c r="A185" s="13" t="n">
        <v>184</v>
      </c>
      <c r="B185" s="15" t="inlineStr">
        <is>
          <t>DiRTACT PO ATOE DANFE
DOCEMRTO
SAMPAIO MATERIAL DE CONSTRUCAQ | sLxuiac ba
EIRELI- SAMPAIO CONSTRUCOES | SUTARN
‘ARCO VERDE HIRST Cy Canwulta ds ratcntsidade no poral aavional da NF.
(¢4211-145 PARNATBA - PI ws ‘Consulta de autentividade 0 portal nacional da NF
‘on 22720724) aided swat ol fused pov bryant!
sears
ae no site de Selaz Autorizadors
Rarer TATRA TORN Ta
VENDA DE MERCADORTA ADQUIRIDA FRE BomOUS40774 80 6}. 2026 97 ATL
ROTO RETEST DITO THAT i
ISKAL ENGENILARIA IND E COMERCIO LTDA 23.655 038/0002-89
AVENIDA SAQ FRANCISCO « N 4000. EXTREMA G64O7H-ASO| _ O9AN2026
PERSIA Pe
Beuewio Meme, Pee ET
ear —— pcg —— pres rere SFR aa rane STRTCT er —_ — pa
rs Mies EO OO Oe
hee me rmoerTORT AERC
Fa Hl Ga ed Ee Wed Kea ec
TORSO STC ACEY PRETO DENTE POT SEATHTO[ H60] STR ON Ta 3
belieateatmemre —esenimfer|ie| oof] | oo loo]
SOTTO TSOTO RIM SOORRORA || EY A cr 1H
[Rie nmememaiaie eee eT |
eed Ragan TAY7HOL O46? aieei ea ieee ae
TIN SinsSA MADEIRA S900 PLOT INT 05 | HAE | — Ty SB] ES] tv
4. tare. 7893040140728 eal el noe
TA MASSA HADEMA TOC FRET Cea aL a aa ce an)
9 aren, 18194040732 | | 4
ced Barta 7097801302182
POLIDECK RATURAL. 361 SAVERIAEK ESCO Coa) oro Sd DD
Cog anys, 7ROUSA7S241 39 «de
PU st HTBRINO 4000 CRIZK ATLAS isos on sta] uns 3200] 32.00] 3208] 7.20 vox?
5d ars 406200196542
e THAUPLINEAR SECO FSCHU OCULTO CENTRAL KRONA "| 55°70 805] 510 59] FER TFET] ST ers
et Day ORAS TREES
SUED TRICE AT ESG EXERT ROT a 00 SHOE A 1 Tai] =
KOLD DLA SINT RESDMAX ICH SIOA ATLAS aaa e i Kea eed kcal
[Cid Bara 2696300152292,
3 SCAT SXSOMAE RRO RO TH] S| AO] TF
Cid Bae: ASTO1SO1697
Sse RTOTRTAE pesca Ra
[ea agros doa WebvinRS 225.13 (39,3890) Fan: IRPT Paid 131274 Otvericuy TAG
BOLFTO” VENC O84 CHO BA OBRA 90 2510883779 ATENCAG:= XA
/ALUALUAMOS BOLETO APOS O VENCIMENTD ?NAO RECEBEMOS PACAMENTO Bt
BOLETO POR TRANSFERENCIA, DEPOSTTO. POX OF QUALOUER GTROMETO
vender vot - MOISES (05) 9NTES3-4 Users: DUDA Frodo SMe 363.90
&lt;a} Py,
P/espeicn ve Prewarca Sl¢/
Thins nab Coat TOrae Shad ORGAT UR BA FRNA NBT COLUMN) RIN“ So SASSO RANT Rel ate NF
paca eric ao une Ison DRT RETO alse</t>
        </is>
      </c>
      <c r="C185" s="15" t="inlineStr">
        <is>
          <t>NOTAS FISCAIS DE COMPRA JANEIRO 2026.pdf - p. 184</t>
        </is>
      </c>
    </row>
    <row r="186" ht="75" customHeight="1">
      <c r="A186" s="13" t="n">
        <v>185</v>
      </c>
      <c r="B186" s="15" t="inlineStr">
        <is>
          <t>Age Prefeiture Municipal de Teresina Gog
a Secretaria Municipal de Financas ai ey
Nota Fiscal de Servicos Elewénice ieee i
NF Re - Prostador ea i
oT eo — ee TE TET |
BADOSDANFSe aan a
Gene teste mies Compennatn —HmaraShw Gata done® trae Sse dot |
Boman ORs ores ans acorn |
go Vortech
Seer |
EMITENTE PRESTADOR DO BERVICO '
oriomuiew nse Marked atone
CaiQut Steaaorin008 Gato son 2208
cous Haron Eat
EAGLE PmEUS MDUSTRAA ECOMEROO LTDA PATRCIMGRCACIOUEPHEIS COM BR
dames tamscio oo
RISSa ere Ms FE ISAM ANGELA, TOCA: Pramas tinuoa
TOMADOR DO SERVED
sed rset Marto! Teetoom
ase ane0007 Bot
enn Nore apnea Et
[S1AL EMGERMATA RD E COMEROOLTON fnaneeeo qugstatadigral x0:
Mauncgto on
1500 SAE ALP TANCREDOMENER TeaRSN Pr ARASH, secrete
SERVIEO PRESTADO |
powaecy :
CE7-20008 -REFORMADE PREUMATIONS USADOS
Serie
{4M RECA OR TASES OU REGENERALAD DE PAE US i
‘ocala preston do sande Pais prestaghe ds sevigo |
Yencomaret son
DESCRICAC DO SERVIGO PREATADO t
SRST wD eR = nO 7 OW. 139 2 ED WE UR, Th A) OT, THT |
Fir i ‘Be Tae ee a our seems
aE a0
%
¥ \y i
i
‘TRIBUT MUNICIPAL |
altidate fo SOK arheipte ds ecoencia 8015081 aspanasil sao rncoktmame So1$80H |
Eapet TEASoNA- FRESTADORDO SERVICO
Ratengia do ISON ‘Stuaglo do prestadar do nervign perme 6 Sitmples actors ‘Finger speci the trinvesgac do ISON !
nin nenon MAO OPTANTE
CALEULO 10 IS8QN |
‘Yethay total cia We RE), Total ties dechagbes (RS) Grete. inconeicionado (FE) Base die ciicuin de ISSOM (RS) ANG. (Ti) Valor de (SSON (RS)
i nea 06 ees) ae
RETENCOES —
sae pe) ‘woe smh CONNER isa int esa ‘oer reterctes (8)
20) 0 «0 300 200 ee) on
VALOR TOTAL
ve daca do ESSCALIRH) ——Ramnpen (RS Dese emchonat FRA) Ons. sonora (Rt) ir ut ae 8)
cay oo O00 oo fai
INFORMAGOES COMPLEMENTARES |</t>
        </is>
      </c>
      <c r="C186" s="15" t="inlineStr">
        <is>
          <t>NOTAS FISCAIS DE COMPRA JANEIRO 2026.pdf - p. 185</t>
        </is>
      </c>
    </row>
    <row r="187" ht="75" customHeight="1">
      <c r="A187" s="13" t="n">
        <v>186</v>
      </c>
      <c r="B187" s="15" t="inlineStr">
        <is>
          <t>DANFE
PE ROLAMENTOS EEDA _Poceearseseee MUA AN SARIN
DANOTA FISCAL
vena mtcretmans|  PANOTAFISCA
wet Toa pr
7 - SERIE: 1 UNREST Eiiatice
* OLHA: Tide ——
TREATS SASS OTIS TTS
VENDA DE MERCADORIA ADQUIRIDA OU RECEBIDA DE TERCE 322260002299794 - 29/01/2026 0:05:40
Taner RCTS TT =
194591751 08.318.541/0001-74
DESTINATARIOMREMETENTE
RaEETO SO aa ry
ISKAL ENGENHARIA [NDUSTRIA E COMERCIO LTDA 23.655.038/0002-89 [29/01/2026
ROD BR. 2185 076-410
&lt;a 4 Pore Coren
INA. 2107-4700 194446298 09:04:21
FATURA
CALCULO DO IMPOSTO_
Ee EOS TE Cee a eg
0,00 0,00 0,00 0,00 493,00
STS RC SC a
poco | ow | oo [aw] ago [aan | 300 |
{TRANSPORT ADORIVOLUMES TRANGPORTADOS
ee paenrea cons [aoa Romar [aaa
eee
pee ee ee ee
DADOS DO PRODUTOMERVICO-
poser wnral iene rae fost
elon re
mo vor | se [mefoe [oom [zc |] ea oa oo
CALCULODO I5SQN Pronied&gt; Oesca no She ne cumoaty!
omer ee oo
DAOSABKIONAIS__—_—OCOCOCOOOOOOCCCCOCOCNCSNT_____ OOOO ||</t>
        </is>
      </c>
      <c r="C187" s="15" t="inlineStr">
        <is>
          <t>NOTAS FISCAIS DE COMPRA JANEIRO 2026.pdf - p. 186</t>
        </is>
      </c>
    </row>
    <row r="188" ht="75" customHeight="1">
      <c r="A188" s="13" t="n">
        <v>187</v>
      </c>
      <c r="B188" s="15" t="inlineStr">
        <is>
          <t>RECEBEMOS DF PROL PIAU ROLAMENTOS LTDA \ NF-@
(OS PRODUTOS CONSTANTES DA NOTA FISCAL INDICADA AO LADO. ‘ (ND. 35738
noe CaS — SONTERIOE STA OREO
taextfengia do Enfants DANF-e
Prot PAAROLNTOS LTDA to Ee Shoe
. Mugsamotinc fassee-vve-verucui] "Fucus
prou TTERENA Pl [0 -ENTRADA Oe
eo |* - BAIDA. 2226 O107 4751 6300. 0170 S500 D000 0387 #612 2500 2361
Tene: 2212098 ne. s6r98 ‘Coneuita de wulerkicidade no portal nacional da NF-#
(Coot: scGnosmmartoa sm te sere a Asef ‘wen te fazende 50% bi/portal
TTA BE PERCIO ~ i
‘VENDA DE MERGADORIAS SLVEITA AO REGIME DE ST. - SUBSTITUIDO. Seon zacia020 08:98:63
TeoRTORRTTL Tae Ee OS NeT OTRS aa
rears Earn)
DESTMATAROREMETENTE
cna iy eae Tan BS
EROEREVO BARRODETRTO - Data a GTR
ROOOMIA BA 43 310854 on SAG RAMUNOO evreocs _| sani026
recto cae rors
wanens toa
TRA
Be oN ORD OEE TR TRE RRR Tae a ROT RATS TR A DRT
90 ono 000 200 20
ROR TAREE FREE BERIT STS RARE | ORES ECE
ier) ees 0
a a
0 RerneertF)
oi sas oT saaRE
om oa
DADO 00 PRODUTORERVIZOR
[Fae Pesemciccn rrr ee bee [ret oe [ve [vow [ome roe fm [aa [xe]
a. ey
Spo pe
Pho KA Pekce HH Such OF louoerm
chucsno po we
Pee aT Oe
ne Ss SOT FRETS ROT
— |
eneeieneaeae eer ra,
TRS GRECO SRE tGMcecLo sue cENCONN LIcENeL HET ie</t>
        </is>
      </c>
      <c r="C188" s="15" t="inlineStr">
        <is>
          <t>NOTAS FISCAIS DE COMPRA JANEIRO 2026.pdf - p. 187</t>
        </is>
      </c>
    </row>
    <row r="189" ht="75" customHeight="1">
      <c r="A189" s="13" t="n">
        <v>188</v>
      </c>
      <c r="B189" s="15" t="inlineStr">
        <is>
          <t>TaeRTINEAETO RO TINE DANFE
. pOCuMENTO
SAMPAIO MATERIAL DE CONSTRUCAQ | Alanna
EIRELE-SAMPAIO CONSTRUCOES | STARS
6a EE ee SEIKO [1] 2 Sata mir we psd oon Sh
fistrretty gut see nf. fade se began
HE .
Piven to te de Soa Aorta
ara EDTA SATE TTT TTT toa
msTnare
SKAL ENGENHARIA [ND E COMERCIO LTDA . 23.685.0apD081RG | N301.2126
JAVENIDA SAQ FRANCISCO - N 4000. EXTREMA 64O7H=150 | ORM ZUZG
TERESINA [Pe PN isaaeats
Goer, PRT RCT Te Tara ETAT
756.60 395.25 1.716,60}
“TS sRon- ORT TRORPORT Co ~ :
ONESMO. ce |
or ee teas mnrts.206
pos bo wae EBA
Lee IRV TW URPROTY AI SEES TELAT i i 2s Eee Toys
; ay zs ay eras SESE sD
[Tear tenn uae i i a i dd lil a
[Bas RTs ROT 177 ae 3] ar
Ged Bare J90H324005107
[5 [RUNTOR UG te OUROTUE srr SFO 7 Ta wip Re
Ci Barat SRSTHOOASES
FES —PBaCHA TORET TOR mL LTTEROCRGOW LORENZETIT ——]$STT005] NO] STE] ONT FJ UOEDOY FPR TAT TERT |SV3] TERT
ooo 38208 Ke Valorkg RE 4491
En Ragone SOASLASOANT
341 [INTPARALELO ROR CP SH 2297 FAME exsGS ON stages tT] FEES RP GR is eT
24 fare 2O960NTT2087 . a
TNTERH FSIOLES DIST SH FOOT FATE Kl a a Hele oF Ci
[Tat tee: eats a | dd Mill lad
aaa -F RET Aces PCS NET CROW FROG DECA Pa ae oS ed
Sod Bara: TASADOOD7ERS?
t ST TTENEIRA ACG INOX C/ PEDAL BRASIL 9 LI TRANONTIRA [TCS 9sb0, GTS Lf THT] ~~ 31 vounal SPT ave a
Soe ar 7ebsGnONS
rast T ORGAN DC ADDS EsPeAT TTA HRANCO DEDTRLOR sn ec a
Cod Bara MOOSHLOBSAS
COMPRAS
Do EMO IDE. Zp
ed ST ET ae
= 1
Vial Aprus din Trisuuns RS 629.09 (35,86 4%) Pome: IBPY Peis: 1507633 Otrervacin&gt; pene’
ROLETO COM VEXCIMIFNTO PARA DIA 120225 - CNO.DA ORRA SMAD=W0eR 79
AISCAG Sag atuauaMosnouiTo Arcs oun NAeatciuines | 1 RECEB RES |
PAGAMENTo DE SOLETO POR TRANSFERENCLA, DEFUSITO, PX Of! QUAL QUER z oC}
[OUTRO MEO, Neweitr: O64 - MEHSES (86) 99472-8144 Unsaro; DUDA e2 2. Zag fj
eaeca vc Pewnich ey ge. YN
‘san sauitnan VatoeYOtas icon RESTNaMiMG Aral “ScfMiemns NBT TOMPAGIOH aI ore sharasee CAEN Ae aaa] NF
ore BISNIS RTF STR BORE ne ait
ee sen</t>
        </is>
      </c>
      <c r="C189" s="15" t="inlineStr">
        <is>
          <t>NOTAS FISCAIS DE COMPRA JANEIRO 2026.pdf - p. 188</t>
        </is>
      </c>
    </row>
    <row r="190" ht="75" customHeight="1">
      <c r="A190" s="13" t="n">
        <v>189</v>
      </c>
      <c r="B190" s="15" t="inlineStr">
        <is>
          <t>nn
ee ee
DANFE
— Dovumento auxiliae
‘TERESINA MANGUEIRAS E PARAFUSOS LTDA | Eetrade: 0 ‘2226 (1157 9764 T7ON 0124 S508 1000 0037 6715 2841 9273.
‘Avenida industrial Gi] Mutrins, 1393 Letra B PL If =
“Tebaleta (86) 99987-9997 IN": 3767 wet nage potions Seat sche asada
Série: 1
Toresina PI 64.019-630
| VENDA DE MERCADORIA DENTRO DO ESTADO. 222.260002350645 29/01/2026 16:12:38
ne aiaiical
ESTINATARIOREMETENTE.
ISKAL ENGENHARIA INDUSTRIA E COMERCIO LTDA. 123.655.038/0002-89 29-01-2026,
lAVERIDA SAO FRANCISCO, 0 EXTREMA ea.o76-450 29-01-2026
aoe aa a eS
0,00] 0,00} 0,00] EO
0,00 0,00] 16,00] 9,00, 0,00]
vageoay wana na Taromianes —
i 52 Mn
nanonba fuanomatanan
|
~
Qromeus 2 (AMA WHOES
apes asicionuhs
esata —
mR powered by (Xd alterdata</t>
        </is>
      </c>
      <c r="C190" s="15" t="inlineStr">
        <is>
          <t>NOTAS FISCAIS DE COMPRA JANEIRO 2026.pdf - p. 189</t>
        </is>
      </c>
    </row>
    <row r="191" ht="75" customHeight="1">
      <c r="A191" s="13" t="n">
        <v>190</v>
      </c>
      <c r="B191" s="15" t="inlineStr">
        <is>
          <t>DERRRCACTORO DaTTOTT DANFE j 1 |
. DOCUMENTO AUXILIAR| H
CACIQUE PETROLEO LTDA DA NOTA FISCAL
lee ELETRONICA [73 106 6566 560845645509 200 000478160857 4364
\EMCIQUE Avenids Henry Wall de Carvatho, 10750- | 0. vreana oC Baas eres sé
nn Angin salon Consulta de autenticidade no portal nacional da NF-€
64034-2786 TERESINA -FI Ne 478
Fore SERIE2 sew fe fazenda gov bi/portal
FOLHA UI ‘ou no site da Sefax Antorizadora
RAROREER Br OPRAETO TAGTOCOLS De ATTERTEASTODETED
VENDA DE MERCADORIA 2 222260002651082 30/01/2026 14:39:22
 RSCRIgHO ESTADUAL DO EATENTE TRSTOEN ADA D0 aT TRAUT ‘ae
191537677 26.656.656,0045.64
SEgTHATANO ETT
Wont RazhO 0c Garo DaAFRDR TORO
SKAL ENGENHARIA INDUSTRIA E COMERCIOLTDA 23.655.038/0002-89 30/01/2026
ENBENECO ARN oraTTO rer Dara sae
IR SAO FRANCISCO GALPAO D, SN TANCREDO NEVES 64076-038_| 3001/2026
ance oR For TCGISESTAAL RADA saa ;
[TERESINA (@912107-4700 194446298 1439
iim pero
_ss555¢————&lt;—— aT -
ogee Caict.ap0ioe | wlan om BASEDECIGULODORNEST | VALOWDORBESUBSTHUEXO | VALOR TOTAL Dos PROOUTOS
0.00 000 0.00 0,00 35,00
Praca Dora Tae DO TRS Teo DORA EE MEESTER | ve TOTAL BOUT” [WALGETOTALDA NTA
0,00 0.00 0,00 0.90 000 35,00
‘THANGFONTAPOR/YOUUNES TRARSFORTADO?
owe rRacho soci RET FOR CONTA TOD ANTE — [RAGA DEVEICUD [OF [RITE
9 = Sem Ocorrencia
de wanspone
Se
a a
SADDER FRGOUTIS ST
[wo Jraumeraperanapasapas —_(ssraeeo [ooo [vos uw | vam [som [ase | a [ee Fo Le |
I Maury QRU93SS
cia.cubo po sor
nanos ABER
None eNGENUa DOESTAE COMERCIOLTDA
erases ex muuom Rone tenn
Fixca qeosaae soo
Dab euas MOT HeLEDA
rican MENISCAL HD De SOUSACARVALEKCY 671.976). aR81 9 En Fo
Briangecun cake 1
Fea prs Teceg wre na Ta Rae RE ROT
RECERENOSDECACIOQUEPETHOLED LTDA 08 PRODUTOX EDU SEINIODS CONSTINTES Da OTA HGCA. ELETRIRICA RENEADL SOLIDS ErmSTG SUOLzDI
Erion Tones SganDeornaAtOy seat RWOEOALA HOUSTON E COMERS DRL ADHERED GALEND Dyan PANCREDG NEVES TEMESING DT NFe
SRR DG REEEDERTET I ETHFERT NOE ASSO TOR DO OR N° 478</t>
        </is>
      </c>
      <c r="C191" s="15" t="inlineStr">
        <is>
          <t>NOTAS FISCAIS DE COMPRA JANEIRO 2026.pdf - p. 190</t>
        </is>
      </c>
    </row>
    <row r="192" ht="75" customHeight="1">
      <c r="A192" s="13" t="n">
        <v>191</v>
      </c>
      <c r="B192" s="15" t="inlineStr">
        <is>
          <t>[AT TAFT R RET ASA DAS NANGHIERAS€ FARAFUSTE, PREGUIUTOS SERVICOS CORRTANTER NA NOTA TIBCAU FLETRONICA Pen |
scan AL AIO“ DRSTINATARIO.SRALENGENIAWA INDUSTRIA E CONERCIOLTNA.-HODHR 40,3183 A -SAO RATMUNDO ~
Siu ort MORCAts 3 2aeh VALOR TOTAL RS 168.0
“UASS DAS MANGUEIRAS£ PARAFUSOS LEDA DANFE
Devons auxtiar
_, AV. MIGUEL ROSA. 6732 “ia Noa Fiteal
; Elerion
A’ PIOxn eae: C] REDE RCTS
3 4680 BIR S540 1000 6006 BBL 4694
be “Torsina Emersde: 2225 0109 2640 08 04691 S24
FL it te ida | a da NI
2 4 _ ‘Comal de autridate vo poral acon da WF
a (ie 3218-2654 4001-490 Nt: 80488 wow nfe.fazenda gov.br ou no site da Seftz Autorizadort
Série: 1
TROT RSLS BE ATHOREACHOTE TSO
XDA Di: MERCADORIA (DENTRO DO ESTADO) 2226000242091 1 30/01/2026 09:44:03
+e SUTSTSOURL RRSCRICAO ESTADUAL SG a
iat Ce __Ite2so1nooorss
0 SPUN MARI REMETENTE.
Nn di ENGENHARIA INDUSTRIA E COMERCIO LTDA. 123.655,038/0002-89. 30401-2026,
= BRRRODISTRATO 7 BATEMANS
ROUBR 343, 3185 A ISAO RAIMUNDO: 164.076-038 30-01-2026
U:RESINA 12106-4100 LConmibuinte [194446298
{suCuLa De turesto
LAE LO Beg ss PRLOR DOTERR FEDECALC DERUSSY—~TWALDR DOTNET PALOR TPAC EOS POO
77 i naar” ean lI)
aod a0 aod 000] oad 189.0
1MANGPORTADORNOLUMES TRANSPORTADOS
FURR FRETETORCONTA EONCOTAN FAC VHCUTD]
Prema ffl
+ os po PRODUTORSERN'
Pronativo
Anes smcroyars!
{SN THC OMPLEMENTARES TRESERVADO AO FCO
Stee “Bide G2 CevatenED w DOTEZALIS2. = Voce pagan apeanseadanonte +
powered by (59 alterdata</t>
        </is>
      </c>
      <c r="C192" s="15" t="inlineStr">
        <is>
          <t>NOTAS FISCAIS DE COMPRA JANEIRO 2026.pdf - p. 191</t>
        </is>
      </c>
    </row>
    <row r="193" ht="75" customHeight="1">
      <c r="A193" s="13" t="n">
        <v>192</v>
      </c>
      <c r="B193" s="15" t="inlineStr">
        <is>
          <t>NFE
amnanan eerecsree CILLIUTLUI U
DANOTA FISCAL
avcapasooreeoaenst ET prROntCa
CHV DE ACEO
ie sexd (EC
Ae mumsonrrad Ne 000.025.628 eave matt eel zat es
A FOLHA: _1de1
TATUREZA DA CPERAGKO TaOTOCOD DN AUTORUAGRO Dn DSO
VENDA DE MERCADORIA ADQUIRIDA OU RECEBIDA DE TERCE. ZTIIROGTITOSAS «30792006 07:48:53
"NocuenorsT aa RONDE DON Ue THEVA oer
Os e19001-74
DESTINATARIOREMETENTE
NATO TR, co para oreo
ISKAL ENGENHARIA INDUSTRIA E COMERCIO LTDA 23.655 .038/0002-89 130/01/2026
RET EARS DRTED TF paTaDesaaENTIADS|
ROD BR-343, 3185 SAO RAIMNDO 64076-4109 _ [30/01/2026
ane POREFAT Tasca AOESTADEAL —PORADES AN
R 2107-4700 194446298 [09:39:34
FATURA
CALCULO DO IMPOSTO
BASE CALAN ORE VaR DOT ARE De CATAL IOHST VALOR DOSS SORSTTORGNO | VALER TOTAL, DOS FROOCTOR
0,00 0,00 6,00 0.00 252,00
TRLERESTREAT™ [VALE DOSEGLNO | —DEICORTO [REA DSRNA ACERSRORS] VAUGR EGR | WHLSE ROR OOS TAURTTES | — VAR OTAT DANGTA
‘TRANSPORTADORIVOLUMES TRANSPORT ABOS
Peazkosortat [RRETERGR ORT | CODIGO ANTE facaDo vee PP [oma
9-Sem Fretq
ee |
pes ee ee
DABS BO PRODUTOSERVICO
Ee aed cd [ne wn ae fer
Dctclo ma MEcLTORECD na eres ee
ma [= emo | te | et_frwn Dae forans
Pos OM aN
cALCULO DO ISSdN
STR VEE EAL SR TAEDA TERETE
DADOSADICIONAIS
FORSAG CES COMTLERENTARTS TREAD ACO
RL DRELHO A CREDITS FLSA 2 (ORS, CE HE E RE 1P2. GOERS.</t>
        </is>
      </c>
      <c r="C193" s="15" t="inlineStr">
        <is>
          <t>NOTAS FISCAIS DE COMPRA JANEIRO 2026.pdf - p. 192</t>
        </is>
      </c>
    </row>
    <row r="194" ht="75" customHeight="1">
      <c r="A194" s="13" t="n">
        <v>193</v>
      </c>
      <c r="B194" s="15" t="inlineStr">
        <is>
          <t>TT TTT —————————————_——
ne oe NR |
- _— N*e00010235
SERIE 001
P oenne AAO 50 ETENTE, DANFE
FONTENELE PECAS LTDA OCLAMENTO AUNILIAR DA (I
A NOTA FISCAL ELETRONICA
OF TABULETA, Cursguoz- OE TERESINA. EER’ 1] ee
FL Ne 000010395 1.1 /L owaeeiiale so olin
“en
‘Venda de mercadoria, adquirida ou rec.de terceiros 2222600024697 12 30/01/2026 15:48:37
aes SS eran ar
191308 rsp sna ao
Gestiarino/scMETENTE
“SKAL ENG [rsessagpoamse | soma
SKAL ENGENHARIA INDUSTRIA E COMERCIO LTD 3517 —_ 23.65: .028/0002-B9
ERUSINA pom Tititees ——[isase
[DADOS DA FATURA. 10335 340,40 00 340,40
Fea A RA SS a SE TI)
1 3032036 £7 A BO
‘iverune wPOSTO a
0,00 0.00 0,00 0,00 0,00 BREE P erred
{ROGFORTAODR/YOWNES TRARSFORTADOG
Sour ET -
: Sa oT
aT aA aa EE 5 Ta —
1 | VOLUME 7
xpos po PRODUTO7 SERIO Te —
fae leemrncowmoneniet {souave ow [oamiow sacl —_tatol _raao] nonl aol cool — ovo! cool ano]
[sssne—[orwta rua cass [raves ot |esion | —-szo0d nol gaol Bool ago] eco] ool ont oe
lal =A Wi a | sd
Pam Auk.
vps anesonais
TNFORKIACOES COMP EIENTARES, ~ RESERVADO NO HSEO.
| PLACA:LWL-7997
NUMERO PCDIDO-57006
‘VENDEDOR: GUSTAVO / FATURISTA: LORENA VIANA
OBRIGADA PELA PREFERE</t>
        </is>
      </c>
      <c r="C194" s="15" t="inlineStr">
        <is>
          <t>NOTAS FISCAIS DE COMPRA JANEIRO 2026.pdf - p. 193</t>
        </is>
      </c>
    </row>
    <row r="195" ht="75" customHeight="1">
      <c r="A195" s="13" t="n">
        <v>194</v>
      </c>
      <c r="B195" s="15" t="inlineStr">
        <is>
          <t>[REESTEN ES BE TEREBINA MaNGUEIRAG E PARAFUSOS UTDA 08 PROUUTOUBERVICOS CONSTANTES WA NOTA FISCAT ELETRONTC
|INDICADA AO LADO - DESTINATARS). SKAL ENGENHARIA INDUSTRIA E COMERCIO LTDA.- AVENIDA SAO FRANCISCO, 0- EXTREMA -
emus“ -GAD Debs VALOR TOTAL-RESgpO
. - - DANFE
i Les ‘0 Nows Flcal
 gaees 1 IRVEBERERN
TERESINA MANGUEIRAS E PARAFUSOS LTDA Ewrsds: © 12226 0157 9764 7798 9124 5506 1006 037 HG 1247 6751
‘Avenida Induowial Gil Matrins 1393 Let B FL -
‘Tebutetn (26) 99987-9997 INT: 3768 ent ee co iran Seka Ashendon.
Sérte: 1
Teretna PL_64019.630
VENDA DE MERCADORIA DENTRO DO ESTADO. 222260002351018 29/01/2026 16:15:38
ERECHICRS EHTADT 5 BUT Tener cer
726180 eee veneer
DESTINATARIO/REMETENTE.
RUaTRALKO'SOCIL ca RRO EID
SKAL ENGENHARIA INDUSTRIA &amp; COMERCIO LTDA. 23.655,038/0002-89 29-01-2026
or ag SURFOBETHITO a RET ERTARDAATR
JAVENIDA SAO FRANCISCO, 0 [Eernemaegor.aso
fremesina eer [corre [rseetsos a
ALCULO Do IMPOSTO :
[BASE DE: LODE Ich ORDO RMS [BASE DE CALC. Da Ms aT OR DG IONE S:
cciaiailaiar aia” wiebiiaialahia’” maka s| 200
TRLORDO TERT FeALORDOSECING ——[BESCORTS SOAEBESP-AC ESCORTS VALOR DOO PALO TOTAL DA HOTT
a ac a car aA OI
“TRANSPORTADOR/VOLUMES TRANSPORTADOS Z
RADKO OCIA RETE FOR CONTA [CODD ANT VERULG UF Fenn
eee tee ne em
DADOSDO FRODUTORERVICO
we
“ReouS
DADOS ADICIONAIS
onda gerade m partir do Orcawanto . 0000012456. ~~ EADES RANCARIOS: RANCD 0
MIAtIL = aet_Leated-&lt; e/cs 201-001-0 ~— PAVORECTON; TEAUSINN MAMRIZTEAS 2 PAAAFUSOE
Tron. ener. p197be77000x2a00comaer9 BHr7I00 POR Re OD FPP OPTANTE FELO SIMPLES
Mictows- nko GBUA DINELZO h CREDITO FISCAL. De TPls = Voce pagow apronimadaaente +
Rg13, 60 do tributes dedevate RSLB,00 de titbutee eatodoais Fanta? TORT
= pownred by ('d atterdata</t>
        </is>
      </c>
      <c r="C195" s="15" t="inlineStr">
        <is>
          <t>NOTAS FISCAIS DE COMPRA JANEIRO 2026.pdf - p. 194</t>
        </is>
      </c>
    </row>
    <row r="196" ht="75" customHeight="1">
      <c r="A196" s="13" t="n">
        <v>195</v>
      </c>
      <c r="B196" s="15" t="inlineStr">
        <is>
          <t>-
. Korttficagto do Emaente’ DANFE
AmoruvescooncontAnacncucs | orem
(UA THEZE DE WAKO Leadinmhenenel
Tovnenen soma) e-ormon | owe
‘TERCERA. asain — [7] | zzzsoras 355s a4o0 0201 5500 1000 0008 4113 2671 0868
momar eon SS son m prutmoererornes
oho on Se aweretan
aoewens
TESTA our ov ecemmn oe Tenconos, ova Teens ea ew
alan ineiiaiaceainaaiiontiit
SS eRe
Tr DEA nCUTRAE GEREN fr
Rone [eran [eco | sonia
Rive wo muncec0,.omo-0e veawemanm [bere SSreaee_|saciaas
[me [etsior [toate
Siew = ay
Ta RTS
rs a ee eee
eee,
a om ome on mm
EE | go | eo | aa |
oe = Sm i om ow vam
eae ane ro
Fein
iia ee
: cued ows
aaa
[Formenfesmctenomeor fro] wa [oon] [ anu: [namin] vr cco cai oevae[ oon] vr Feel
{&gt;
cacao
maT ERSTE
= = aoa, conpenro emeoronve
GUEPR TANT PELS eekEE MNOONnL WO DERN OMENS MCHEDTO PICA Be
eon Paula
Almoxarifado
\ ofr O87 26
Sa RES
ne
SaROSTESaRETS | SSNTHENG€-SaTUDOREGDOR
aL cromeuea reine cenenGO TO</t>
        </is>
      </c>
      <c r="C196" s="15" t="inlineStr">
        <is>
          <t>NOTAS FISCAIS DE COMPRA JANEIRO 2026.pdf - p. 195</t>
        </is>
      </c>
    </row>
    <row r="197" ht="75" customHeight="1">
      <c r="A197" s="13" t="n">
        <v>196</v>
      </c>
      <c r="B197" s="15" t="inlineStr">
        <is>
          <t>re
isnesor Sens ENGEOHURIA HOASTRIKE COMERGIOLT- AVENEDN EAOFRARCIO, OOOD-TATNDWA- TERESINA
re got vr fa Ra sha
a ie
DANFE
‘TEM TUDO COMERCIAL DE MAT DE | 40a cnusiave
‘CONST EIREL Lolpembeesamad
ee" (0) enw
von DOUTOR JOK0 SRYAFLNO. 85-4
PARMAIQA -PL- CEP: 64200-108 (N° 000,036,789 | 2225 1227 5913 6000 0161 5500 1000 0367 8910 0036 7901
Fore qnreaa 714 Série 001 Cerna de acer bdaiens wood a :
Folba 1/1 sear or tipo 0 a SEPA Ratna
‘VENDA DE MERCADORIA ADQUIRIDA OU RECEBIDA DE TARCE 227250000217805 117122025 16:40:11 |
[women Pte sntn
DESTATARIO / REWETENTE_ —_
SKAL INGENHARIA INDUSTRIA E COMERCIO LT 23.655.0380002-09 wtzanns
AVINIDA SAO FRANCISCO, 40000, HOTREMA sands nazanes
CUPEERTAS
Fimor a
peeiany rows
basis 1200
cdione epost . ran ————— ae
ar ar a ii) vasa
TRANSPORTADOR  VOLUUES TRANSPORTADES ~ :
ee rear PT
‘DADOS 00S PRODUTOS /SERVICO _ ~ ~—
[mem metomncvrmes Om [oe fee] cm [ce |e [RS eres
conan mom i li lh Pd i
cay 0 DO ISSOH : = a =
DADE DELONAS
en oem ome EO Fn WE sb
ere Beh OE Then K
ora ceontonwonenio vrs aca revving amnon on Ae clr ot</t>
        </is>
      </c>
      <c r="C197" s="15" t="inlineStr">
        <is>
          <t>NOTAS FISCAIS DE COMPRA JANEIRO 2026.pdf - p. 196</t>
        </is>
      </c>
    </row>
    <row r="198" ht="75" customHeight="1">
      <c r="A198" s="13" t="n">
        <v>197</v>
      </c>
      <c r="B198" s="15" t="inlineStr">
        <is>
          <t>ET ee
. SENDAS OCTETS AUKELEAR
. DISTRIBUIDORA 8/A | “ca nora Fiscal
? ™~ “yg134 LETRLTCA
ane 226 0106 0572 2903 4798 5830 o0V0 2050 1014 9532 9152
Bua sactnTe, nurzyo waceo, [0 &gt; ENTRADA {1}
at 1006 1 = SADA
FONE 196), 3194-1250 ~ cee : meen eiehss
4073-089 FOLHA 1 / 2
222260000397029 07/01/2026 1708:50
[osszeqss” PE PET IE Jot. s.223 0082-38
SesTDmeaRTo ARETE — —
SKAL ENGENWARTA INDUSTRIA E CON. LTDA 23.655.032/0002-a9 [ororoze _|
RUA SAO FRANCISCO, 4000 TANCREDO NEVES 4976-038 Jo7/01/2026_
Tohaacisé
Cd
ae er ) ) 2723
eh a ca (ce srs CEP
34 29,070 27,740)
fs fe Ee ee Pe)
4.00
SOS OTT
ty
NK</t>
        </is>
      </c>
      <c r="C198" s="15" t="inlineStr">
        <is>
          <t>NOTAS FISCAIS DE COMPRA JANEIRO 2026.pdf - p. 197</t>
        </is>
      </c>
    </row>
    <row r="199" ht="75" customHeight="1">
      <c r="A199" s="13" t="n">
        <v>198</v>
      </c>
      <c r="B199" s="15" t="inlineStr">
        <is>
          <t>—
~ r
i a
ef ‘
o H . z
t -
: POCRARNTO AUKTLIAR
DISTRIBUIDORA S/A |" ca wora riacan
mete mar 34 ‘mu EROATCA
“os CHAE FE PEERS
‘gs leaze o1ne esta 220 4296 5590 cov0 2030 10nd, 9202 v1s2|
RUA JACINTO AUEINO MACEDO, |O ~ ENYRADA, (J t
ae 1000 2 - SAIDA y
RYAchaisr SAO PAINOWDO  TERESTHA = f° 000.203.010 | COOeIs Zo ttea genuneipced oo a tate Ge So
ae SERIE: 300 ee Sata AS ° ~
FONE (86) 5194-1250 ~ CEP ¥
i 5475-080 rorua 2 / 2 —_ :
SRET TE TRIE 7
Vena “A Chvenrs, : 222260000397029 07/01/2026 17:04:50
perry &lt;a FATE TS Baa TERT oo :
295929433, 06 .057.223/0342-38 a
"Boge 09 Expo S/S z EB a
(Parc fpeen trmimaene [oem [oa] oo OY [ET oe oem ET PE [oe OE PE
= Fi OETA aria for EEE | TAY | EY et) SEER
coe Ses AR Coo Co cs Ks a Wc Wc
perma” * beets daa Chika POL EETTLaNE”""""[SaS5si80 Jade Baeapal | "sso00| "SE on re aus een)
a farts ke a occ al ce al Cs er Ma ME CZ
i
a . H
}
Ke
Ul
fs :
, :
+
&amp;</t>
        </is>
      </c>
      <c r="C199" s="15" t="inlineStr">
        <is>
          <t>NOTAS FISCAIS DE COMPRA JANEIRO 2026.pdf - p. 198</t>
        </is>
      </c>
    </row>
    <row r="200" ht="75" customHeight="1">
      <c r="A200" s="13" t="n">
        <v>199</v>
      </c>
      <c r="B200" s="15" t="inlineStr">
        <is>
          <t>Prefeltura Municipal de Teresina —
Secretaria Municipal de Finangas oes
Nota Fiscal de Servigos Eletronica pues
NFSe - Prestador tanwpges
Neen eee ne EEE ts 4
DADOS DA NFSe ‘vase es par ae cen Se
Balas hora deemtetto — Gompatincis ear J ee Sica acta te eta ee
OR012026 18:32:37 osizaz8 au ve
wovaoas esesse ovgeee
EMITENTE PRESTADOR DO SERVIGO
Cres Cws INE Inceigo unl! Toone
S944 21700083 eninse (coset
orm Brpcusait coo
UGIRCEL TE MOURA GOMES LTDA Soumtuquerneztzs@aMat.cou
enderes Wunteiplo ow
SSS cevenno eran Tenens. bomen
me
TOMADOR DO SERVIGO
cor roast sre Munk atone
Shee oun se waste t
tame Nore Eero Ena
[HAL ENGENWAR RUSTRIAE COMERCIOLTOA :
Endewrs teineige ce
SFR Bosco acne exmewa TERESA 1 ORASH. teresa
Aicornamac0
eNAE /c60
200-0072 -CASA DE FESTASE EVENTOS
servo
Sack EXPLORACAO DE SALOES DE FESTAS, CENTRO DE CONVENCOES, ESCRITORIOS VIRTUNS. STANDS, QUADRAS ESPORTIVAS,ESTADIOS, GNASIOS,
Local de preincto do acco Pas dn prestagho do nario
seReamay erst
DESCRIGAO DO SERVIGO PRESTADO
rearepio oe savigot BE DEPEARE DE OBER OUETE
Sixx MUNICIPAL
igbthede do BOON Muri da lotdtacla do 82808 Responaive pote venient do IN
cape Tencana- PRESTADOR 00 SERVIGO
futengto doI880N —_huagbo do oresiner do serge perme BplesNaclonal Rego sepecie dying do BSH
MoneTioe MRO grrANTE :
TALCULO DO ISSN
‘Valor total cha MPS (FCS) ‘Total dus dedugies (R3) Deer. intorliciortade (FS} Base cia cliculo do ISSQN{RS) Adi. (%) Valor do KISON (AS)
200.00 300 00 200000 0000 300
RETENGOES
18900 (RS), IRRF ARS) PIS {RS) COINS (RS) INSS (RS) ‘COLL RS) ‘Sutras reterpdes (RS)
20 a 260 Be0 0 00 0
VALOR TOTAL =
Dace ie liu dotBSQN (RS) Retangae(Rt) Deso. ncncklonedo (Rt) Deer. condelonado i) valor ute on foo
3000.00 By Soe ‘00 At
INFORMAGOES COMPLEMENTARES
iL
foil?</t>
        </is>
      </c>
      <c r="C200" s="15" t="inlineStr">
        <is>
          <t>NOTAS FISCAIS DE COMPRA JANEIRO 2026.pdf - p. 199</t>
        </is>
      </c>
    </row>
    <row r="201" ht="75" customHeight="1">
      <c r="A201" s="13" t="n">
        <v>200</v>
      </c>
      <c r="B201" s="15" t="inlineStr">
        <is>
          <t>DANFSe vio PREFEITURA MUNICIPAL OE
NFSe Pete Documento Aunitar da NFS-3 CARAS.
(a ce Acwees da FS-@ ese
$foso0022079826850001e40000000000008260105 16238501 isi
ameroda NFO Comotiaca da S- eta «Hota da enlnto da eS-0 cpacie
3 owo712028 (08/04/2028 20:08:20 ees
Ndmero da DPS ‘Sére de DPS Data » Hora du emisstio da DPS: inte
Ey 500 out 20g8 200820 sna tn vinta
peepeemret ct reeeter
Bhan emoropmamieetees
“SRTENTE DA Fs are rg pat ri
‘Preatador Go Servigo 07.352.6850001-24 31888 .
ee Nore Enroee! poets
SUVENGIO REPAESENTACOES LIMTADA :
a Murkilo op
RODRIGO OTAVIO, 350, TREZIDELA Caniae= MA 5000-060
imgion We.nel a0 Ola do Compan Regie de apres Teo pata SH
{Splante= Mroemoreea ou Empresa de Pequeno Porte (MEMEPP) opie de epurario de tbs federeie« rmurkipal polo Spl Naclonat
raison 0 SERVIDD MIO IDENTFIGAO NA NFS
THTERMEDIARIO UO SER DENTIFIGADO WA NFS
SERVIGD FRERTADO
odio de Tota Macon (tciga de THbagho Marcel Lect Preagho Paiste Froese
StL0e.01-apresertagio de : Cane MA :
qualquer nanrez, ncive
Sere.
ages sscige
SOBRE VENDAS REFERENTE AO MES DE DEZEMBRO DE 2025,
TF MUNICIPAL
‘Tettote do 10904 Peds Reeutedo da Prete de Serizo Munkiolodecatecls do 1880N ‘Regine Expech da TrRvtagto
Gpocagto entire : Savtas- MA Neri
Tye de ranted Sinema ebm coEBON Konto Pew acute Benefits nel
Vater do Sevgo Decor ncrddonads Tord Decuctooatuten bla do OM
Re iesease : : :
ecieaay ‘iqota Aponte Jodo i980 (90N punto
: : Noo rete :
TRIBUTAGRO FEDERAL
anne o oon
rs comme Rete do PICOFINS TOTAL TRIGUTAGKO FEDERAL
VALOR TOTAL OA NFSE a — i a—mam807
‘aorde santee escort Conlonade Devcon cetera (SON Fedo
RS 15,662,939 RS RS 7
IRRF, OP CSU. - Ratios: PISICOFING Retdos: ‘Valor Liquide da NF Bs
R$0,00 : RS 15.462,53
"TOTAIS APRORIMADOS DOS TRIBUTOS
r } Fedora etocuats Municioah
RFRA GOES COMPLEMERTARES
ps: 102010000
o pages (20</t>
        </is>
      </c>
      <c r="C201" s="15" t="inlineStr">
        <is>
          <t>NOTAS FISCAIS DE COMPRA JANEIRO 2026.pdf - p. 200</t>
        </is>
      </c>
    </row>
    <row r="202" ht="75" customHeight="1">
      <c r="A202" s="13" t="n">
        <v>201</v>
      </c>
      <c r="B202" s="15" t="inlineStr">
        <is>
          <t>“getr MUNICIPIO DE TERESINA-PI
weotatsea te OANFSe v1.0 SEceTana canara DETMACAS-
= Swrciee, aang Documento Auxiiar da NFS-o Rls. HOTAFISCALELETRONSCA SEM PMI PILGOY
ee a a RETA CRESTRON WEP HCO
‘Gov on pommna a Neo-0 er
Fi rognzzeeososze000 400000000000003280143402B1691 pee
Homer de NFS-« Compattncte oe M-, (Dats Hore de amisato do NFE-© Perret
Ey denvanne Bo vanne 185030 te
dmaro 44 DPS ‘Sicla da OPS. Dets » Horn de emienho da DPS. Bera
5 ooo borpiranze 19908 ‘A ett na Wa cnt
peer et era
eiNanetne encom se
“ENTENTE DA ESS ST Tre Ti
Prestador do Servign (84.060.822/00-40 - (88) 9952-4621
Nowe 1 Naan Emprcaria ema
f'oe0 522 MICHELA MEDEIROS FRANCO MICHELAMEDEIROBZ3€2GMAILCOM
Endorse Marie cep
DIRCE VASCONCELOS, 3791, VALE QUEM TEM “Teresina -PI 1087-078
‘Stepin Naionl ca Date do Cometh Fogle da Azunghe Titi po SH
Gplate-Nicroernproontecr dhl (MEI) iy
-FOWREOR DO SERVIGO GRRE ig pa 8 89
(23,855.030K2-89 7 .
tieme Nome Empresas eet
SRAL ENGENHARIA INDUSTRIA E COMERCIOLTDA, :
endergo shnictie or
FRANCISCO, 40000, EXTREMA Teresi Pt 076-460
cs FID DO BERVEU NAD IDENTFICADO NA IES
BTADO
igo de ead Nacional aig oe Tuan Mong! cate Prasagto Paco Prenat
(08.02.01 - Instruco, reinamenta, O42 - 859660400 ‘Teresina - Pl +
trlentacto peaagégics © edueacon..
Desai de Gore
ras ne do Goreme 2025
ae
Tengo do 1890 Pete Rewee da PrestactodoServgo Mork ncoancia 0 LGN —_—RahraEepctl Je Tbutaco
Sperocto Tiouneved : Fereara =P Nonum
‘Too oe munidede Spano ange 8008 am reno apr Dale Menken
‘eer do Borgo ‘Desoto eendeonade Tats Decugbooadinéne cata ao he
rsa noose : ; :
Bo resent ‘ect Apo Ratan do1S90N 10 apurae
? ; to Reto :
“TRIGUTAGAO FEDERAL —
rer o cau
Pe cone Asano de PIICOFINS TOTAL THIBUTAGKO FEDERAL
_———$___
oo Sov eects Condionado Devcon meondlonede (9608 Reve
R$ 4.800,00 RS RS .
IRAE. CP.CaLL- Ratios PI00F He Retine ‘Vatr iqudo on er o-@
RS.0.00 . RS 4.300,00
TOTAIS APROXIMADOS DOS TRIBI ~
Fedeae Sencuaia stertipoe
TFORMAGOES COMPLEMENT
Bhe- 200 ,OS
300.92
ew ) C00 2
OS adj</t>
        </is>
      </c>
      <c r="C202" s="15" t="inlineStr">
        <is>
          <t>NOTAS FISCAIS DE COMPRA JANEIRO 2026.pdf - p. 201</t>
        </is>
      </c>
    </row>
    <row r="203" ht="75" customHeight="1">
      <c r="A203" s="13" t="n">
        <v>202</v>
      </c>
      <c r="B203" s="15" t="inlineStr">
        <is>
          <t>{DERTINCAEIO BO BATIRAT DANFE
OCEMERTO
ISAMPAIO MATERIAL DE CONSTRUCAO | avaLianna
EIRELI-SAMPAIO CONSTRUCOES | XUTAR
AXENIDA MONSERHOR ANTONIO SAMBAEOSIS-DIRCEU | grap
ARCO VERDE ‘ENTRADA
saaine Conwlta Je alent dase we poral sional da NE-e
(1211-145 PARNAIBA -F1
‘ous 282207253 aes, wenn. fuzenda cov brfousta}
RIE .
Pectin oun ate du Sefaz Avtrizadors
ata RTA WOT WT
RAT ADT AT RAAT TTT TT it
sexrmaniw ;
ISKAL ENGENHARIA INDE COMERCIO LTDA 23.655 .036/0002-#9
JAVENIDA SAO FRANCISCO - N 4000 EXTREMA 63)7%4-150| 2001/2026
TERESINA, 71 an ee
‘chazxenporanate =
(esr 9 ——— aes ———— rena STH Raa ae i i lial TRE
Pets [votowes eso oo |
spor oo men aEagoe FI
ia lil A
ill el i al i il il ad ad
sa Beene HORE DENTS
Cea ara: 2ADOASL EASES
OLE_| DESENGRIP PRAY ANTE SPTSTINE MUNDIAL PRIEST [OLAS PON] Tp TaD] Ten aa] CISPR ea
SUT _PRIVA CREPE 722 IND BMNIXSIM ADELDAA baie ia eB Sat) Feet Tap sep RY
oo tanee O6COSEONE SH oie oe
aN J eRNCTODE Roe AS AO CRON ROTO CT Br ere ct Ec a
[ca Bares 00730180 " biel ini iad hal eid
BV] RCT RS CS PC CROM FODULOE DETR TARP ETRE ARAL RTA SBP TAY” Hl
ah tas: aa eo kaa
Sao CET PERT OTT
Ya Aprox de Trbeton RS 589.35 14422) Foti: TT Paks: 1323588 Ubon: PAG
ROLETO.C” VENC 2002 - CHO 9.02505888"73 ATENICAO. * NAD ATUALZAMOS.
[BOL10 APOSO VERMINIENTO "NAG RECEBEMCS PAGAMENIO DE Bots IO eUR
FTRARSFERENCLA, DEPISITO, PX OU QUALQUER OUTRO MER) Venta Ost ~
SES 01 99475-S508 Uhura: DUDA Prodan Sona 143.9
P/ecgcio oe Paenman F
Rima gore Cuaron laa BRA war our ato DomatiorANe NDT INR MTC cwand NRE
Preis w125</t>
        </is>
      </c>
      <c r="C203" s="15" t="inlineStr">
        <is>
          <t>NOTAS FISCAIS DE COMPRA JANEIRO 2026.pdf - p. 202</t>
        </is>
      </c>
    </row>
    <row r="204" ht="75" customHeight="1">
      <c r="A204" s="13" t="n">
        <v>203</v>
      </c>
      <c r="B204" s="15" t="inlineStr">
        <is>
          <t>TETAS SO TENT DANFE
. OCEMENTO
cwraomarenarneconsonocno| ce | MADINA
RIRELI - SAMPAIO CONSTRUCOES Bicidiceos
san PaeAtBA =P sale Convaltsdesatneidede ev poral races N=
es 22-7288 Hat sn. faze eelpat
simes .
ame. ou n ites Sofa Autorizodora
STTRTTTTRONTIT TENT RR TAT
or ATTRA TRS TERT Ra
SICAL ENCENUARIA IND E COMERCTO LTDA 7.685,038/0002-49
sans TAEETORR G arias
JAVENIDA SAG ERANCISCO- N 4000 EXTREMA cin76.150| 2010/2026
TERESINA ee as eae
pon pram RTT TET Ta aT RET
aa
a rar pore — Pe Cra a RTE
li Wi &lt;M ‘aso
‘TRA pom voENE TRRPORTADTE
area CRT SORT RA 7
owen a ee
penis [otis ee a
bos ba RETR aeNvigOR
Teint ACTER TT TA FR et Kr BC
[er ee rec Pes Ta (el
St [TOM IOT BET TN FTE rary OS ¥73 oy
(Simmer epepe i Medi
TK ROANAM PRE 124 B CASPER CHS BETA Tsp 0 isi ll il ad a
are: 7004200139038,
SraPSTOM aPT 0A SHES FANT IGT 755] Wa Taps] as
an Beta lil Kl lhl Li Rl id ai
FAT SIE TOM ZT 0A SH HOTPANTE SRAATOF HH TID] UR] 3] 2 Ta] |S] TE
{Gi Bara: 1960972000 ” .
[re seers CSF | wa TAP OR in ST ESh
0. Barer H9SONTNBIIT i
F767 Peat &amp; 28d CSUIPORYE COUR ST TENGEN oC LES a a od
5d ee: 996099736585 oa hi ae
TR] FLACACEGA 3X REDONDA FOR G}7 SB FAME Foes ita] 103] ON Tas] EP 36H] SP ae
i, ras. TesgoswTen779 _. ‘
jzo17_ | TORIADA PAD 3P+¥ lon CF BH FIVFARIE 8260910} Goo] ston] soo] 68)] asi]0s] ats
Cap Pars: AON NDDS
Preorcs
een TEE TATE
St Apres den nos RS 105,72 (928096) Fane IBPT Ped 13: 7059 Ctnerican PAG
JBOLETO C! VEC 2302 -CNO DA OBRA. 9D 2509873 ATENCAO:* NAO
STUALUAMOS HOLITO APOSO VENCIMENTD °AD RECHBIESRS FAUASAENIO Ut
DOLETO POR TRANSFERENCIA, DEPOSIT, PX OU QUALOUER OUTRO MIRO
exter: Oot MOISES (6) 9873S Deu: TUDA,
P/pearca oe Phew gy
TST PORES TTT RTA 81935</t>
        </is>
      </c>
      <c r="C204" s="15" t="inlineStr">
        <is>
          <t>NOTAS FISCAIS DE COMPRA JANEIRO 2026.pdf - p. 203</t>
        </is>
      </c>
    </row>
    <row r="205" ht="75" customHeight="1">
      <c r="A205" s="13" t="n">
        <v>204</v>
      </c>
      <c r="B205" s="15" t="inlineStr"/>
      <c r="C205" s="15" t="inlineStr">
        <is>
          <t>NOTAS FISCAIS DE COMPRA JANEIRO 2026.pdf - p. 204</t>
        </is>
      </c>
    </row>
    <row r="206" ht="75" customHeight="1">
      <c r="A206" s="13" t="n">
        <v>205</v>
      </c>
      <c r="B206" s="15" t="inlineStr">
        <is>
          <t>Profettura Municipal de Teresina
i Secretaria Municipal de Finangas:
s Nota Fiecal de Servigas Eletrénica
NFSe - Prestador
DADOS DA NFSe
Detownaradeenitsto Compettacla Nimo Site
Toowmescewea? Wis zu
EMITENTE PRESTADOR DO SERVICO
CPF ICH) aE trscrgdo Mink Teter
Sh220- 1200-20 carats (oojooer se
Noa / Nowa Enprenl eel
Branvocuos :
Endre sate cep
Busan neasonzamsaLaon nanan TORESINA FLORAL. cearsz25
TOMADOR DO SERVIGO
cresenparne Inwcrpfo Mist Telfone
Specomsenonaes etre ,
Woman roams Ena
ENFANT INDUSTRIA E COMERGRO LTDA. ‘compra allscom
Ena beanie cep
ErENDR Sho rNcRCO mom SAND EXTREMA Fences i aRAGL Srares80
SERVIGO PRESTADO
oaz/cm0
4820-087. - BERVIGOS DE INSTALAGAO, MANUTENGAO E REPARAGAD DE ACEGEORIOS PARA VEICULOS ALTOMOTORES
Sorvtes
14.01 “LUBRIFICACAO, LIMPRZA, LLBTRACAO, REVIBAD, CARGA 8 REGARGA, CONSERTO, RESTAUMACAO, BLINDAGEW, NANUTENGAO E CONSERVAGAD DE
Local a pmatnelo do xervigo Paia du preetagbe do sacvign
TERESINA/PL BRASIL,
DESCRIGAO DO SERVIGO PRESTADO
sremiico - Revie sosoene
8
‘DOCMENTO ERETIOD POR WE OU EPP OF TANTS PELGGIMPLER WACIONAL
TRIBUTACAO MUNICIPAL
xlaldeece de FESON Mvetelpto da Iscksdncin do 190 Responsive! pelo recothicianto-do ISSGN
Egil , ‘TEAESINA-PI PRESTADOR DO SERVICO,
Flengio do ISSN ‘sttusple do prostaddor do sorvign pari © Blnapies Nactomst ‘Regio arpaslal de tloutegsio do (SB0N
KO RETO. OPTANTE, Sirpea Nectonal
CALCULO DO ISSQN
Yeortolataanese(fay — Tobt dead
1goee {R} Doan. Inoondiclonate (As) Mase de ekiculodotS8QN (RS) Alig. (%) Valor do ISEON (HS)
7090 900 00 yop
RETENGOES:
oan TAD IRR es can Cons (5) ees (9) css) ‘Outra rtong Se 5)
20 990 8.00 00 8.00 ‘a0 9.00
VALOR TOTAL
‘Gane dn edfenio do 650 (Fg) Retengees (RS) occ. Incondiclonado (RS) Doc. condic(onndo 5) ‘Vale Liquid de NFSe (5)
300 090 800 75,00
Fa ORAAGUES COMPLEMENTARES
9] xuay empoeet BMWIS33 a
»
&lt;\</t>
        </is>
      </c>
      <c r="C206" s="15" t="inlineStr">
        <is>
          <t>NOTAS FISCAIS DE COMPRA JANEIRO 2026.pdf - p. 205</t>
        </is>
      </c>
    </row>
    <row r="207" ht="75" customHeight="1">
      <c r="A207" s="13" t="n">
        <v>206</v>
      </c>
      <c r="B207" s="15" t="inlineStr"/>
      <c r="C207" s="15" t="inlineStr">
        <is>
          <t>NOTAS FISCAIS DE COMPRA JANEIRO 2026.pdf - p. 206</t>
        </is>
      </c>
    </row>
    <row r="208" ht="75" customHeight="1">
      <c r="A208" s="13" t="n">
        <v>207</v>
      </c>
      <c r="B208" s="15" t="inlineStr">
        <is>
          <t>Coen an evrereg, eee: | AMMA AN AAT A
. 7 Now Fisal Elentnica
RUA MAJOR LUIZ DE CASTRO, 2471- | 0-ENTRADA lerene ceo
a9 LOURIVAL PARENTE - TERESINA -Pl- | ] -SAIDA 2226 133 4442 0000 0192 5500 2000 0234 3418 4772 4783
~® iE on Raat 1N7 000,023,434
= Fone: (369999: cidade a
prance aR ARTO OED
jsaRtoeTaRER ETS EARL PORTE TRTTIND aoner
eee Feo
‘DADOS DOS PRODUTOS/SERVICOS —_
enorme [vs [or [rene] om |i Jt] ct [tire er [Se sar
ean all al lS i i
= aes eee pepe eee eee eee
| eon —"eresopa cram rear aurea cfu |sen [om] ~ sma] spo] 5s] Tosa] toes ave] ae] aa
| woive —frobo east romtescwrounin och _c——__ [rere oo [5a [uNo|_~ amo] 2459] Ero] 3409] — .o| Ta] — am] opel]
‘OATAE DORADA BORESSAG GT anBOORO HE “GoOeR PRO - dom Save ae</t>
        </is>
      </c>
      <c r="C208" s="15" t="inlineStr">
        <is>
          <t>NOTAS FISCAIS DE COMPRA JANEIRO 2026.pdf - p. 207</t>
        </is>
      </c>
    </row>
    <row r="209" ht="75" customHeight="1">
      <c r="A209" s="13" t="n">
        <v>208</v>
      </c>
      <c r="B209" s="15" t="inlineStr">
        <is>
          <t>SRS TREES
'SRAEL ARAUSO GALVAO MARMORARIA DANFE [eaancnpo sce
tm um mocperenueuinn
srpree cme" AVENTDA DEZENOVE DE OUTUBRO, 2555, A, pen
ANAL TO DE MONTESERRA THE lies
PARNAIBA -FI-CEP6ADI-373, oma 0]
euan-consrauManmorseouTiook.com | wpe Cons anrnce pra nnamt ies
nici BEE erections econ een
oe a
Venda de produc do etbeesineto 222600 12/0/2026 17:22:56
DstBUTAMORENETENTE
HFHLUKA D6 PARNAIDA 23ass.ure0ar2 9
I NENIDA SA0 FRANCISCO, 4000, GALPOD FANCREDO NEVES Taatzoe8
a Sante Tae
clucuoponrosto
Tota: 1121.95 37,8496) | Trios Federis: 454,83 (15,349) | Teibutos Estaduais: 667,12 (2,508) | Tsibutos Musiypuis: 0.00 (0.0084) | Chave: 1€2537|
"unseoaranonavvouns TeassronT anos
oT a ET a
a vee
le
ppp: no monromranico
aS &gt; CT ED MD OD TD TS DT
pnosacroas
IBANCADA COMBASES DUPLAS- PRETO SAO GABRIEL eens
Panes ott
Pi #/ recto € oCwRT. Obed: disra MAL.
Raves
coe
ane! ote
[</t>
        </is>
      </c>
      <c r="C209" s="15" t="inlineStr">
        <is>
          <t>NOTAS FISCAIS DE COMPRA JANEIRO 2026.pdf - p. 208</t>
        </is>
      </c>
    </row>
    <row r="210" ht="75" customHeight="1">
      <c r="A210" s="13" t="n">
        <v>209</v>
      </c>
      <c r="B210" s="15" t="inlineStr"/>
      <c r="C210" s="15" t="inlineStr">
        <is>
          <t>NOTAS FISCAIS DE COMPRA JANEIRO 2026.pdf - p. 209</t>
        </is>
      </c>
    </row>
    <row r="211" ht="75" customHeight="1">
      <c r="A211" s="13" t="n">
        <v>210</v>
      </c>
      <c r="B211" s="15" t="inlineStr">
        <is>
          <t>nin HUA AC
nr 000,025,454
t 1
Aided
FOuHA;
394591754
DESTINATARIOMREMETENTE
reneRaTI Soe og
SKAL ENGENHARIA INDUSTRIA E COMERCIO LTDA. 23,655,038/0002-89 [08/01/2026
[ENDER SADRODETRTO
Hggpee os. os [SAO RAIMNDO
coy ior
[TERESINA 2107-4700 Py
FATURA
CALCULO DO TIPOSTO
fasten cae [Vana fase asi” | Varo bOnne SURRTTORCID | VALGR CGE bo OTTO
0,00 0,00 0,00 0,00 220,00
aaa SERS] VALE DO | VALOR TESTES | VALDE TOTAL DATOT
0,00 0,00 0,00. 0,00 0,00 88,64 220,00
TRFORTADS
ak SOC. RTEPOR CTA | CHOWG TT iacADO WES [uF [oma
9-Sem Frete]
ERDEREGO. = peoricireo Pur [ENSCRUGAGESTADUAL
TET as ee NARS = PESTS
DADOSDO PROBUTOSERVIGO
Se] cmatororunerntewre | 1S sondene|wm | coe | em. | ST ‘trees aoam | ae [oun woe
5 ccanareTeNSorDOO ames nator | tae | Ta CT CC on
e Proquad — Comp temo BE PAtACULO
ofeecwss
SCAT TART TED EET
ISENTO | 0,00 0,00 9,00
TADOSADICIONATS
‘DEONIIAVOE COMPEDENTATES
io can CINEtGO A CREDEND FISCKE CE Lom, 08 88 E OC TET. 261272.
cca gag apemcnnte (0,798 ce Sngnston, aden
Rb 25,10 (3,794) an Srtbaten Faderoin) As 4i,d0" (22,504) trinctoa aacadustes RB 191,96 pelow peoamtoa/eorvice
Paoto: BET 28.2.6 46MUAN6) ~ te 32.740/2012.</t>
        </is>
      </c>
      <c r="C211" s="15" t="inlineStr">
        <is>
          <t>NOTAS FISCAIS DE COMPRA JANEIRO 2026.pdf - p. 210</t>
        </is>
      </c>
    </row>
    <row r="212" ht="75" customHeight="1">
      <c r="A212" s="13" t="n">
        <v>211</v>
      </c>
      <c r="B212" s="15" t="inlineStr"/>
      <c r="C212" s="15" t="inlineStr">
        <is>
          <t>NOTAS FISCAIS DE COMPRA JANEIRO 2026.pdf - p. 211</t>
        </is>
      </c>
    </row>
    <row r="213" ht="75" customHeight="1">
      <c r="A213" s="13" t="n">
        <v>212</v>
      </c>
      <c r="B213" s="15" t="inlineStr">
        <is>
          <t>194456358
DESTINATARIOREMETENTE.
AV, PREF.WALL FERRAZ FONE: (86)3220-585¢, 9123 - -
LOURIVAL PARENTE, Teresina, Pl - CEP: 64022800
VENDAS DENTRO DO ESTADO.
¥ H SOARES COM E SERVICOS [Pocumento Auxiliar ds Nota
. UNISOLDAS,
DANFE
‘Coe DOMICO
Peewee") ALN AE
- Enda
on
225 83 Be 7500131350 100000261408 213,
N* 000.020.025 Consulta de mulenticidade no portal nacional da
SERIE: 1 NF-e www.nfe fazenda.gov.br/portal ou no site
Pagina 1de1 | daSetaz Autoizador
Saar
03.866.775/0001-32
TOMAONO
Teresina
‘SKAL ENGENHARIA IND.COMERCIO LTDA
Dra on aa
1g/122025
Ou
CALCYLG BQ IMPOSTO,
Vo erU a
cAuciv0 99 1849
cancun
Dads ADICIORRS
Soa TOE
Fearon Tota Dor ame
Obsorvacac..: EAP,OPTANTE SIMPLES NRC.NRO GERA CREDITO
‘Total spresinace de tributes fedaraio, eatedvels © munlctps
Ao: 28.05.
arpa CuCLORO RSH acon</t>
        </is>
      </c>
      <c r="C213" s="15" t="inlineStr">
        <is>
          <t>NOTAS FISCAIS DE COMPRA JANEIRO 2026.pdf - p. 212</t>
        </is>
      </c>
    </row>
    <row r="214" ht="75" customHeight="1">
      <c r="A214" s="13" t="n">
        <v>213</v>
      </c>
      <c r="B214" s="15" t="inlineStr">
        <is>
          <t>—— en |
o_o =e I
2 See ax” [-] EEG arom ms oo ome
wee cee a seesomnsanawemammans
[ENA 0 WER SOLINOA OM EDEN DES Eizo wzse woe 19808
—— Sues
——
a =
i ee
Pe eel e100, PE on | Eo oo cota
a ea
Fool Sai a 2s sl a Zale
Saison sale 5] 2) tl Se) wa ia] te
Wp?”
eats tne? ones “ota”
Pp} Peonued&gt; Aeansumge st *
|
ae</t>
        </is>
      </c>
      <c r="C214" s="15" t="inlineStr">
        <is>
          <t>NOTAS FISCAIS DE COMPRA JANEIRO 2026.pdf - p. 213</t>
        </is>
      </c>
    </row>
    <row r="215" ht="75" customHeight="1">
      <c r="A215" s="13" t="n">
        <v>214</v>
      </c>
      <c r="B215" s="15" t="inlineStr">
        <is>
          <t>Ns termor do An 77, Parkgrafo Unico, Anero&amp; do RICMS/SC, as marcadoriasconstanter neste Note Facal denacam de ser entregues pelo motivo abalzo
seahalada:
I Tconcetamente a compra:
[CT enterege de ensepa incor;
[J rece aivergente do pesto;
[I tatertattivergente do pedo:
I Jawansidade aivergente do pedido;
—
rita erree conor :
I oestintsnincoret:
+ | Ttbaeagbo incor: ~
outro: a 5
pats f__ fs
f Nome: ;
Aecnatura/Catimbo:_—
‘Amn da recuse acima,
$.de 30/03/2012, que trata dos eventos relacionados a NF, selecionando o evento que segue ababro.
‘VL Operagiio nfo Reslizada, manifestagdo do destinatério recanhecendo sua participagse na operagia descrita na NF-e, mas deciarando que 8 opera¢so
ni oooreu ou nia a8 efetveu come infornodo nesta NF‘;
la: Cae nto tan Crizae acunn ites rats do mane senor OBRIGATORIA a sinallzagto da roca</t>
        </is>
      </c>
      <c r="C215" s="15" t="inlineStr">
        <is>
          <t>NOTAS FISCAIS DE COMPRA JANEIRO 2026.pdf - p. 214</t>
        </is>
      </c>
    </row>
    <row r="216" ht="75" customHeight="1">
      <c r="A216" s="13" t="n">
        <v>215</v>
      </c>
      <c r="B216" s="15" t="inlineStr">
        <is>
          <t>Prefeltura Municipal de Teresina
Secretaria Municipal de Finangas
Nota Fiscal de Servigos Eletrénica
NFSe - Prestador
DADOS DA NFSe
Dats hora de emivto Compettncla nero Sie
when sia 2S 170470
EMITENTE PRESTADOR DO SERVIGO
PE LENE (naerigle Monkipat Toiefonn
(98.400 298/0001-03 onrsee (yz-emt
een {Nome Empresarial eerai
AILHiAG METALUAGICA E MANUTENCAQ INOUSTRIAL LTDA- ME PAULO_SS3@MOTIAILCOM
Enderwgo Muntepie cer
USPRPRLOBS 9X0 PEDRO ‘TERESINA/ PIBRASIL ea00.001
FOMADOR DO SERVIGO
‘CPFICHPS INE Inscrigha Municipat Tolefone
Za5ss.00n0002 28 anos :
Nome Nome Smpresaiat ema
SKAL ENGENHARIA NDUSTRIA E COMERCIO LTDA. rancresinva 7 Ggmaticom
E unico on
ae HANISCD 48000 BAIRADEXTREMA TERESWIA/ PIBRASIL eanre-60
SERVIGO PRESTADO
CHAE CBO
439 14-7198-00 - MANUTENCAO E REPARAGAQ DE OUTRAS MAQUINAS &amp; ECUIPAMENTOS PARA USOS INDUSTRIAIS NAO ESPECIFICAQOS ANTERIORMENTE.
Borgo
1401 - LUBRIFICACAO, LIMPEZA, LUSTRACAQ, REVISAO, CARGA E RECARGA, CONSERTO, RESTAURACAD, BLINOAGEM, MANUTENCAG E CONSERVACAO DE
aise pratagto do eecvign
DESCRIGAO DO SERVIGO PRESTADO
“sterigo om RoCoREMNGLD na CANOLA 09 RLAVAZOR
‘DOCUMENTED EMITIB FORME GU BFP OOTANTE FELO EMPLER WACIONAL
TRIBUTAGAO MUNICIPAL
Sayiinaaen 40 BN Munitpte a inckddecta a 88H Reeporstvet pete recotimento do 18S0N
erga TERESINA PI PRESTADOR DO SERVIGO
Ratengdo do 680M ‘Htuaghe 6o peesiador do seevigo parante o Sipe Neslonal jm avpecll de ttbutacHo do ISEQN
Moreno errant Stree Naud
GALCULO DO ISSQN
‘Valortatal a MFGe {R6) Total dae dedupted (R$) eee. Incandiclonado (RE) Buea dechlcuie dosSEQN (RE AXg.(k) Valor do REN (RE)
1500.0 000 0.90 1800000
RETENGOES
1SSQN (RS) IRRF (R$) PIS (RS) COFINS (RS) INSS (R$) ‘CSLL RS) ‘Outras retengee (RS)
0.00 2.00 2.00 0.00 0.0 ‘8.00 90
VALOR TOTAL
fase do cfleuto do SSON (RS) Retengoee (RS) Dowe. Ioondclonade (RS) eee, condctonedo (RS) ‘olor Liguldo-da NFSe {R)
"1500.00 09 00 it 1.300:00,
INFORMAGOES COMPLEMENTARES
S oéfosfpone
Pix £0 CwPS ~ Miimameg de</t>
        </is>
      </c>
      <c r="C216" s="15" t="inlineStr">
        <is>
          <t>NOTAS FISCAIS DE COMPRA JANEIRO 2026.pdf - p. 215</t>
        </is>
      </c>
    </row>
    <row r="217" ht="75" customHeight="1">
      <c r="A217" s="13" t="n">
        <v>216</v>
      </c>
      <c r="B217" s="15" t="inlineStr">
        <is>
          <t>MATOS &amp; MELO LTDA - ME
srena ce po
C4) SANTA TEREZA. Ceme4e76-s2
FONE: (06,2905-7608 - TERESINA. PL
MM LOR ACES CNP (MF). 19,015.056/0001-50 Hr FL-OO8966.
USC, ESTADUAL ISENYO
lremcoo or nerenN AREER PETAR TRAE BIEIS
Mensa, 15122005. 14002008 Fara de Loca ca bape noes tan22028
tee (eis oe
JENOERECO AVENDDA SAO FRANCISCO, 40000 - EXTREMA. YEREGRIA- PI AITO=&lt;50
ot
|SREGA prox ENGENVARIA NDUSTRIAE GOWEROID LTDA. AVENTONSAGFRANGIEGD, OUD “EXTREVA™ | BSEMINEPAL
TERESPIn- PI-Gs076-460 CNP: R665 CBRNE 09
roe _Ewpemants Peciode Tomo ube,” WL Base _ Valor Fol
Cr
1 _BETONERRA 400, RENTAL (0859) sr2 1404 31D No 5009 s00
1 BOTAOOE EMERGENGIA COM CHAVE DE 152 1401 MB No ase O90
ACIONANENTO
1 MOTOR MONOFASICO 2Cv (0894) 48112 14001 MD bo 0.06 0.00
1 PROTEGAO CREMALHERA - MENEGOTTICEM sta ot 0 No one 00
“ola Remon f026602401]: asa.o0
Total Locagi; 25000
Cédigo Date dese = Tp, Quantidade Descrigho ‘Valor total
ufo isang 1,000 FRETE DAE VOLTA 17090
Tom i sonpenevis eearae ane
[Sena cone
tics Foca (sbsorvdo} {Scvee02
frmnen VALOR TOTAL
Yencimanta 1801/2008 RS. 470.10
me
P/ Pesto oe Lavacemy
BAS,
COME oh go&gt;,
LANcAl 5
BEceDO,
Boe .</t>
        </is>
      </c>
      <c r="C217" s="15" t="inlineStr">
        <is>
          <t>NOTAS FISCAIS DE COMPRA JANEIRO 2026.pdf - p. 216</t>
        </is>
      </c>
    </row>
    <row r="218" ht="75" customHeight="1">
      <c r="A218" s="13" t="n">
        <v>217</v>
      </c>
      <c r="B218" s="15" t="inlineStr">
        <is>
          <t>“(tes [DANFE| si |
fs ee|
= 9 rors i Noni. — |
9] moot</t>
        </is>
      </c>
      <c r="C218" s="15" t="inlineStr">
        <is>
          <t>NOTAS FISCAIS DE COMPRA JANEIRO 2026.pdf - p. 217</t>
        </is>
      </c>
    </row>
    <row r="219" ht="75" customHeight="1">
      <c r="A219" s="13" t="n">
        <v>218</v>
      </c>
      <c r="B219" s="15" t="inlineStr">
        <is>
          <t>ecbcwoe de MW EALGADOS UTA es pds cn eva coats de Now Fal Eerie Tadic o da,
Brn: SZALD0Z6 DesiMene: SKAL ENGENHARIA INDISTRIA COMERCIOLTDA Valo Tet: 23000 NFe
—_ N* 800.028.904
Ser
MM ADOS LTDA D.
SALGADOS 1 cde
‘Nota Fisal Elertaica
CY 32Rb, LADO PAR Tees Andaves TERESINA v-salDa ‘2226 0110 6372 6900 0137 S508 1808 0289 #410 0028 9057
PL- CEP: 6016-298 Nv 000.028.904
vomnren arsut008 Pons Sérle @61 ‘Contuta de autesieidade no portal nacional da NF-€
Pola S/t swore facods.gov berporta ono se a Se anorzadra
frame cornu TOOT me TREATS
SAIDA POR VENDA [222264006 1SAO1E LDA 2NNS 09:51:28
[mee
194700526 10:657.26900001-39
[DESTINATARIO/ REMETENTE
Fear exttnerar ener
‘SKAL ENGENHARIA INDUSTRIA COMERCIO LTDA 23655 0380012-89 1200172026
aud resvcco.s TanNcEDO Neves "anams
re Fraser jmarorrme oo
oy -5364 194445298 51:27
CALCULO DO maFOSTO
a saso9
ao fran eatin Eo [Sia maT MRD ae Tas TA
TRANSPORTADOR / VOLUMES TRANSFORTADOS:
(OADOS DOS PRODUTOS/ SERYICOS : Ft =|
i ;
[Sem | ermorencoeane (rene fem] rm [tt [vita] Wek [SER Wie | oP Feta
DADOS ADICKONATS
Faron Se coun Ra
Privarboris Méxloo
DATAEHORA.DA WFRESSKO LLAIM4ISnsi:38 cag Se 3</t>
        </is>
      </c>
      <c r="C219" s="15" t="inlineStr">
        <is>
          <t>NOTAS FISCAIS DE COMPRA JANEIRO 2026.pdf - p. 218</t>
        </is>
      </c>
    </row>
    <row r="220" ht="75" customHeight="1">
      <c r="A220" s="13" t="n">
        <v>219</v>
      </c>
      <c r="B220" s="15" t="inlineStr"/>
      <c r="C220" s="15" t="inlineStr">
        <is>
          <t>NOTAS FISCAIS DE COMPRA JANEIRO 2026.pdf - p. 219</t>
        </is>
      </c>
    </row>
    <row r="221" ht="75" customHeight="1">
      <c r="A221" s="13" t="n">
        <v>220</v>
      </c>
      <c r="B221" s="15" t="inlineStr">
        <is>
          <t>Prefeitura Municipal de Teresina
Secretaria Municipal de Finangas
Nota Fiscal de Servigos Eletrénica
NFSo -Prestador
DADOS DA NFSe
Dates hora deamissto — Competincia §—Miimera/ Série
oanwatzs oo.0000 ovens sor7u
EMITENTE PRESTADOR DO SERVIGO. |
CPR FONPSINE cerigae Municipal Tetetone
38.105 7080001-82 eariess 5) 5450-905
Nome ! Notte Emerssadiat Ena
ALEXANDRE R, ARAUIO. :
onl cer
roce SERSERSe tem TAA PRAA FS ot ase 34003-720
TOMADOR DO SERVICO
Cediceed Inserigto Munlelpal Telefon
73688.0380002 30 : (96) 2007-4700
‘Nome ffm Empressciat Em
[SKAL ENGENHARIA INDUSTRIAE COMERCIOLTOA Franceira rupadaliomad cov
Nunleipie cp
mu 0 GALPAO, ;COMPLEMENTO. 0, TANCREDO NEVES, TERESINA! PLERASE. ecorecaa
SERVICO PRESTADO
CNAEICRO
4871-G/00-01 - INSTALACAO ELETRICA, INCLUSIVE DE ANTENAS.
Sanvee.
109.02- EXECUCAO, POR ADMINISTRAGAO, EMPREITADA OU SUBEMPREITADA, DE OBRAS DE CONSTRUCAD CIM, HIDRALLICA QU ELETRICA E DE OTRAS
Local da preszagdo do sarvigo aia da prectagso do servigo
TERESINAIP! BRASIL,
DESCRIGAO DO SERVICO PRESTADO.
ervigo de inatalagls « samtanpie alderion
TRIBUTAGAO MUNICIPAL
Exigiblicdads do 1350H_ Municipio du inekéénala to ISSGN- Responsitvel pelo recofhiimente do 18304
Exigivel TERESINA - PI PRESTADOR DO SERVIQO:
FRatangho do 180M “Shuapo do prestador do servi parante © Slopes Nacional Regime espacial de tite oS
NADRETIOO NAO OPTANTE: -
CALCULO DOISsQN
‘Valor total dia NFSe (RS) ‘Total des dedupies (23} Desc. Incondicionade (R6} Bate de cilowdo do ISSGN(RI) Alig. (%} Valor do JSSQN {PG}
edge 0.00 00 4000.00, 3.600000 170.00
ee
RETENGOES
Tsson 8) RAF IR Fis CORKS (RA) wis8 RH CHL IR ‘Ouran retensSea (4)
000 00 000 099 9.00 00 9.00
VALOR TOTAL
Base da edleute do ISSN (Ra) Reengoer RS} Dese.ineandiclansde (8) Desc. condiclonado (Re)
4.00.00 0.90 000 0.00
INFORMACOES COMPLEMENTARES.
573 pone RLONOIE, st ct ge SOLIS
Guetrns ep o«for/ne
EA .</t>
        </is>
      </c>
      <c r="C221" s="15" t="inlineStr">
        <is>
          <t>NOTAS FISCAIS DE COMPRA JANEIRO 2026.pdf - p. 220</t>
        </is>
      </c>
    </row>
    <row r="222" ht="75" customHeight="1">
      <c r="A222" s="13" t="n">
        <v>221</v>
      </c>
      <c r="B222" s="15" t="inlineStr">
        <is>
          <t>7 OT ORT STEER Ne
[ER ommcaremmennerr “| N°000.020.723
SERIE? 001
RA
‘TRIO LTDA
RUA PAISSANDU, £75, puntlas da Note
RUA Pals Fiscal Eletronica T CHAVE DE ACESSO
ENTR 0- ENTRADA 3226 0812 5046 $300 0197 S508 1000 0207 2318 1763 4680
CEP 6401-120 1-Salba U
‘Teresina - PJ
Telefone; 3223-6266 N’000.020,723 | consulta de auntcidade no porta uasinal da NF-e
SERIE 001 | wonwate fazenda gov beponal ou oo sie da Sefaz Autorizadora
FOLHA 01/01 7
RAVOREZA BA OFERATO
Venda Estadual
-222290000717849 12/01/2026 14:00:27
14792133 “arena S 12.504,653/0001-97
DTH Achn0 ETS
[SRREENGBRansa, INDUSTRIA E COMERCIO LTDA
a: SA USTRIA
‘Avenida Sao Francisco, 4000
20 400,00
0,00 0,00 9,00 408,00
a
= ee ae
QUANTTBADE. T= |e SEMERAETS
= aa
0.000 0,000.
JPsbos 8 rRoDUTos azavicas
Eo) BERCRCAO Bos on ONT SERCO oe econ en feat ve [ese ates] vio [omer vn
it TR RE THR oa
‘Capa Tati, RE Rez
Ford Crp Fe TPT
a ea |
‘CALVO od BG ?
seer T= RTA DOTS waRrOECLTIO DO GH Taco BO
AOS AaTCioNANS
TEASOAOTS
” =e vuisafde raula
Alinokarfado.
Denies</t>
        </is>
      </c>
      <c r="C222" s="15" t="inlineStr">
        <is>
          <t>NOTAS FISCAIS DE COMPRA JANEIRO 2026.pdf - p. 221</t>
        </is>
      </c>
    </row>
    <row r="223" ht="75" customHeight="1">
      <c r="A223" s="13" t="n">
        <v>222</v>
      </c>
      <c r="B223" s="15" t="inlineStr">
        <is>
          <t>JE ROLAMENTOS LTDA
‘DSCRGLO ESTADUAL
194591751
AvENDAaCUE Hea, ons!
DANOTA FISCAL
ELETRONICA
1 Sale
Ne 000.025.492
SERIE: t
FOLEA:
dal
oe eee
(CHAVEDE C5530
08.318.541/0001-74
DESTINATARIOREMETENTE.
reERAEhOsCC Bar TORTS
SKAL ENGENHARIA INDUSTRIA E COMERCIO LTDA 23.655,038/0002-89 |13/01/2026
feeemas SRST or FETA
RODBR-343, 3185 SAO RAIMNDO 64076410 {13/01/2026
ic 2 FORE FAX [ce | S9CRIGAMESTADUAL HORA DE SAIDA
SINA 2107-4700 PI_| 194aae29e 13:45:50
FATURA
‘CALCULO DOIMPOSTO
BarDechomanerss [vacate ar ce CRICU ERAT] WAT OOH RATTAN | VALOR TOTAL OR PROONTON
0,00 0,00 0,00 0.00 760.00
fraroxsomae [rare a
a0 | 000 0,00 0,00 0,00 294,92 760,00
“TRANSPORTADOR/ VOL UMER TRANGFORTADOS,
procera Taran Gants | COOGAN canowk ur] Gwncrr
9-Sem Freie,
BRED panei | SRT ESTAR
Cr co Tor = prsoMRTD ORT
BADOEDO FRODUTOSERVICO
S| xxamioconconenno | St [or|omm] am | aor | Ga | Sat pewsmne] amcinn|ncenn | ace [oma
Cee leanaolo o[ nal | ieee | seems [moe [om | ae ae ata | me
Ps COSTE fone ol wa] ww] aww | uae | seme [aw [an Dae Lam Due [one
lose
CALCUL DO 1S5ON cevanoe |
TATE TOTAC BES TEESE SF TET ER TTT
ISENTO 0,00 0,00 0,00
DASOS ADICIONAR
Seecunee 5 tie Ht. vstaLe. RESERVADO 09 FSC</t>
        </is>
      </c>
      <c r="C223" s="15" t="inlineStr">
        <is>
          <t>NOTAS FISCAIS DE COMPRA JANEIRO 2026.pdf - p. 222</t>
        </is>
      </c>
    </row>
    <row r="224" ht="75" customHeight="1">
      <c r="A224" s="13" t="n">
        <v>223</v>
      </c>
      <c r="B224" s="15" t="inlineStr">
        <is>
          <t>JEROLAMENTOS LTDA
DA.NOTA FISCAL
ELETRONICA
SERIE
FOLHA:
TEATURIZADAOPERAGIO.
VENDA DE MERCADORIA ADQUIRIDA OU RECEBIDA DE TERCE
"Bassigna eaTaDOn
DANFE
DOCUMENTO AUXILIA!
Nt 000,025,489
Jdet
‘CHANE DE ACES
2226 O1OE JABS $100 #174 S68 1ON8 4754 H918 4377 tH08
TPROTOCULO DE AUTORLEAGAO TELS
‘RaragonNe 5045 - 10172026 11:38:08
oer
08,318.541/0001-74
194591751
DESTINATARIOREMETENTE
RoNERATIO SOUR cog Pornon nace
SKAL ENGENHARIA INDUSTRIA E COMERCIO LTDA '23.655,038/0002-89 |13/01/2026
PERRET samRaDETTO IATA DE SUD ENTEADA|
ROD BR-343, 3185 [SAO RAIMNDO [ea 64076-410_|13/01/2026
RNUEA foe [ecnicho psTAnGal Homa DE EAIDA
Ean 2107-4700
Pi_| 194446208 35:28
"TRARSPORTADORNOLUMES TRANSFORTADOS
ACAD SOC. Prarie ow conta | ci000 TT FiatADo Vee [oP | CmRTC
9-Sem FF
co i ima
ONTO aie P= pare Pa RITO RaDADT
BADOS DO FRODUTOSERYICO
awe_[ fa | aw | “aw ao | om | om |
aco [800 os But
Cn CC A KT es
7
chtcutopersen P| peonuaK&gt; — Foon +
C CA En POETS TSO ATTRTER TEETER
ISENTO 9,00 0,00 0,00
BADOS ADICIONAR ——~
‘Ron pono seretmacnses wos Wolison % Paula
a; eesoueud antaduanas ht Lote pela peeatod/ess Almoxrifado
fa rab sas
ne uiroe Nuun eee
AL OST 2B</t>
        </is>
      </c>
      <c r="C224" s="15" t="inlineStr">
        <is>
          <t>NOTAS FISCAIS DE COMPRA JANEIRO 2026.pdf - p. 223</t>
        </is>
      </c>
    </row>
    <row r="225" ht="75" customHeight="1">
      <c r="A225" s="13" t="n">
        <v>224</v>
      </c>
      <c r="B225" s="15" t="inlineStr">
        <is>
          <t>RIAIS ELETRICOS E CONSTRUCOES LTDA
Re
N°000, 152,643
BT
1 "MATEC MATE
it
i ansible
SéRIE: Ot
DANFE,
MATEO MATERIALS ELETRICOS € Documento
CONSTRE COESLTDA ‘Auntliat da Nota
Avenida Leonidas Melo, 150 Fiscal Eletrdnica | CHAVE DE ACESSO
Prox 0- ENTRADA 2226-0100 3843 7700 0191 5840 1000 1526 4311 19103809
cereavis 20 1-SAIDA !
‘erewn
feleine: 186) 3229-8508. N* 000. 152,643 | concute de auteniidase to pond ascional da NF-z
SERIE 001 | nwwaniefazendagov beporul ou no site da Sefor Autorizadora
FOLHA 01/01 [PROTOCOLODE AUTORIZACAODEUSO
READER 222260000877282 1340172026 11:57 38
Venda Estadual
1yannss2z [° 00.384.377/0001-91
Saeko —— oF Tata Be en
[.SKAL ENG, IND. E COM, LTDA [3sess.ose0002.29 13/01/2026,
roreece Tai onrae a Tara i Heiman Tn
R343, 3185 A SAO RAIMUNDO. 64075.005 | 13/01/2026
municin. Tae Tr anna Tana be Bete Dae
Teresina 2106-4100 PL 194446298 1:87
Fatima,
RucTag Bo paPOST
Tinie oe ca a Tao pS a EHECIE RSH YALE SOTORET ALIA TCE OREO Ya BRATS
1360.00 31.00 9,00 0.00 0.09 401.10
Saaeoo rare oem ‘urns pearacenbana | vaiou poi Reaige vera be rove
Ma SeOR Eno TEMES Tak RG TABOR
Saltese atid ba ST
‘TSCIOCHORSTAOUAL
org [resoironae ————}
000
[DADOR Dns PRODUCTOS. SERVICOR
ron eeeatro ERC HICHO DOR ¢RODYTOE SERCOE fence | av forte] om aca] won| w vor [roast | ecvems | voces [citar | van [RST
ATR SIRT Maa ED Co PRronea| woo Fama] EN | © [ened ars —aciep seen Brea] — onal ara 2230]
LQ. t
aa RTI TTT
DADOS ADICKENAIN :
i Welisonle Paula
Hl Aimoxprifado
| yore ses
: ab} OL 126
- TSE</t>
        </is>
      </c>
      <c r="C225" s="15" t="inlineStr">
        <is>
          <t>NOTAS FISCAIS DE COMPRA JANEIRO 2026.pdf - p. 224</t>
        </is>
      </c>
    </row>
    <row r="226" ht="75" customHeight="1">
      <c r="A226" s="13" t="n">
        <v>225</v>
      </c>
      <c r="B226" s="15" t="inlineStr">
        <is>
          <t>14 WRT ERSTE WANCUERERS TPA RAPLSO 1 TDA OS PRODUTOS SERVICOS CONSTANTES RA NOTA FISCAL ELETAONICA
InUADA.AU LADO - DESTINATARIC: SKAL ENGERIIARIA INDUSTRIA ECOMEACIO LTDA. - ROD BR 63.3145 A SAO RAIMIUNDO=
L.01-2036 -VALOR TOTAL, BS 18150
[ERNTIRICACAGE ASSINAT
(CASA DAS MANGUEIRAS E PARAFUSOS LTDA
AV. MIGUEL ROSA, 6732
Plo XII
Teresina
: Pt (86) 3218-2654
64,001-490
PCT
fs
HAVE DE ACERSO
2226 0109 2650 4690 018 £50 1008 402 4B17 T665 2542
‘Consults de autetieidade n0 poral narionst da NP-e
\werw fe irenda gox br ou no site da Sefnz Aviorizadam.
RATURETA DROPERATAD.
VENDA DE MERCADORIA (DENTRO DO ESTADO)
{HOCOLS DE AUTORIEACKODE USO
22226000087561.t 13/01/2026 &amp;
SERIE MOTRTADOAT
194640620
TNSCRICAD FRPADUAT SUR TRIBUTARIES
NCPR
l09,269.086/000)-85
DESTINATARIOREME
mid
NOME TAZAD SOLIAL, JCuPrCrr [BATA DA EMESIS
‘SKAL ENGENHARIA INDUSTRIA E COMERCIO LTDA. 23.655.038/0002-89 13-01-2026
‘RO! 343.3185 A \O RAIMUNDO. 164.076-038, 13-01-2026
aw TPR FORETAS iF (DICADOR Ie TREE ESTADUAL
{TERESINA 2106-4100 PL TiConeibuinte 194446298,
[VALOR DOSCMS: [DASE DECAL DEICKS St [VALOR DOK MIS SE ALOR TOTAL B08 PRODU Tit
2 181,80] 4091 0.00] 0.00] 202,00)
WO FRETE VALOR DO SEGURO CONTO, JOUTRAS DERE. ACT 1S | VALOR DO TPL TREE TOPAL BA NOTA
. 0,00 os 20,20) 0,00, 0,00} 181.80
+) SSFORTADORNULLIES TRARGFORTABOS
_ Io - Sem Frete
aes — pre TC ERR SOIT eso
bas po ponurasemvico _
THD PROD. | _OESCRICAO DO PRODLTOSERVICO [woman] CaF Joror[owp] orm [ vuntemt [voeroral [ pene [aman [yoni] pEROnE
ix ARETE ARIZA ATOM &lt;= fen [a sch | OH [ERY] va] 8 om 290) os)
"ONEXAO RETA MACHO 14X08 NPT. [pariio | oon Jsuer | FCT tikion 3. ET) 1930] ass] nica] 22.50] 000]
ninossnoosas 9] epensest |
TNTCORSSACOES COMPLEMENTARES. RESERYAD® AD FISCO. }
. “ vee ee Almofarifado I
RU: 25K ANS
aAIOA I26
powerad by (58 alterdata</t>
        </is>
      </c>
      <c r="C226" s="15" t="inlineStr">
        <is>
          <t>NOTAS FISCAIS DE COMPRA JANEIRO 2026.pdf - p. 225</t>
        </is>
      </c>
    </row>
    <row r="227" ht="75" customHeight="1">
      <c r="A227" s="13" t="n">
        <v>226</v>
      </c>
      <c r="B227" s="15" t="inlineStr">
        <is>
          <t>“ parzne 08 DE EAL ENDED NDONTIA BCOUERCO LTDA 08 PRADUTOS CONSTARTES HA NOTA HSCAL MOLADN? ] NF-e
- woes
anal ~ L SPRIE: ES
DANFE
a
| EN
|
| SKAL ENGENHARIA, BNDUSTHIA E COMBRCIOLTDA, 9-ENTRADA [@) 1226 123 450 300 #397 S601 o9e O17 3712 B68 OH
RUA -JESAD FRANCISCO, 400)-GALPAD -Bulre-PARQUEJUREMA | 1 -SAIDA -
| Teen Pt
! Ns 001737 Corsa de atetiidad no porta nacional a NE
j M92l07Re-sAonets0 BEAIESLS py. yn] rte tends yourporal on nested Seles Aotorizadra
Pearentes oa crenachn Jretacno oF urination
(ie Epa ue Meant de Sein ZDOMNLIOSS pweNDuRN2 Ae _
iSaaaeeraa ae EAL DO TN rar
Trewexe “Aassonnvo0n.99
DESTINATARIOMEMETENTE, . oe ve
{nae naeae [aren os ain
{BENICIO DE LIRA LEMOS BnsA5 a meen
Tore ene cer [er pataperaraane
| vende - HENRY WALL DE CARVALESOSS + Dui -AREIAS oer. iobee
pace Frou rae [Recmciorano feaapenmuasvnn
" wn :
-ALEURO DO IMPOSTO,
faaFaRimca ones
[esta po ns TTR A [estan vera. aos recotins,
rama freee hearod mara
oon ooo 00 om fey
[Faoranna? at Sono Tamora eras sii” a aaa f
om om one 00 oe mun
“TRARETORTADOR VOWUMES TRANGFORTADOS ~ a ae
[won chs. coon concoaer Yoxscxaimeins Yor “Yeeior
fesmearco ie oF | TSE RRA ESEADUAT
| qeanrinane ae MARCA wens PRS ALT PESO Light .
Lo a r
DADOE nO PRODUTORERVICD
[ seme. | — seeanionomcormsennes om | ox fe seme [yim] nie | we vers || von | em
[omc i [44152000] a wee al ial ial iia al al om 00 OK 5
Pocetes P/ Pro oud
Paponno iso . _ _— —--
Frsqmcan Annan VALEM TOTAL OR SERVICOE HAST DE CAL LUO a TALIA De Lis
‘DADO ADICIONATS ~
oS ATTA - TAT - .
‘Corp PALETES, yu rel 301d S206
‘hee tS Duce Ui Laer
POUT S77AtS ARE 36</t>
        </is>
      </c>
      <c r="C227" s="15" t="inlineStr">
        <is>
          <t>NOTAS FISCAIS DE COMPRA JANEIRO 2026.pdf - p. 226</t>
        </is>
      </c>
    </row>
    <row r="228" ht="75" customHeight="1">
      <c r="A228" s="13" t="n">
        <v>227</v>
      </c>
      <c r="B228" s="15" t="inlineStr">
        <is>
          <t>NF
¥ ors
SPREE 1S
Note Fiseal Elerinicn PaeweReTcESar
" SKAL ENGENHARIA, INTAISTRIA ECOMBRCIO LTDA. O-ENTRADA (i¥] 2226 0124S 3606 629 SSH 3490 UIT SETBUTEN SNS
RUA-R NO FRANCISCO, 4000-GALPAO =m PARQUE REA | 1-SAIDA +
“Torsian- Pt A
Nt 091738 Cone de munca wo portal nacional da NF-E
| a0 SERIES py. ya] Wooemtetacendagovbeortal cane o4e Os Setar Aovizadors
fecesreren—wery - Iaoctiae AHATAC WOT TR
[uns Barca de Menor. de Sevict ‘eziean 30058 19UN INDO: i
aoe EAL TTT se
(ossiare poasgannoon:es
DESTINATAROREMETENTE Cee weep ee eee
“se OH id foarsiarenti
IENICTO DELIRA LEMOS aaratsannd ovate
wa ca Jeeta Reow [naan
iF _rororar IracnctoreTanoa Famana nee av
” Ce
(ngmencan moe Fonan vores ane Cana Rammcie [eorRDRARATMAus "(tan .
i «wo 00 a0 oo 200
[Sueno rare VaR 0 RR reeacowre OOTRAT OTS PRONE [VAIORBOF [evan tora tant
eon ase om 0 008
“THANSPORTABOR/ VOLOMES TRANSPORTADOR see
{rine eae ca. faEseroncarta
i 9- Son Tespore j
TADEAEY ew |
wae —— ‘cca i
. °
cescerho vo recor senacts wecwran] car | aoe fern] wcommier [re oerae | vx | nem [ene Vag | on [oom
Sia Sil Pa Sc Wa WW aie
i i j \
apos po rasa 1 -
an Ta Oa eR Tai CATO DOTA - 1
90 om om
‘Compe st PALETES Requsip de mati 9084 de 1012626.
‘Allie dp 5 Denice a Lim Lome :
PIPE 3276184038</t>
        </is>
      </c>
      <c r="C228" s="15" t="inlineStr">
        <is>
          <t>NOTAS FISCAIS DE COMPRA JANEIRO 2026.pdf - p. 227</t>
        </is>
      </c>
    </row>
    <row r="229" ht="75" customHeight="1">
      <c r="A229" s="13" t="n">
        <v>228</v>
      </c>
      <c r="B229" s="15" t="inlineStr">
        <is>
          <t>- DANFE a
a rumen ores
~ Bete vam” (Bl
econ «sem 1
‘Sicerreauc oc samen femme Powe
Se Loewe [amen |
ln i
—_—ae Pe Oe A inhale
— i bi a |
id lS nici
| a lO lc
[Raa eee ereereears [eae [om [Se [elses a ae el
P/coneesreenrmad e e
eo</t>
        </is>
      </c>
      <c r="C229" s="15" t="inlineStr">
        <is>
          <t>NOTAS FISCAIS DE COMPRA JANEIRO 2026.pdf - p. 228</t>
        </is>
      </c>
    </row>
    <row r="230" ht="75" customHeight="1">
      <c r="A230" s="13" t="n">
        <v>229</v>
      </c>
      <c r="B230" s="15" t="inlineStr">
        <is>
          <t>_ ommmcrerinccees | a
“3 Ose im" ol
a omanarseovemaramaserot vedborane- se:
SRE TART ten nose
a |
tren eee FP esween Pr bieaaioessemaascnens  [ eameeewemvune |
_ &lt;a esl
4
wt
}
1
1
1
i
!
:
1</t>
        </is>
      </c>
      <c r="C230" s="15" t="inlineStr">
        <is>
          <t>NOTAS FISCAIS DE COMPRA JANEIRO 2026.pdf - p. 229</t>
        </is>
      </c>
    </row>
    <row r="231" ht="75" customHeight="1">
      <c r="A231" s="13" t="n">
        <v>230</v>
      </c>
      <c r="B231" s="15" t="inlineStr">
        <is>
          <t>MUNICIPIO DE TERESINA.PI
NESe . DANFSe v1.0 ‘SEORETARIA MUNICIPAL DE FINANGAS -
: Decumento Auxilar de NFS2 ASAP acaLETRONNCA ENE PAT FLGOVE
(Shove de Acoaso da NFS-«
22110012245264826000103000000000002826018755040767
Newmero de NFB-2 Compute de HFS Geta Hore da amdante da Nee
B yaroi2076 190172026 11:00:58
Himara oa OFS Siete dn DPS (ta « Hom do entnte dea DPS
9 900 190472026 11:08:58
EMITENTE DA NFS-e ‘CRPST OPE Fae TR Rater
Presindor do Sanvign 5.264 8260001-04 :
Nome (Nowe Emarestte) Ema
EMERSON CANDIDO DE AQUINO 66476778420 ‘CANDIOOTERESINAGGHAIL COM
Enaecoge Manicnte oer
GENTENARIO, 3667 &amp;, AEROFORTO ‘Teresina $4003-700
{inp Nacional Date ao Compatincs Regine de Apurecto Troxtire poo St.
Optania - ieroempreendedor indy (ME) :
TOWADOR DO SERVIGO CRETTORET HE Taso WepaT Yentaie
29.655.0380002.80 : :
Nome / Nome Ermreseriah tena
‘SKAL ENGENHARIA INDUSTRIA E COMERGIO LTDA, :
Eadorage Monkspio cep
SAG FRANCISCO, 4000/0, EXTREMA Teresina +P 64076450
INTERMEDIARIO DO SERVIC NAO IDENTIACADO NA NFE'S.
SERVIGO PREST)
Hoo de Tabutacho Neconai (digs de Tebutogte tami, Local oa Precast Pris oa Prestago
parte de nalureza mwnicpat,
Desericde do
ergo
SERVICO PRESTADO DE ENTREGA DE MERCARORIA
“TRIEUTAQAS MUNICIPAL
Troutagbo do S50 Dole Reeutedo ca Prectente Go Bane Municbio de nekdnca tSSQM —° Fagen Eapaci! ds Trt
‘Speragto Titavel : Terosna =P) Nenhum
Too do imvcidove Suppernto a EXbwANde o1SSON Nima Procean Suspense Benateo Hunkpal
Herrse gece Dasconte Incondcionade ‘Tota Dedugdenodurdes (Caio do BA
BcissaN Aquot Aphcaa went do1ssaN t22QW Asuras
YRIGUTAGKO FEDERAL
co op osu
m3 corns Ratan do PISICOPNS. ‘TOTAL TRIBUTAGAO FEDERAL
‘VALOR TOTAL DASE -
Valor do Serge Descoctn Concsonado Descon mcondconada T8S0N Reto
5 1.708,72 RS 8 :
igen comer Veter guia da NF
: RS Lee
TOTAIS APROXIMADOS DOS TRIBUTOS
Fedele Eats Monica
RFORWAGUES COMPLEMENTARES
SOMPRAS
;ADO EM 20! aI;</t>
        </is>
      </c>
      <c r="C231" s="15" t="inlineStr">
        <is>
          <t>NOTAS FISCAIS DE COMPRA JANEIRO 2026.pdf - p. 230</t>
        </is>
      </c>
    </row>
    <row r="232" ht="75" customHeight="1">
      <c r="A232" s="13" t="n">
        <v>231</v>
      </c>
      <c r="B232" s="15" t="inlineStr">
        <is>
          <t>CULTURA DA LIMPEZA LTDA DANFE... de .
| Docume
nec Eee |
RUAMADOR LUZ DECASTRO.271- Ja-BUTRADA [| ater or
r:. LOURTVAL PARENTE - TERESINA - Pl- t TsaiDa SENG OUND agg) cnn nbd E88 Men ALS 12a ATTY SRA
eo CEP: 6023-795 'N° 000,023,519 ®
Stee Fone: (86)99939.8590 aie 7 Coogee
CONTADORCARLOSALBERTOGOMAILC von Hvala NESHE eh” aaah
Fotha 1/1 neers a Sy SEE EEA
roe [RoR om -
Venda x pao ‘2EEDGOMES TITS 09/01/2026 11:58:32
lsseacio Re [sacRCRORraDal Bo RSTTTS TING
sg7ienaas _ a
DESTINATARIO/ REMETENTE ee
iis soca
SKAL ENGENHARIA INDUSTRIA E COMERCIOLIDA. BAassats oy Tes ween Bs
leer feaao ars — a =
'AV SAO FRANCISCO, $0000. EXTREMA aa7e4s0 | _pa-01-2u76
hasan ra — rasa Soesrasaa pao
TERESINA Pi | c9632107-4200 sea4629@ [ins 91
FATURA - =
[DADOSDAFATURA | Nisweww: 000023512 _- Valor Original RS 240.00. Voter!” we
PARCELAS _—
[Nornero _ ODOGEISTSOOT
encima 237012026
Valor __RS240.00 - :
Chu. BO IMFOSTO. - _ -
240.00 $4.00 a - 2
ooo aco ESTES
0.00 0.00 vie
“TRANSPOGTADON / VOLUMES THANSPORTADOS _
ine maha toon panes Sano aT
9- SEM FRETE
jpemce pincing
femurs rere Tater Sooner ee Sone
(DADOS DOS PRODUTOS /SERVICOS. waa —_
sere cxsencho mo racTo smc worn [co [oe on] oot | vate fetta] i [cdma] we pace | m peEa]
oa BERDO R  ARE ara] om [aro] — Tana} Trai] — vane) — ae] — too =) =| arabs
5 ncuas Lona
DADOS ADICIONAIS
pepearteccamamrTaae
Heb aps RS 3 Foal eS ESS Eto (RPT Pl 22857,
lomanta 4518
Nora Pumas Dares SKAL WIPERMEABILEZACAD TEC
of neces ie roe |
Welisonffe Paula
Almoxarifado:
eG 7 B58 325,
Ieatby
Agios ste
We an
PATAEHONA DA IMPRESSAO 0601409611 55.54</t>
        </is>
      </c>
      <c r="C232" s="15" t="inlineStr">
        <is>
          <t>NOTAS FISCAIS DE COMPRA JANEIRO 2026.pdf - p. 231</t>
        </is>
      </c>
    </row>
    <row r="233" ht="75" customHeight="1">
      <c r="A233" s="13" t="n">
        <v>232</v>
      </c>
      <c r="B233" s="15" t="inlineStr"/>
      <c r="C233" s="15" t="inlineStr">
        <is>
          <t>NOTAS FISCAIS DE COMPRA JANEIRO 2026.pdf - p. 232</t>
        </is>
      </c>
    </row>
    <row r="234" ht="75" customHeight="1">
      <c r="A234" s="13" t="n">
        <v>233</v>
      </c>
      <c r="B234" s="15" t="inlineStr">
        <is>
          <t>7en0o SOLEUS SB
SACTOY VONGHT Wo8Td VION WO SALA
‘vorvanatowa vraote) 30 d0¥e #0 YeoaImILlGO YEE 30 SOMZO2I5
BLP LOSOE
ree
‘eaoszet
|
each
aN,
+ araoal
“aston, POH 185
aa
| [ zaentiicagto oo maitente
‘TERESINA DISTRIBUIDORA DE PROD DE LIMPEZ | oss sur
20RD EARS, = 08-VERMELAA- TERESA #00100
nen Benne ADoUMOA QURECERA CE TERCEROS
DAr-e | [oo =
pime lt faim ovalzsateemvoroeseo tooarrae ase
*
Ne Tranaegbo: 200000
Ne Pechdos , pemagLATat .
Fez aaiy proerats wr ARSE 8
esaaaardil
sipeiize guwen *</t>
        </is>
      </c>
      <c r="C234" s="15" t="inlineStr">
        <is>
          <t>NOTAS FISCAIS DE COMPRA JANEIRO 2026.pdf - p. 233</t>
        </is>
      </c>
    </row>
    <row r="235" ht="75" customHeight="1">
      <c r="A235" s="13" t="n">
        <v>234</v>
      </c>
      <c r="B235" s="15" t="inlineStr">
        <is>
          <t>a ae
Faacationpls do mestaato
‘TERESIA DESTRIDUNDORA DE PROD DE LIPEZ,
AV PSOROERETAS, ~1055-VEMELIA- TERESI
Peseta
AANA
i
haere ae
be [presents
ee)
7 ap] ees] om
ie wa| &lt;a] 23 om
2 sara seat] ooo
o ows] roe] 25 noe
a wl ‘ea|2e8 coo
o 7] valzs amo
tf. ste] um[zas eve
a wa] enlezs aco
a fal. Safee am</t>
        </is>
      </c>
      <c r="C235" s="15" t="inlineStr">
        <is>
          <t>NOTAS FISCAIS DE COMPRA JANEIRO 2026.pdf - p. 234</t>
        </is>
      </c>
    </row>
    <row r="236" ht="75" customHeight="1">
      <c r="A236" s="13" t="n">
        <v>235</v>
      </c>
      <c r="B236" s="15" t="inlineStr">
        <is>
          <t>TRATUREEADA OPUOGAO.
ares ROnSTADUAL
VENDA DE MERCADORIA ADQUIRIDA OU RECEBIDA DE TERCE
ELETRONICA
0 - Entrada)
oe
Nt 000.025.502
SERIE '
FOLHA: _idel
TROTOCOLO OE ACTORLERGRO DE CS
or
ERDEQ001 012146 - 1401/0828 18:28:45
08.318,541/0001-74
194891751
DESTINATARIOREMETENTE
TaoNEERahO soon OIC TABAEOID
SKAL ENGENHARIA INDUSTRIA E COMERCIO LTDA [oss conoom-9 14/01/2026
fESDERENT RESET — oF a
ROD BR-343, 3185 [SAO RAIMNDO- 64076-4610
oa Taran far —oracugo estabUak — PiOBADE SADA
SINA [2107-4700 Pi_| 194446298 15:22:31
FATURA
‘CALCULO DO IMPOSTO.
naa RAO RSE Tem Ba Tansie CEST TAiGa DoW TTA [VALOR TSTAL Dow PROPOTOS
0,00 0,00 0,00 0,00 780,00
[aa RT PRISE GOR] —DSSORTS [OORT OTSA ACERT] VALTRDOTA | OER AON DE TROICTOR | — VAC TOTAL DATA
0,00 0,00 20 | 090 coo | 288,22 730,00
“FHARSP ORTADORVOLUMES TRANSFORTADOS
FAZIO SOL [rare ron cons | coarao TaacaDOveR [or | exevcre
9-Sem Frat
og panne a
TONTDARE ae TREES FrOmnTTO ECD
§/Peaquae Forno
CULO DO IssQn
RRC ATRERICET VAR TOTAL A SERTIOT TE COTE TROT
ISENTO 0,00 0,00 000
BXDOSADICIONATS
TSERVADD AD TROD</t>
        </is>
      </c>
      <c r="C236" s="15" t="inlineStr">
        <is>
          <t>NOTAS FISCAIS DE COMPRA JANEIRO 2026.pdf - p. 235</t>
        </is>
      </c>
    </row>
    <row r="237" ht="75" customHeight="1">
      <c r="A237" s="13" t="n">
        <v>236</v>
      </c>
      <c r="B237" s="15" t="inlineStr">
        <is>
          <t>sarseoae  nTpou ues ORION GALT TS PARTON SORES CONTHTESDA TAPS MOOG ADLADD NES
Sxcgho: vr GEST: RM SHAKEN. DLE COM LTDA = VALOR TOTAL 2100
(OATADE RECEERERTO | WENTIRCACAD KARSOINTUNS OO REGEREDOR NP 000.011.923
eR ROORTE
DANFE
ANTONINA MOURA CARVALHO &amp; CIA LTDA Db nn
AvENOE MENDES, aco BsUDESTE-WovoHORoNTE| “OTE ‘pone
seems vome (i)
TEL geysse-eaTs :
or 000.011.9239. 11 Cote Santino pt race a
SERIE 001 canoate da @ssz Sorento
VENDA OF MERCADORIA ADQUIRIDA OU RECESIDA DE TERCE 22226000:000722 14/01/2028 13:68:20
[wee een |
CasTRTNO SIRT
SRT awiiiee aR
SHKAL ENG, IND, £ COM. LTDA. 23,855.0380002-88 | 14/01/2020.
ae TR : SRC EET a
all hae iene eee" fee
“RARSPORTIOOR WOLLNED TRURAFORTADOD
a REMETENE er
‘SADE OO PROD ITOXCERTOS -
pweemnoun PP EBBRACA OF Panwea ad
Teor oma RTOS
"Vendio: ANIA Ponto Refs
Obnervenn OBS:CNO OBRASESOHBS73
Aageaso em mexin de fechar nota pelo Usearios 4 NANIMBA. Nota Flecal Emitide pelo; Usnario;
NANINHA Conwole: 12139552 Transarso: 6 VENDA NOTA FISCAL Messegem_: Obrigado pele:
‘Preferencia | Texto,: Obrigado Vole Semipce
Sepunla Lik
TR Fe a ae</t>
        </is>
      </c>
      <c r="C237" s="15" t="inlineStr">
        <is>
          <t>NOTAS FISCAIS DE COMPRA JANEIRO 2026.pdf - p. 236</t>
        </is>
      </c>
    </row>
    <row r="238" ht="75" customHeight="1">
      <c r="A238" s="13" t="n">
        <v>237</v>
      </c>
      <c r="B238" s="15" t="inlineStr">
        <is>
          <t>—_—_eoo
[Reccbeans de RAIMUNDO PIEROTE FILAIO ME cx prodine ica trv contains du Nota Fac Eten Valea wo as. WF.
. ne
. ‘N000,000.470
[BATA Bo RECEBNAENTO IDENTIACKCHOR ASSMIATURA D0 RECEREDOR Série 001
RAIMUNDO PIEROTE FILHO ME DANFE a
‘Nota Fiscal Eletaicn
O-BNTRADA [| feats
AVENIDA NAGOES UNIDAS, ,- VERMELMA - TERESINA -PI- | 1 -SAIDA 2226 0119 5340 3000 0106 5500 1000 0004 7911 3602 9946
CEP: 60019-280 1N*000,000.470
Fone: (86)9974-7941 Strte 001 Consulta deevtenticidade wo ports nacional da NP-=
Folba f/1 -wone nf, Fazenda gov beportal ou no nite da Sefe etorizedore
[arteaaa orm or
"verde '222264001005342 1490172026 15:06:50
frscuioatapoa Tasca ara RRO TTS [aver
195409633 19334.030/0001-06
‘DESTINATARIO / RENETENTE
froermaztosoon arr parame
SKAL ENGENHARIA INDUSTRIA E COMERCIQ LTDA. 73.655.03870002-89 1a017025
feewuce peor oseere er jaro
AVENIDA 5KO FRANCISCODE 12 A 99954099999, EXTREMA 4076-450 soi /2025,
fe rasan rar RecacIoRTOUN. on
‘TERE! 190246298 15:05:46
‘PARCELAS
Niers OO)
encima: 1670272026
[¥alor___* RS 160,00
aroechcamonrcarm [oa ior en ma
090 090 16000
200 160,00
[TRARSPORTADOR/ VOLUMES TRARSFORTADOS
peau Taaaronta neon ——Ypomonveans e—arar
986M FRETE
a To eRe
aaa og rsa
°
oecge reoreme
| [a frqoor Cae, pea] oss [ese] SS |e Se
I [| Sao TST RET Ta san] — wen] — Tone] —— a non] eu foe
&gt; STeADa OVWFAS;
[pab0s ADICIONAIS 5
ecwaniie roe oo
fcr apes Sco 47 Polak Ea Fon 1RFT
cetnoot
DATA NORA DA IMPRESSAO, O24 150651 Siama Gere Frat
{</t>
        </is>
      </c>
      <c r="C238" s="15" t="inlineStr">
        <is>
          <t>NOTAS FISCAIS DE COMPRA JANEIRO 2026.pdf - p. 237</t>
        </is>
      </c>
    </row>
    <row r="239" ht="75" customHeight="1">
      <c r="A239" s="13" t="n">
        <v>238</v>
      </c>
      <c r="B239" s="15" t="inlineStr">
        <is>
          <t>».4 me OT TT |
ba Lineal rebar
nee E Taree | (2) ESE corer wwe neanenwam
pmol FE 1 | conan de mutate ne prt nacona da a wn cnc gor 0000 oa Saas Atos
SONS WE ADOURIOA DY REDEROAE Fierce asia een .
Extammmemcmarcomommers tows tire
somes pean Es ae
Bivpmxuommosowee meen
cr ~:~
——- A ana s  og RR of OE cof 4
la Lael a ates
[eee __aretowamnnreaeneos [net oto [oe] agor=T nner. [wane] see Tansee [PSS [SDS [oxn TS |
gt? mM
ors oe
; oS
Reerapeieeeteuaed OSTA
{ |</t>
        </is>
      </c>
      <c r="C239" s="15" t="inlineStr">
        <is>
          <t>NOTAS FISCAIS DE COMPRA JANEIRO 2026.pdf - p. 238</t>
        </is>
      </c>
    </row>
    <row r="240" ht="75" customHeight="1">
      <c r="A240" s="13" t="n">
        <v>239</v>
      </c>
      <c r="B240" s="15" t="inlineStr">
        <is>
          <t>© [ibn deat ae Ri 6 ROT Freee oe rsa Fiscal debaram da ser entregues pelo moto aba
sechatado: _
[7] cancetamenta da compra:
Tener de entrap cot
[Jr reco etvergente do pedo,
[A teterat atvergente do peso; 1
[lence avergerte do pedi: !
—
[redo 6 ertrague conforme NF ;
NE Apes nor ;
—
[a
pata__/__/. ;
Assinatura /Carimbo: :
+++ inapoRTanTE se* ‘ mi
de da cocuse acim, }
$5 da 90/03/2012, que trata dos eventos relacionados a NF, seleconando o evento qua segue ababo. ;
V1~ Operagio no Realizada, menifastagio do destinalério raconhecdndo sux partcipagSo na operagio desezka na NF-e, mus dectarando qua a operagto 4
o-ocorrel ll ho 26 efetvou coma infoniedo neta NF-e, + a
ong oe nk tin camete Di auanta roti neta do anit ttt srk OBRICATERA sms darecee |
%</t>
        </is>
      </c>
      <c r="C240" s="15" t="inlineStr">
        <is>
          <t>NOTAS FISCAIS DE COMPRA JANEIRO 2026.pdf - p. 239</t>
        </is>
      </c>
    </row>
    <row r="241" ht="75" customHeight="1">
      <c r="A241" s="13" t="n">
        <v>240</v>
      </c>
      <c r="B241" s="15" t="inlineStr">
        <is>
          <t>| XK =a mi
ae TUL TT TL
INUMAK —
cent eee || SS CE] [Eien
wears eens
fre sity ne see's | conta de nstriante no pontine wena fendegw bbe oun dS ender
i mourioecee
comer Pennoni 2600 Pemzameit
Gecmmcvananovrncoourocogmn —atttooomeey mee
re il 0
ee oman. con __E _ ea
N ieicsaaiadind caliieniiaial
——e 21,5 2,00] 0,00] 104,89
om 2a — — —
poe el ls 310.74
ere en een Eeremonns
; ROO BA Ee won
i cain na anil re cael 3.00
‘ous D
A we ee</t>
        </is>
      </c>
      <c r="C241" s="15" t="inlineStr">
        <is>
          <t>NOTAS FISCAIS DE COMPRA JANEIRO 2026.pdf - p. 240</t>
        </is>
      </c>
    </row>
    <row r="242" ht="75" customHeight="1">
      <c r="A242" s="13" t="n">
        <v>241</v>
      </c>
      <c r="B242" s="15" t="inlineStr">
        <is>
          <t>«| Ros termos do Ar. 77, Pardgrafo Unico, Areno 6 da RICMSSC, as trereedaras constantes nesta Nota sca davaram de sar entregues pelo moto abaiko
ansinalade: *
Jeancetamento da compra
[J nerega de entregnincorseto: |
[}Prega dvergente do pedso:
I  attesitdtoergante do pec;
| TJowantidade aivergente da pedi;
[J compra no auroras;
roto eres contre NF ;
{[—Joestnatsrioincoreto;
[Ttutario incometa,
a
a a
fssinatur femmes
seve mpontanTE =e
Alem da recusa acima,
Se 39/02/2032, que trata dos eventos relacionados « Ne, selecoranda o evento que segue bak,
‘V1- Operagto nfo Reatzate, manfesiagSa do deinatro reconbatendo sua partcpagt na operende descrta na NF, max declarande que a epereyso
rio ocorret cu nla sa sfatvou como informedo nesta Ee, |
gc utente tt fj easiest MATRA as em</t>
        </is>
      </c>
      <c r="C242" s="15" t="inlineStr">
        <is>
          <t>NOTAS FISCAIS DE COMPRA JANEIRO 2026.pdf - p. 241</t>
        </is>
      </c>
    </row>
    <row r="243" ht="75" customHeight="1">
      <c r="A243" s="13" t="n">
        <v>242</v>
      </c>
      <c r="B243" s="15" t="inlineStr">
        <is>
          <t>IReceberno1 de 6.6 COWERCIO DE MAQUINAS E FERRAGENS LIQA - ME 05 prog
datos constontes da nou fecwlind’c eda 20 do.
Tnreserecor |
oes teat Pe eee
N* 48027
Tot: RE 1476.00
eae
Famine as trae DANFE
IG. F. COMERCIO DE MAQUINAS E haem
0 Entra
FERRAGENS LTDA - ME
LAA
[chat teese
1 Salts
‘AV 19 OF OUTUERO, 1073 gant Daze d1ge 1652 2500 0110 $800 1000 O480 2710 1720 $406
LOURIVAL PARENTE » 44.023-650 ete “Gonalts de watentichd rat naclanal Go Foe
L ‘TERESINA-P| Fome/Fax: 4882202782 pain wwntatacendagevine/porta ou ne a da Sotex Autorizaéore
Rescrere bt Opera roca de Wtaraacde FE
VENDA ‘22zz60001899750 - 29/01/2026 14:42:40
rss aaa! [nario tam dave Tout, or
toasaauea 165.295/0009-10
Sastnetilo/Rematente
iowetanio soa cor Foe de tno
Skat ENGENHARIA NDUSTRIA E COMATDA 22.055.oggrocgz-s9 | 23/01/7026
Snderce [pore [ar Da desadnintrt
on 242, 3485 ISAO RARMAUNDS aorerso | 23/01/2026
ory ore Tretia eaiod Jeorece darrraa
IRESINA, er | seazss4100 194eas290 pert
‘ajule do jpante,
Kaleale ee ene [REISE rier iO sata [tp inporae [VIGGUTRen. [worse Fer | [vawdens |v netmaaces
0.09] ix) 0.00] 9.00) ogo] o.0a! 2.00) 1476.00]
Jvacrdeseave  Porxonte imcctapem (aetoum |veMGUFben vtec, [yabranconms [u.rorddanote
0 0.00] 0] 2.09] 8.08] 2.09] 1476.00
raat conn [cessor laxsdevenio [ur [omuer
19) Fem Freve
Exaeece es far [inaign tanta
Dadi Savior
[cod.Pred.] Oewcigio de Prechto/Servico
Jon ROTATORTINE ROENCENOEN AUCH
0
[bora FOMTLINE BOENEOADE Noa CA
iz
JaveNTAL IVC HANES TOMIOER” TOO oon
Updos Adicionels
nforragie camper
Gocumenta rmiido por ME ev EPP optente do simples nacional,
hse gore cnn a crtdta fecal de (CMS, 155 eI
creda Loja: RSN47600
[Remade vofica
Welson pie Paula
Almozprifado
eG. su 88
237 ost 26.</t>
        </is>
      </c>
      <c r="C243" s="15" t="inlineStr">
        <is>
          <t>NOTAS FISCAIS DE COMPRA JANEIRO 2026.pdf - p. 242</t>
        </is>
      </c>
    </row>
    <row r="244" ht="75" customHeight="1">
      <c r="A244" s="13" t="n">
        <v>243</v>
      </c>
      <c r="B244" s="15" t="inlineStr">
        <is>
          <t>RR EE FREESE OE TT TNR RET, ORES Fe
aa ns 900.058.084
SERIE 002
LUAN UTILIDADES E
PRESENTES LTDA
Conde De Sarzedas, 49, Noo consta- Pastor,
Fibeiras Pres, SF -CEP: 0400430 Fone:
pene0000
Foha 1d 1
LEE
PD
jouer asin
‘3526 0180 e260 9K9 0240 960d 2000 #580 9611 726
Consul de averlchaade wu portal national do Ws
wen nfa fazanda govbrTponal ou na aia 6m Salaz Aldorizador
96260276843 — 2210172026 11-00-54
eens 1]
sec Seances
Se ea
|Skal engenharia industria « comercic Rda |23,655,03810002-89 22012026
Avenida Sao Froncico, 4000 - Grupo kn Referenda: Dapcia Eriraeo Jetoreaso 220112026
ay [suas ra
=
assem
Balam
joeren
‘WFORMAGORS 06 LOCAL OF EXTREQAT RETHADA,
Rene EON
porns
1DAD03 00 FRODUTO  ERTIGOS.
cone [oer
GALOULO DO 1EON RELATOR YD
DOS RCNA
hercodots ceonsbaca na ombresn EBAZAR COMER LTDA tatabewsoas ta via Fartave, SI. Bao Baro Daa, Lavo
Fretas, BA, CEP 42730100, recta no CHPUNMF eob 0 OAOOTS9TDONTRY, ncncan Estadual 195222622, Alera
rane Rsgve Especial concern nom temas do Patener DT RIAGETRIn SB2M2022 Vale opto naee  ue OPTY
R34 72
Ero por MEFEOP aptent cn Simpleg Kacional. Sam dre m ret fac de CMSSSAP|
[RESERVADO AG FSCO
Weliso¥de Paula
Almokarifado
5: A635,
267 Ry</t>
        </is>
      </c>
      <c r="C244" s="15" t="inlineStr">
        <is>
          <t>NOTAS FISCAIS DE COMPRA JANEIRO 2026.pdf - p. 243</t>
        </is>
      </c>
    </row>
    <row r="245" ht="75" customHeight="1">
      <c r="A245" s="13" t="n">
        <v>244</v>
      </c>
      <c r="B245" s="15" t="inlineStr">
        <is>
          <t>bs
ee cele emereeeemeneerepeceenes ben ttt!
tre—_—_— foment Fi¥ce
omrnson sruva ve assrs | sume mam By , 7
nun canameoize, sto «tearo 06 amo = | HA TAR il
7 © Wee, ate. fetende.gov.by/portal ou ne site da Hater]
Pou 2 7 1 butorizadora-
froronaan tm Goawacho ‘Trncrocets 3 MrTeetiAche oF UN
ae a —
(ecm 7 peak tocka yors 7 cer [int ones
Sear EROEMEARIA SHOUSEREA E cENERCIO UZDN. 33. 685.036/0002-09 Fe/orvt02e
zope as
_. =
Trae es ma
aaa &lt;a A
ao row
Jf. #
o fmf 6
cx te
SaaS Tas:
Cee I ee
Sa
eRe pp woe me or oes rs one mn wo cm om</t>
        </is>
      </c>
      <c r="C245" s="15" t="inlineStr">
        <is>
          <t>NOTAS FISCAIS DE COMPRA JANEIRO 2026.pdf - p. 244</t>
        </is>
      </c>
    </row>
    <row r="246" ht="75" customHeight="1">
      <c r="A246" s="13" t="n">
        <v>245</v>
      </c>
      <c r="B246" s="15" t="inlineStr"/>
      <c r="C246" s="15" t="inlineStr">
        <is>
          <t>NOTAS FISCAIS DE COMPRA JANEIRO 2026.pdf - p. 245</t>
        </is>
      </c>
    </row>
    <row r="247" ht="75" customHeight="1">
      <c r="A247" s="13" t="n">
        <v>246</v>
      </c>
      <c r="B247" s="15" t="inlineStr">
        <is>
          <t>1212900-00  REFORMA DE PMEVMATICOS 184208
Servo
1401" RECALUTAGEM OV REGENERAGAO DE PMEUS.
Loos! dapreeragte de series Pate caprestagto de serge
TERESA oat
Recafpok de Epauch pf VW placa: SLAGT qa
e
rs Profettura Municipal de Teresina
- Secretaria Municipal de Finances
Note Fiscal da Servigos Eietténica
NFSe - Prestador
DADOS 04 NF&amp;e
Date erage omieis Campane Mirela Oats donP$ reo sae 36 PE
femmes orn aes Spore auiazees Barer
EMITENTE PRESTADOR DO SERVICO
cmrcwiw meng metal Teen
‘Staunseooe ss oes ore 228
mee Eeerean Eat
(Alou SRERUE PRLS EUSA COMEROIDLTTA BitRtaMgcaTiauePneus coma
ben waters oe
Enero WULAEROC WHEEL EM FERS noe, Sos
TOMADOR DD SERVIGO
crerowuri boheo taniopa Testore
essooonarss Buenos
a Eo
EMENHARA RO ECOMERGOLTOS feorenrsgonnonegynas con
Mele oe
SrEsoxco wn suman tacsenonens Teneo aise rome
SERVIGS FRESTADO
gweieso
TRIBUTAGKO MUNICIPAL
sight Bo ISSO (mitra da cle O80 freaporsiee po recedes do¥8800
Enagoet TeRSmNA- PI PREBTADOR 00 SERIO
Rewngte do ISs0H (aver do pevinio do servis panto» Sites Mion! aco espe de itacanto do FES
NO RETO. MOCrTANTE :
CALCULO DO ISSGN
‘Voor tots Wrseges] Twat dacuplse (fi) Ouac-Inorlictonatio RS) Base deco de SGN (RH) Al OK) Veer SSN ORS)
Zi oo 800 20ke8 5000000 108.21
RETENGORS
aca ge rr gm FisRa) —conNS eR miss gen cue (Over cote
000 990 00 00 ‘906 00 200
VALOR TOTAL
ave de cowie dr i98GH Oh) atone MH Dewechrmoretclormo(]Dese. conchae IRS} ‘Valor Ug da)
2m ‘200 J it) ty
FORMAGOES COMPLEMENT!
COMPRAS
(GADO EM 27 |</t>
        </is>
      </c>
      <c r="C247" s="15" t="inlineStr">
        <is>
          <t>NOTAS FISCAIS DE COMPRA JANEIRO 2026.pdf - p. 246</t>
        </is>
      </c>
    </row>
    <row r="248" ht="75" customHeight="1">
      <c r="A248" s="13" t="n">
        <v>247</v>
      </c>
      <c r="B248" s="15" t="inlineStr">
        <is>
          <t>PEE }URA MUYRAPAL UE.
: DANFSe v1.0 PARNAIBA
N FSe Seow Documenta Aundiier da NF&amp;-© SSE TAR OA PANDA MUM
ewraporespsrosna go
‘Chavn de Anwwen da NFO-e
2207 192228 74808690001 360000000000035260 1 1806071925
Nomar du NFE Compartncia da NFE-© Date « Hora da emiento de NFS-a
38 zmv2028 2200172026 08:10:29
‘Nomero de DPS. ‘arte du DPS. Date # Hore da emimobo da DPS
61 900 2210112028 08:10:29 A ouraeisede onte MES» pasa wonton
(ek tro dee ge OF ow pels candi
have co nanan ro pores rercnat on HPS
‘ENITERTE DA NFS-© CRPUTOPFT RF Tease MaTicaT Taha
Premader do Serigo, 57.480. 26970001-36 - (86) 9501-1900
‘Nore! Heros Empresarial Emel
MARCOS JOSE FONTANA HANUS GELTAORG CONTABR.@HOTMAIL COM
Enderege Municipio ome
‘SAO SEBASTIAO, $013, OKO 200M Pamalba - Pi 64205.010
‘Simplen Necianal na Data da Compete lacie de Apurogte Tebutita palo SN.
‘Oplante - Micrommpresa ou Empresa de Paqueno Porte {ME/EPP)
Regime de apuregto dos tibxnos fecerala © municipal pelo Sumplos Nacenat
TOMADOR DO SERVIGG CRETT CPF TO Therese Muepal Talafone:
seer cmt
'SKAL ENGENHARIA INDUSTRIA E COMERCIO LTDA. -
ee wie 2
“gcse. 4000/0, EXTREMA Teresina - Pl 64076-450
TRTERMEDIARIO DO SERVIGO NAO IDENTIFGADO NA NFS-@
‘SERVIGO PRESTADO
Carer nim peated nr nan csmete
09.01.02 . Nospedagem em penetes, - Pamala - Pt :
argon
BSE eno etch 0am ane an nn re
‘aaante WONCPAE
peony enauranpnstene wages neon an
Seat, meas amatoe tae
Tipo de hrunidece =e de Exighilidede do ISBQN = Nimero Process Suspensii ‘Beneticio Municipal
vn et Cennterdinete =e cnt
BC Ig9QN Aiquota Aphiceda Retengte do ig90N- (B8GN Apuredo.
ares !
‘ages rR —————
= ona raecrnaca ne
PS COPINE Davide, Ratancfo do PISICOFINSICSLL ‘TOTAL TRIBUTAGAO FEDERAL
‘VALOR TOTAL DA NFS-E
eae yoo oni an
wae a Ea :
mergern.corm.oml. ——_paconatone spoons
R$ 0.00 : ‘A$ 440,00
“TOTAIS APROXIMADOS 008 TRIBUTOS
TNFORMAGOES COMPLEMENTARES:
°) HOSPEOAGEM EdUgor Paowaed
PaeTo Va PLY</t>
        </is>
      </c>
      <c r="C248" s="15" t="inlineStr">
        <is>
          <t>NOTAS FISCAIS DE COMPRA JANEIRO 2026.pdf - p. 247</t>
        </is>
      </c>
    </row>
    <row r="249" ht="75" customHeight="1">
      <c r="A249" s="13" t="n">
        <v>248</v>
      </c>
      <c r="B249" s="15" t="inlineStr">
        <is>
          <t>on ESTADO DO PIAUL NOTA FISCAL DE
PREFEIIRA SAURICIPAL DE LAGOIMHA DOPAC SERVIGOS AVULSA
GNPI: 01 612,5870001-52_ ‘Série 001
O- TRABALHO CONTINUA NY Gssa013
‘AVENIDA DOMINGOS LOURERDO ORE, 85.CLNIRU. Lagos do la 71
Date: 11/12/2025,
PRENTADOR DO 82RD Tr Reva wen) ioe Va dec Pa
fectioroeamo ts Pee PP |
UA ANTCNOTEREMADA SIVA. 2
FE eee
TOAADOR/ YOUARO DO mARIGO
'SKAL BNGEMWARIA INDUSTRIA E COMERCIOLIDA BASS.072000-09
fos yeas en aie
@ [sree siormarasco, ooo mae Toole a
anes 009 SEO.
2a Propagate pielate,lectadve prmayte do renee smufeneri de corp. skate publiadecior
REFERENTS A SERVIQOS DE PUBLICIOABE PRESTADOS PARA A SEAL ENGENMARTA INDIESTRIA E-COMERCIO LTDA.
= | | |
{QUATROMILREAIE) waar
Bane tbe bende: RS 4.060500 + Adignota: 90.08 ~ ~
sniper son Port po St Nato
ee |
coxanree mgt tea Desde CE ij
wwew.simplesinformaticr.cam</t>
        </is>
      </c>
      <c r="C249" s="15" t="inlineStr">
        <is>
          <t>NOTAS FISCAIS DE COMPRA JANEIRO 2026.pdf - p. 248</t>
        </is>
      </c>
    </row>
    <row r="250" ht="75" customHeight="1">
      <c r="A250" s="13" t="n">
        <v>249</v>
      </c>
      <c r="B250" s="15" t="inlineStr">
        <is>
          <t>Prefeitura Municipal de Teresina
Secretaria Municipal de Financas
Nota Fiscal de Servigos Eletronica
NFSe - Prestador
| DADOS DA NFS
Datne nora ie amaate —Contpatdncha ——‘Miimaro/Séelt
voprrenee 140728 O18 wary
EMITENTE PRESTADOR DO SERVIGO
COF/CHRS HR Inerigdo bunts Telefon
30,728 5500001-10 oan (06) 9452-1087
Homa some Senpreanrtet Eat
FRANCIBGO DAS CHAGAS BI9PO DE ARALIO JUNIOR
Eecarsee municipio cer
FUR MDA 25ABULETA TERESINA, PrORASK, sa0re 86s
TOMADOR DO SERVIGO
cor senate tascrigho Sonepat Tototone
23.5. na8o0028e coats
‘Nome / Nome Empress! Ema |
SKAL ENGENHARIA NDUSTRIAE COMEACIO LTOA. !
Muneigia cee
SIDI remncecosmo nano TREUA ‘TERESINA  PIBRASIL 64076 456
SERVIGO PRESTADO
‘ONAE/ E80
{4820-00100 - SERVIGOS DE MANUTENCAO E REPARAGAO MEGANGA DE VEICLLOS AUTOMOTORES
Serco
140). LUBRIFIGAGAO, LIMPEZA, LUSTRACAO, FEVIGAD, CARGA € RECARGA, CONSERTO, RESTALIVAGA, BLINDAGEM, MANUTENCAO E CONSERVAGAD DE
Local aa prosacbo do sorige Pala da restacto do veriga
TERESNAy A ORAS
DESCRICAO DO SERVIGO PRESTADO ;
servrge 2x Wwe Oe oMRA 00 woreR canes sEuE
Senge be Wehetce euwnete
|
e |
|
‘TRIBUTAGAO MUNICIPAL
Exigibisdade do SSQN srneine da tcsinets do (SON Reaperadest polo recoRimanio de 1SSGN |
sighed TERESINA-PI PRESTADOR DOSERVICO
Retongta do 15506 ‘Situagho do prestadac do sarviga parents 0 Slmplee Nacional Fogle eepecte de ttutagBo do'S50N
NAO RETIDO NA OPTANTE
GALCULO D0 1SSON
‘Valor total da WSs (Rap ‘Total des decodes (RS) reso. inconiiiclanads (AS) Basede oflovlo do lSSGN (RS) = Alig. (%) Valor do ISSQN (FS)
1400000 000 800 ‘4.00000 000000 700 90
RETENGOES
‘S80H os) IAF ORS) Psa CORWS (RS) iS (FS) su Oubas mlencdes (R81
0a 900 300 200 2.00 8.00 oo
VALOR TOTAL
Bane clic do 9808 (RS) atangiae (Rs) Deno. inzondicianade (6) ‘Desa condiatonedo (As) ‘ator Liquido da NESo (5)
4000.00 000 00 0.90 1380700
INFORMAGOES COMPLEMENTARES
¥ CheneGe her, WG</t>
        </is>
      </c>
      <c r="C250" s="15" t="inlineStr">
        <is>
          <t>NOTAS FISCAIS DE COMPRA JANEIRO 2026.pdf - p. 249</t>
        </is>
      </c>
    </row>
    <row r="251" ht="75" customHeight="1">
      <c r="A251" s="13" t="n">
        <v>250</v>
      </c>
      <c r="B251" s="15" t="inlineStr">
        <is>
          <t>Prefeitura Municipal de Teresina
. Secretaria Municipal de Finangas
S Nota Fiscal de Servicos Eletrénica
“Oe NFSe - Prestador AP vAWKyOL
DADOS DA NFSe Serena neni
Veta ehoradeamissio — Congatincia Nene Ble Eiscmaaide sone no bara ot
y9v0 172008 1435747 012026 3897 . iota
EWITENTE PRESTADOR DO SERVIGO
‘CPE /CHRD 18 Inecrigto Municipa) Taletone
20.70R.S60001-18 eavazes eo Onn. 1387
‘ Nome / Home Empesssrial email
FRANCISGO OAS CHAGAS BIEPO DE AAALLIOUNIOR
nara uneipa cer
Un Ane 298 TABLAETA TERESA PY BRASH 4016-565
| TOMADOA DO SERVICO
PF ACNRA nscrigho Munkcpet retsone
sss ovaANNee omni
Nome Nowa Empresarial mal
SKAL ENGENHARIA INDUSTAIA E COMERCIO LTDA, :
tenicinto cer
BAG F 0 reer soo earn rms TERESINA PIBAASL S106 450
SERVIGO PRESTADO
uae cao
{520.0010 - SERVICOS DE MANUTENCAO E REPARACAD MECANICA DE VEICULOS AUTOMOTORES
serio
1201 “LUBRIFICAGAD, LIMPEZA, LUSTRACKO, REVISAD, CARGA &amp; REGARGA, GONSERTO, AESTAURACAO, ELINOAGEM, MANLITENCAO F CONSERVAGAO DE
Loca a presegt do esrviga Pata de prostacKo to sevigo
Senesmaye BRAS
DESCRIGAO DO SERVICO PRESTADO
senvigo op camegore
TRIBUTAGAO MUNICIPAL
Exigbiidede do 80H uniiplo da nokitnota do t6S0N Reeponadval gala recoimenta do 130M
Erigeal TERESA PRESTADOR DO SEAVIGO
fetongdo do 1850 ‘shuapke de pressor do sarviga parunte 0 Simples Nacionat Rogie sepaclal do tlbutagdo do ISON
NAO ENDO NAG OPTANTE :
CALCULO 00 #sSON
Vator total de NFSe (As) Totaldss dedugiea (RS) tee. Inconichonaae (RS) Suse-de edieulo do (SQN (AS) ANG. (%) Vator #o ISSN (RS)
200,00 90 200 m0090 S000 sour
RETENCGES
SSON (mA) Ine (Re) PIscrs) COFINS (AB) 38 (83) SLL FS) utes lence (5)
pa 0.00 0.00 200 090 390 bu
VALOR TOTAL
‘Bane da efile do (9608 (RS) Ratengden 5) Dasa. oconsiclanede (RS) Ouse, constctonado (Rs) ator Liquiso a MFSe (8)
0.50 000 oma ‘200 00
INFORMAGOES COMPLEMENTARES:
y CARREGABEIRA WUE</t>
        </is>
      </c>
      <c r="C251" s="15" t="inlineStr">
        <is>
          <t>NOTAS FISCAIS DE COMPRA JANEIRO 2026.pdf - p. 250</t>
        </is>
      </c>
    </row>
    <row r="252" ht="75" customHeight="1">
      <c r="A252" s="13" t="n">
        <v>251</v>
      </c>
      <c r="B252" s="15" t="inlineStr">
        <is>
          <t>ake Prefeitura Municipal de Teresina raresee
ra Secretaria Municipal de Finangas auenres
SZ Nota Fiecal de Services Eletronica Bee Se
+ Prestador
NFSe VidwAT pad
$n
DADOS DA NFS@ Sass:
Data hore de weinede  Competincia mero Bits Tee
reqiaee 1e2nte OVEDaS 266081 bial
EMITENTE PRESTADOR 00 SERVICO
n Pe Leas Insert Mcp) Teatona
aA 0011 1138080 eoyst138)
1a AL orm Noma tmprnartal mat
[ATn03 MED SERVICOREM SAUDE TOA Nonsrege@htmad com
AthosMed exter pan oo
RIAARINDO NOOUEA eH 94 CEO TERESINA, OLERASIL 4001-200
TOMADOR DO GERVIGO
crrcwes MIF trmclgbo Muntlpat Talstone
hess areo00289 ecatS+
Nore / Nome Empresa ema
ENCENMARIAINDUSTRIA E COMERCIOLTOA fediscncostaeiandoutenk com
::. mon wo
SAC MNANCHECO 4000 BANRAD EXTRA TERESINA PLERASIL enoreas0
SERVIGO PRESTADO
wae 1600
{599-502-08-ATIDADE MEDICA AMBULATORIAL COM RECURSOS PARA REALIZACRO DE EXAMES COMPLEMENTARES
Senieo
a0" HOSPITAS, CLNICAS, LABORATORIOR, SANATORIOS, MAMICOMIOS, CABAS DE SAUDE, PRONTOS-SODORROS BULATORIOS E CONGENERES,
Local de provtacta de worles al ce prosing do marviga
TERESNAT EE eras,
DESCRIGAO DO SERVICO PRESTADO
ems evocremmatte 26 week eemntOR
TRIBUTAGAO MUNICIPAL
exiled do 880M uritgio dt incite do 880 feeagonsivel palo revsieente do BEN
Sogn TERESA Pr PRESTADOK DO SERVICO
rent do tbc tumuagho to preetador do servgo perate» Simple Nacional Ragin eypial detrulagfo do ISOM
MO RETIOO Nig orranTe :
CALCULO DO ISSQN
‘Valor total da NFSe (RS) ‘Total daa decugses {R$)  Genc. moondicionady {R$} Base de cilculs do ISEQN IRE) Aly. (%) Valor doWSSQH IRS)
‘382200 000 00 592200 3.000000 1768
RETENGOES
Vesan ins) RF Pama CORN RS) maser) cout ers atras retengee (25)
201 tas En 176 00 nz 200
VALOR TOTAL
ate de cleo GoHBSON (RA) Retingee RB) Dves.Incondtclonedo(RS) vec condiclonado(RS) ‘ator Ludo MEBe IRS)
392200 30420 00 00 ‘sora
INFORMAGOES COMPLEMENTARES</t>
        </is>
      </c>
      <c r="C252" s="15" t="inlineStr">
        <is>
          <t>NOTAS FISCAIS DE COMPRA JANEIRO 2026.pdf - p. 251</t>
        </is>
      </c>
    </row>
    <row r="253" ht="75" customHeight="1">
      <c r="A253" s="13" t="n">
        <v>252</v>
      </c>
      <c r="B253" s="15" t="inlineStr">
        <is>
          <t>MUNICIPIO DE SAO BERNARDO DO CAMPO Numero da | geaeRgel
ami SECRETARIA DE FINANGAS NFS-e eee
kL A: NOTA FISCAL ELETRONICA DE SERVIGO - NFS-o 174 pita
io [gem ter a
PERMEEEME soccioewansnourrmmccounaoua |
"avor realzar o depasito bancario ne conta citada ebaixo:
Banco: (104) Caixa Econdmica Federal
garcia: 1207
Coie Corrente: 2085
voracido: DSG Cerifcagdee Lia COMPRAS,
NPs 25.860 238/0001°08 FOO) —_eepniaay)
jlorentea autora de 2" Siperisto Gini ¢ .)
/ENCIMENTO: 1601/2026 ch
i
fr Ue to date Nols Fa nares ie ca oe pa TOIT ETS
Avisos</t>
        </is>
      </c>
      <c r="C253" s="15" t="inlineStr">
        <is>
          <t>NOTAS FISCAIS DE COMPRA JANEIRO 2026.pdf - p. 252</t>
        </is>
      </c>
    </row>
    <row r="254" ht="75" customHeight="1">
      <c r="A254" s="13" t="n">
        <v>253</v>
      </c>
      <c r="B254" s="15" t="inlineStr">
        <is>
          <t>PARNAIBA,
NFSerzzzs.. coca ag OR ee momnncrs
oo aimee
(22077022257460869000 1360000000000 23260 18978915757
ven ntoe cence tres ons cast sees
"s sous orem sae
vernon censors petererereemrenre
% 7 oeeere mat carcasnmanmreng menses
sempagomerermerers,
Senne aoe
EMITENTE DA NFS-= CHEITCPE AF Trecrigio Mortclpat “Teletone
Prestedor da Sorviga 37 AB0.85W0001-36- - (86) 9501-1900
vm ten cxpaat _
MARCOS JOSE FONTANA HANUS: DELTAORG.CONTABIL@HOTMAIL.COM
SAO SEBASTIAO, 5013, JOAO Xxill Pamnaida - PI (64208-010
cnvnegaterbanc Pade mt at
Optanie - blcraempress ou Empresa de Paquani Porte (ME/EPP)
Rogie de spuracto dos inbulos fedoras © muncipal pelo Simples Naconal
TOMADOR 00 SERVIGS CREUTORPT IF —— Trmctipie Wurkcbal Tahoe
72.655.02870002.29 : :
Name / Nome Empresarial Enel
SKAL ENGENHARIA INDUSTRIA E COMERCIO LTDA. :
Enderego Maunilpio cer
SAggpPNNCO, coca, EXTREMA Teresina -Pt 64076450
INTERMED IARIO DO SERVICG NAD IDENTIFICADO NANES-&lt;
‘SERVIGO PRESTADO
‘Saigo de Tepute¢to Nectonel (Coiga de Tiana Municipal Local de Prestacto Pols da Praatagio
09.01.02 - Hospedagem em peneses, - Pamala - PI :
‘afvergues, pousadas, hogpedariag,..
Descrigl da Barvigo
Referenta a haspedagem no periado de die 18/01 @ 2140172026 am nome de Edison Ermerson de Souza Mfarinho.
TRIGUTAQKO MUNICIPAL,
‘Trbweagha do ISS0N Pela Resutedo ce Procto do Seren Muncrn de ick do ISSO login Expecial Tebutago
Operagto Tbutave) Pamalba - Pt Nenhum
‘Tipo de Imeniande Seopa cx Exgttcada do'800H —Hiearo Preeans Cunponeto enetcto Munkspe!
‘Valor do Bervica Desoonta incondikdonade ‘Total DeduySee/Feduycee Cheule do 8M
RS -440,00 - : .
BC ISON ‘Abquia Aplonda Retwnnile do 820 18S0N Apuredo
: - Nao Retide -
“TRIBUTAGAO FEDERAL
IRAE oP osu
Ps. ‘CORINS Ritenge do PISYCORANS ‘TOTAL TRIBUTAGAO FEDERAL
VALOR TOTAL DANFS-E
Velor de Service escarte Gandiclanado Descoms Incondcionado ISBN Ratko
Pg 440,00 RS RS :
(RAF, CP,C8LL - Rethion PUUCOPONE Redo ‘Valor iguico da NEB-©
S.0.00 - R$ 440,00
TOTAS APROXIMADOS DOS TRIBUTOS:
Exaduele
Musieipala
a HAPEDAGER ehUgOMA [Pacsmsd
Pix ?) Porote - 030.086, 810 - os
Lown, Castina Bre tere HAMS</t>
        </is>
      </c>
      <c r="C254" s="15" t="inlineStr">
        <is>
          <t>NOTAS FISCAIS DE COMPRA JANEIRO 2026.pdf - p. 253</t>
        </is>
      </c>
    </row>
    <row r="255" ht="75" customHeight="1">
      <c r="A255" s="13" t="n">
        <v>254</v>
      </c>
      <c r="B255" s="15" t="inlineStr"/>
      <c r="C255" s="15" t="inlineStr">
        <is>
          <t>NOTAS FISCAIS DE COMPRA JANEIRO 2026.pdf - p. 254</t>
        </is>
      </c>
    </row>
    <row r="256" ht="75" customHeight="1">
      <c r="A256" s="13" t="n">
        <v>255</v>
      </c>
      <c r="B256" s="15" t="inlineStr">
        <is>
          <t>. DENTWCACIS DO GATENTE DANFE [ Smmarsorac
ROL COMERGODELMRIRCANTESLTBAE? 1} ocean
Av PREFEITO WALL see ux | audios ote
mcr nau Fanaa use nro | ae
TEMEOUUA- PAK Pena: satbansa Cape eazers: | Eo an
me 0
Sénte 008
framrtin aa oom hava de hansae Wa perverse
JDA MERC ADQ OU RC 30 8) aT 22.26.01.00.57.319, 508/015 55.001,000.1
Tiana do Preto AE
saeres33 NAO TEM 8 513.1890001-35. "222560001201713 - 2026-01-6T0B:60/42-08:
rer Ras Poo CRETTOSE Paes
SKAL ENGENHARIA MOUDTTOA E COMERCIOLTDA Pussaarenocz se ‘was
Ele Lo TEP boon
ROO BR 349 2185 NO. 3105 BAO RABANDO eure sunv2e26
Taio Fore ca Enact [resaeae
TERESINA ives) 2406-4100 pe__[tecakazae
‘REDO - TRIAS &lt;TR "ancouner- rT - 10,00
a,
Gene de Chose co OS] Var SS Tins aa Cas So at Var ae ar aunaaasS Vas Tacos Pros
‘080 0.00 800 2.90 s3ee0
rm —— a ae TTI
2.90 00 | a0 a0 2.00 e500
cry Freaor ome Tans ANTT | acca sams UF Pa TE
IRD L COMBRCIO DE LUGRIRCANTES LTDA g et 2057A.10510001-85
Treas Taal
wae | oe] ee ee ae
a a
2 SECO CGA'
T ?
URI war rea Goa [RawcRe aE Trae
panananccaa Rewroco en
iroemarton Corleone
seo. vimass! VEN. 104 OP:2088 COND: SABOAGAMENTOPRE FANT: Bk MFEREABRICAC/[——
Tecvccoanpavon Conran AMERS No sTODK ENTREGA COWA TRUS POR HAD Welisoifde Paula
| ACE RECLAMACDES POBTERIORES) - PRAGA DE PAGAMENTO - GUANA - G0} Almogarifado:
mT TO GON AN CAPITULO OM DE 2A CAR (CORY Kl 18 var aane
i JOLIE.
‘osbwvos de RL GOWEREIODE LUBRPIGANTES LTUAEPP os Proce Go Noa Fiscal inca 0 wa we
Emisgo: 18/01/2076 Destinatério: SKAL ENGEMHARIA INDUOTRIA € COMERCIO LTDA Valor Tot 836,00 (000.188.905
[RIO RenS aa aaa Rai SERIE cot
aun</t>
        </is>
      </c>
      <c r="C256" s="15" t="inlineStr">
        <is>
          <t>NOTAS FISCAIS DE COMPRA JANEIRO 2026.pdf - p. 255</t>
        </is>
      </c>
    </row>
    <row r="257" ht="75" customHeight="1">
      <c r="A257" s="13" t="n">
        <v>256</v>
      </c>
      <c r="B257" s="15" t="inlineStr"/>
      <c r="C257" s="15" t="inlineStr">
        <is>
          <t>NOTAS FISCAIS DE COMPRA JANEIRO 2026.pdf - p. 256</t>
        </is>
      </c>
    </row>
    <row r="258" ht="75" customHeight="1">
      <c r="A258" s="13" t="n">
        <v>257</v>
      </c>
      <c r="B258" s="15" t="inlineStr">
        <is>
          <t>JE ROLAMENTOS LTDA noc PANEE
AUXILIAL
DA NOTA FISCAL
ELETRONICA
9- Eatraday—
1. Sida
Ne 000.025.509
SERIE: 1
FOLHA: ide
AYISIDK SNOUT. ROSA, 678
GAVE DE ASSO.
2236 0408 JLRS 4180 6175 SSDO 1000 0255 OSID 4927 T002
TWATUREZADAOPERAGAO
VENDA DE MERCADORIA ADQUIRIDA OU RECEBIDA DE TERCE
TBSCIGAOESTADONL
‘ZAMIeONe T2156 - 15017826 14 EAL
194591751 08,318.54 1/0001-74
DESTINATARIOREMETENTE,
PROMERAZKO SOC Goo Parana mana
SKAL ENGENHARIA INDUSTRIA E COMERCIO LTDA 23.655.038/0002-89 |15/01/2026
_————— PaRRSOSTTO oF CADE SADAENTEADI
ROD BR-343, 3185 SAO RAIMNDO [ 64076-410_|1$/01/2026
Race PONE fae Poscacanestapon,  frona pe salon
TERESINA 2107-4700 PI | 194446298 14:46:41
PUA
CALCULO DO IPosTO.
ASK He CALCUL Te Co
RTA ine | Tasca | TaRERATAO eo l SOAS
DADOS DO PRODUTOSERVICO
TARTS SE
0,00
‘SAGs ABICTONAIS,
‘ORDAQUES CcRNLEMENTARES
go suka Seaerta A CAEEITE FESOR, GE TORE, OE IS © O€ IPL. 16zt8.
etn’ GBs vent a tetbtos Fooeral se AY M20 CFE, WOMT crhburiw aacarealse HE 40,01 selon areaitenseneTicor
RESERVADO AO FICO</t>
        </is>
      </c>
      <c r="C258" s="15" t="inlineStr">
        <is>
          <t>NOTAS FISCAIS DE COMPRA JANEIRO 2026.pdf - p. 257</t>
        </is>
      </c>
    </row>
    <row r="259" ht="75" customHeight="1">
      <c r="A259" s="13" t="n">
        <v>258</v>
      </c>
      <c r="B259" s="15" t="inlineStr">
        <is>
          <t>: NOSIS, FMISSA0: 151012026,
&lt;arnag SERPEG TRATORES LTDA) oles | AMIDA ANIRNMN ETE
ome t Nota Fiscal Eleianics
_ ee Oy
RUA AFNEDITINGS 1621. 1621 -MACAUBA -TERESIRA-PL-CeP | N° O0G.033.175 — F Consuta de ontencidade wo portal nacional da Nie
SEIOLSTAATORESEMOTRIALLCTT 1 | Serres 1: | woke ne eat oe Se
i Pigina | de 1 Autoren
VENDA DE MERCADORIA ADQUIRIDA QU RECEBIDA DE T__-
ia ‘04453.92100001-60
DESTINATARWOMR) ENTE. f
ERESINA. 8621074700 194446298 10:56
CALCULO DO IMPOSTO.
eS og ng PO oP ase dC
re ooo 00 225 ool pornos |
0,00 0.00 225 . 0. 9.00) 42.75 |
‘THANSPORTADORAWVOLUMES TRANSPORTADOS. lok. .- |
pew eee er |
a GE Gr PO ai
il cc M2 a a ck =
(u/ot/p6 OE :
vf
Ah.
ir? a
LR
QUEGAE ed
i :
tot : .
i a 1
Bo . desenavitopr TReSoftcom</t>
        </is>
      </c>
      <c r="C259" s="15" t="inlineStr">
        <is>
          <t>NOTAS FISCAIS DE COMPRA JANEIRO 2026.pdf - p. 258</t>
        </is>
      </c>
    </row>
    <row r="260" ht="75" customHeight="1">
      <c r="A260" s="13" t="n">
        <v>259</v>
      </c>
      <c r="B260" s="15" t="inlineStr">
        <is>
          <t>RRCKBIBAGS DEF A LMA FERED AGUALIFALTDA 03 PAODUTOS DOU SERUICOS CORITANTIS NA NOTA FOCAL LETRONICA AQLADO EISSIO
"Ua, VALOR TOTAL ISON BESTINATARO: 0910733 SEAL ENG ND B COMED”
bara DE RECERNMENTO RDeSTINCACID &amp; ABSTNATURA DO RBCEREOOR
+ FALIMA FERRO AGUALIMPA DANFE
‘ LIDA DOCUMENT AELAR
SanoraracAL
ETROMCA CaS en
1 ‘Enderece: AV JOAQ XXII 1151. emma Ty | Have De sen +
perry
Si ocr coe wrtoutzagg [22001455498 32009135 550 1008 na 16146440896
Fone: (R5)SZE62 53 - CEP: 64,000-418 ‘SERIE 001 ‘Conauka de sutenticidade no portal da NF-
1 FOLHA sn veww.oda fezenda.gov.beiportal
inonmcadionagio ~ roan arroazcn ce wo
|S1e2/405 VENDA MERC. DENT. ESTADO ___trmaevoparecses 1201026 145057
rec PORE eer
Epa _
~ ~ ~ enc [item
18000720 SKAL-ENG INDE COM LTDA Héssoseomss [tania
tema - anes Eee Ee]
Etec : Foxatoo _ Sroae [aan
fame rr ae eo 1
laowosie leet pretteggntinn Ie imccase er
TA __ VENCIMENTO. FATOUW [Anour  vENciieNTo  vaLon | Farr VENCRAENTO. VALOR
iz 185,04] .
: a aaa —— va —— Tanaka. Ween —~ [yan aS
= wl FT hina me
a aramomt "Wamaen eto
0 236 0a aco ss
Welisovfde Paula
Atmojarifado
H RG. AO58. ANS
i 3Q f/f O4/ 26
on</t>
        </is>
      </c>
      <c r="C260" s="15" t="inlineStr">
        <is>
          <t>NOTAS FISCAIS DE COMPRA JANEIRO 2026.pdf - p. 259</t>
        </is>
      </c>
    </row>
    <row r="261" ht="75" customHeight="1">
      <c r="A261" s="13" t="n">
        <v>260</v>
      </c>
      <c r="B261" s="15" t="inlineStr">
        <is>
          <t>3°78 D101 9724 60000987 £690 1000 1290-2790 2842 1010
TE
‘Consulta do autentickiade no portal nacional da NF-#
‘wor nf fazenda gov beiportal
Tae oF ormUEIS
VENDA DE MERC. ADQURIDA OU RECEBIDA DE TERCEIROS.
(“rien antares oo
20001817400,
ovo 12078 18-2028
ES
waciglo es nom ec FT OO OTTAN oer
recy 7 . o1p72400000307,
DESTINATARIOREMETENTE. ~ a
‘woueswclo s00m Baar BAAR BES
SKAL ENGENHARIA NDUSTRIA E COMERCIO LTDA 017 72.965.096n00289 22008
BORE Ta IGTRTE oe DIR BRA
AV $00 FRANCISCO 4000 EXTRELA, jecars-eso__| zanw202e
“amano Foner [ar [ails canoe HoRADe oD
TERESINA, oay2107-4700 Pe__[yeasezoe 1620
‘GALCULO DO mPORTO.
oo Tg EBT TETA aR DOT
140.20 18.20
TORTS PRE Roe OSRRSIAS Ti Tora DA
96 r 2,00 14820
_THANSPORTADORVOLUMES TRANSPORTADGS
aZA0 SOOM. Con
aaa sore
Sd earece
ted
(DADE DO PROOLTOIERVIECS
ae ay
wie Snorkel |
a Se é
e
FEHROLESTE LTDA
Av, shy ‘bomen, #700
1B Fem Wena « CUP: 64208198
prose iares
BSTC om.</t>
        </is>
      </c>
      <c r="C261" s="15" t="inlineStr">
        <is>
          <t>NOTAS FISCAIS DE COMPRA JANEIRO 2026.pdf - p. 260</t>
        </is>
      </c>
    </row>
    <row r="262" ht="75" customHeight="1">
      <c r="A262" s="13" t="n">
        <v>261</v>
      </c>
      <c r="B262" s="15" t="inlineStr">
        <is>
          <t>NFS-e -NOTA FISCAL DE SERVICOS ELETRONICA - RPS 789 Série 1, emnitide em: 26/01/2026
ANDRE VIANA VIEIRA ME
Avenida Gato Vargas, Zt
REDENGAG + Torus -PI-64017816,
‘TELEPONE: ananO620578
EMAL: vokecambhoosgoma.com
(CNS: 16.887 BOOO-O8
INSCRIGEO MUNICIPAL: 4202005
BADOS BO TOMADOR: -
| nome razio soca, | ean.
‘SKAL ENGENHARIA INOUSTRIO LTDAA E COMERCI | conteblede talc
eNoEREGO BARRO DIETRITO cer
AVEMIDA 3A0 FRANCISCO, 4000 ee EXTREMA ‘070450
MaNCPIO ue ‘Pals PF FONE OUTROS RNSCRIGAO MUNIIPAL | INSCRICADESTADUAL
Tews a Bread 2a.966,o0a0002 69 spears
© oceamacsovessarcos .
SERVICO DE TROCA DA MANGUEIRA SUP DO RADIADOR.- TROCA DA MANGUEIRA DE.
P/ vous vermenno a@eyuaa®
(COOGO DO SERVICD
ee renee emt ———_—___- a a
/saiNECIPIO ONDE 0 BERVIPD FOI PRESTADO NATUREZA DA OPERAGAD,
2211001 Teresina Eiigheal
OUTRAS INFORMAQOES _
YECULO. ORYIM
esa
MARCA: VW, MOOBLO: 90.280 CRM 6X2, COR: VERMELHA, CHABSL: BO985620204R 120007
ox 1972
(poworad by atten Gmouey</t>
        </is>
      </c>
      <c r="C262" s="15" t="inlineStr">
        <is>
          <t>NOTAS FISCAIS DE COMPRA JANEIRO 2026.pdf - p. 261</t>
        </is>
      </c>
    </row>
    <row r="263" ht="75" customHeight="1">
      <c r="A263" s="13" t="n">
        <v>262</v>
      </c>
      <c r="B263" s="15" t="inlineStr">
        <is>
          <t>Recebemos da ANDRE ANA VIEIRA Mi
ETenree ‘orgie dn nol Tec iicada no lado: Dala Ge amisate: 2601/2008, Valor Teal A
Beer ees Svat cenro #0 LTOAA E COMERCI AVENIDA SAD FRANCISCO, 4000 - EXTREMA - Teresi
NF-e
N° 000.005.589
eo
‘Avenida Gotuto Vargas, 2501
REDENCAO- Teresina -Pt
‘CRP; €4017-515 Faee:(96}00952-0578
DE AGERE.
‘2228 6146 4978 £3900 0104 6500 1000 098s Sant 7t2 AAT
Commute arcade no port ntana a We
npifportal
[arses
Venda interna,
SITE RIT
222260002230091 28/01/2026 16:20:48
16.637.583/0001-04
SoA
196052625
a ee — ra
SKAL ENGENHARIA INDUSTRIO LTDAA E COMERC! 3-656.0380002-89 | 26/01/2026
AVENIDA SAO FRANCISCO, 4000 EXTREMA 64076480 | 25/01/2026
rare o—aeana ay
Fecgsina (e6}2107-4700 Thr [iotaaczsa 1620-44 |
fae har PERSE
ene eae a RTE ST
0,00 0,00 0,00 0,00 154,33 498,70
Sad aa aa a aanKEE—
0,00 0,00 401,80 0.00 0.00 396,80
TORT
P/vas veemewo QRYANIP
feb
4392006
Merit (0%). Fonte: IBPT, VEICULO: ORY1A48
334404
asgesezaxne
OS: 1372
‘pprox. doe Trbuios: RS 66.10 Faceral {18.85%}, RS 68,23 Eatedual (22,23%) 0 Fe 0,00
Manca vw, MODEL: 30.280 GRM 8X2, COR: VERMELHA, CHASSI:
Fooest by ha tay</t>
        </is>
      </c>
      <c r="C263" s="15" t="inlineStr">
        <is>
          <t>NOTAS FISCAIS DE COMPRA JANEIRO 2026.pdf - p. 262</t>
        </is>
      </c>
    </row>
    <row r="264" ht="75" customHeight="1">
      <c r="A264" s="13" t="n">
        <v>263</v>
      </c>
      <c r="B264" s="15" t="inlineStr">
        <is>
          <t>‘ toe e . ,
mercnereronoommmmmre ML UU |
i evan Pt Cop 6412-79 eg
O—&lt;—
SS a
a
_——
j= ——_ FE
ENTREGUE
| SEY
r Pavro vere wane No CoRaselie : |
i + aot lll mala lai hneemeenaliemiaaal
|
; Co</t>
        </is>
      </c>
      <c r="C264" s="15" t="inlineStr">
        <is>
          <t>NOTAS FISCAIS DE COMPRA JANEIRO 2026.pdf - p. 263</t>
        </is>
      </c>
    </row>
    <row r="265" ht="75" customHeight="1">
      <c r="A265" s="13" t="n">
        <v>264</v>
      </c>
      <c r="B265" s="15" t="inlineStr">
        <is>
          <t>PREPEN UNA MUNILIPAL LE
. DANFSe v1.0 1 nN °
NF Seva eebes Documento Auxilior da NFE-8 poet Megestone NOR MeN,
(have de Acewee da NFS-«
‘ror azz 18668 460001 12000000000000426018 167380856
Nemate danre-&gt; Competinca 408-2 Data 6 Hore 08 eninto da NES
2 2eir2028 2ypwe02s 119028
Nomere da DPS Séce da DPS Date Horn de wae de DPS
? 0 2yotranee 19 30:28 sneer na HS vn
EMITENTE OA NFS@ CELT ORE TR Tahoe
Prestador do Sorvio ‘15569.14570001-12 (86) 9534-4852
Meme Nome Emprecara
GR DE MORAES CONSTRUCOES GILVANROORIGUESDEMORAES@GMAIL COM
enderogo Sonica ore
BENEDITO JONAS CORRELA, #40, IRCEU ARCOVERDE Pamabba -PI 4211-208
‘Sigtes Neclont na Data de Competincta Revie de Apurasto Tibia puke SA
Optante- Miezoemnpreea ou Emprots Ge Pequeno Porte (MEEPP) Rage de apuraglo dos tbuios federeis © murwcpal pelo Smples Necionsl
TOMADOR DO SERVIQO __ORPITORF Tae Tracie Wai Tao
Nome Nome Empramatel Ent
SKAL ENGENHARIA INDUSTRIA E COMERCIO LTDA :
Endecogo ania ee
EX 51800, 4000/0, EXTREMA Teresina -PI 4076-450
ee LEED DOSETGS NAG IDENTIFIGADO NA NFS-6 —
SERVIQO PREBTADO
tego da Tetapo Nacional tig de Trung Hunkcpel Lovet de Prostaeso Pela cls Preaacto
07.02.02 - Execugao, por emprekade O07 - Execunso, por amiprefiada cu Pamaba - Pl :
04 subempretted, do obras Ge co... subempreteds, do obras da co
Deeg do Seren
Seago de calgamento.
‘ONO OBRA: 90,025.09889773
FRIBUTAGAO MUNIOIPAL
Tinting do 8H Pala Peano da Prosanho do Barco Munkip de ncidtnca do 16SON gle Eapeclal ce Tebnencto
‘Oporagae Tabutivel : Paraiba - Pt Noshum
Tipo da maria Susperaa ca Eightidada do ISSCM _Nimera Proceeen Suspanao Banafllo Municipal
Yoder do Soro asoonte tncondlonedo Total DedusteeReduptos Céiulodo BM.
FS-40.00000 : : :
5C(880N Areioes Apna amngle do 1580 189QN Apurede
‘FRIBUTAGKO FEDERAL
Rar oP Pato PRICOMMEICSLL Recon
nM. corvacre ImetederAcOrMGeSL TOMA TBUApAO ene
VALOR TOTAL OA RFEE,
‘aloe do Sarigo ‘Deeconto Condoneso ‘pescoeNs incontctoned {50 Redo
RS 40.0000, RS RS :
IAAF. CP, P18, COMING, CSL PISIOOPINS Devoe YYalor ico da NS-e
R8.0,00 : R¢ 40.600,00
‘FOTAIS APROKIMADGS BOS TH
Federals tetas
Munkipets
TRFORIEAGDES COMPLEMENTARES:
(Gord Oban: 90.025.0808978
2) ESCA PE Gen acne
Roto VIX E€ Oo CAV.</t>
        </is>
      </c>
      <c r="C265" s="15" t="inlineStr">
        <is>
          <t>NOTAS FISCAIS DE COMPRA JANEIRO 2026.pdf - p. 264</t>
        </is>
      </c>
    </row>
    <row r="266" ht="75" customHeight="1">
      <c r="A266" s="13" t="n">
        <v>265</v>
      </c>
      <c r="B266" s="15" t="inlineStr">
        <is>
          <t>[Sepraputes coneranres Da TROTTER mca mOIcaDA nOLADO NF
|aATATF RocenusTo ~~ OENTRCACTOASDUATORA DO REREREDOR - - N*s 000.264.3466
[series |
DANFE
eet Pea lanes
MG Vipg0S AUTOMOTTYOS LTDA]
0- ENTRADA
ye ie ee
AUTOGLASS Terrie PU Fone (81932152247 | yr 99.264.146 | _ 2226 0107 5717 4600 3381 S808 1008 2643 4615 2706 7120
‘Série: 1 ‘Consulta de aulemticidade no portal nacional da NF-c
Folba V1 wow nfe fazenda gov br/portal ov ao site du Sefiz Autorizedors:
a OPER SSR MCAS q
IVeuda de mercadoria sdquirida au receblda de teretivex em op. 22I269002 591389 - 18/01/1026 40:85
Incase TABU SRD TAGOAL WO OEE FORTE
195142993 97.571.746/0033-8)
SESTIRAT aE —
ISKAL ENGENHARIA INDUSTRIA E COMERCIO LTD. 23.655.038/0002-89, 28/01/2026
RECT EROS a on reson ~
|AV SAO FRANCISCO, @ JEXTREMA 6076-450 28/01/2026
ERIS ETT i RETESET i re A
'eresinow 9)3218-7999 | PL 194446288 cery
AT DUREATA
10M Vat at SE 1
[pUrLicaTas: i
eee a E F ee
0,88) i 0.00] 800) 2,600,008)
0,08] 0,00| 9,08 0,00] 0,00) 2.600,00|
FSSRSRRR Oe oes aArOSTeS rasieRETAA ERD RAT TREADS WERE TERT AT
9-SEM FRETE
[eso Crd oF RTS ETAL
reno —arEER raw ERE sro ree
0,000] _VIDROS/ACESSORIOS 27,200) 27,200]
bos towns rsekvcs
Be CHI DO FRG ER owen [aca aor] ov | cower, | Se | VRE | AEE [SE] SS
Wide |VES Pa BAF CF WW CAM VE GRP weortiea | wea [Sans [PCA Tea|” 2eanne] 288080) ana] 8a] Cl
i
1
i
|
i
e
Sy ty
Q/ 1 it
4, '
i
Tua nes
fascnckonanacra: TOLD RTT Ti ETO ACR TOTAL ~
ston a * a
SABO RBITONAR 1
cM CRGDE COMMER RTS aR
IRECLAMACUES GU SOGE3 foes 080 707 sts0
[Bas 3 Destanano:kalcesubv@gmallcam
Fe BID</t>
        </is>
      </c>
      <c r="C266" s="15" t="inlineStr">
        <is>
          <t>NOTAS FISCAIS DE COMPRA JANEIRO 2026.pdf - p. 265</t>
        </is>
      </c>
    </row>
    <row r="267" ht="75" customHeight="1">
      <c r="A267" s="13" t="n">
        <v>266</v>
      </c>
      <c r="B267" s="15" t="inlineStr">
        <is>
          <t>cron e DINO TAS SDA ME os rfac x rgn cenmn a Fil Baa wbx 0 ds
[Emato. 210172026 Deve: SKAL ENGENHARIA IND E COM LTDA Yalor foul $900
NE
Nt 012,579,206
[BTA 00 RECESDENTD [DESTIFCAGKO  ARIDUATIRA TO RECEBEDOR
Série 001
Doe ANE sn
‘Nota ibe] Eladnice
0- ENTRADA —
resaiba LE
(2226 0120 4221 0800 0180 5500 1012 5792 0610 0100 3534
N° 012.579.2096
» ‘Série 001 Consulta de aurenticidade no portal nacional da NF=&lt;
JU) FERZEPATM TAS Folka 1/1 ‘worn aft. zenda gov br/portal ou no site da Sefuz uutovizadora
imran aac TOT
‘VENDA DE MERCADORIA ADQUIRIDA OU RECEBIDA DE TERCE 722260001897073 21012026 10:08:54
[RSoREAO ETAL ]DSSCRICKO BSTADUAL OO RURGTTIUTO TRRUTARND error
195405168 20.422. 0301-80
DESTINATARIG/ REMETENTE.
Ro ESR aura enaareanas
SKAL ENGENHARIA INDE COM LTDA 73.655.0300002489 21/2026
cog TTT = ones
TRODOVIA BR 43 NUM IBS, - SAO RAIMUNDO 64015.005 2100/2026
jaar lr — freer roe coors
“TpmesIcA PL #1_| 9621054300 194446298 10.0832
&lt;MW.0 vo meosTO
feseorcamovern [ORDO peor Cccp ORR aT [wa Tm aaa RTE
4926 1169 090 1.16 005846 5900
aac ao aoe [oom pare RE ~ [LRT paar
9.00 9,00 0,00 0.00 9.09. 59,00
“TRANGFORTADON/ VOLUMES TRANSFORTADOS
RTS RRR aa —~ ESOT SRT
0 - REMETENTE,
aan omc ane
[aR eae aed fa paneoRE oo
DADOS DOS FRODUTOS/SERVIGOE
om DeiciipomancTo aco we |= loop] = | ae eel ae eee] SS ee
RCE ETT a
fom caimesmbnens nar
Jpn a sn 08
Len cos oe uw cnn Rras0
Tie [COVA 1 Faudea BSP X 14 FEMEA BSP ACO Tonaay ae [5103 | PC 1,000] Ds) O09] 900} Fi] a5 ‘t.00) 2.30) 0,00,
me xan mses 83272,
Joa of tea RS 000
Lista cub aes vue C38 302
6 fe. Fava) ee] | tan] — ao} — a] — a} 23] — a] — aoe
me Ca SENT Rs ir
so cas ono wancehs B82
4
R/ compncsior. Bercuko
DDADOS ADICIONAIS
ror nm - - aman
[econ con cc np Uni. 5 YE NF Ena pany YVE Crane S111 Taman OTA
Jascn a Sta Meng: Tov Oats
emer ioe
owas Pape 2-CARTADCREDTIOL
fetal ee ce ess waza?
hota teresaat
foratces eva
aa: 9PM.
OATAEHORA Da RARRESSHO- 210UROH 40834
BRP. NEY USB Ann Sena Aran</t>
        </is>
      </c>
      <c r="C267" s="15" t="inlineStr">
        <is>
          <t>NOTAS FISCAIS DE COMPRA JANEIRO 2026.pdf - p. 266</t>
        </is>
      </c>
    </row>
    <row r="268" ht="75" customHeight="1">
      <c r="A268" s="13" t="n">
        <v>267</v>
      </c>
      <c r="B268" s="15" t="inlineStr">
        <is>
          <t>FF
Ferronorte
* [DANF-0 “stmerient
ny
ao
TOL
2220 0101 9724 2000 0128 5300 1000 S804 0912 5211 9412
‘Consulta de autenticidade no portal nacional da NF-@
ono x
“a Gest iesetuolsn te
‘www. ns fazonda. gow. beiportal
ISern ime macrwen socnies.conaran s-20008,
Perce
Ta BF SRRIS Troon oy RareieOer +
‘VENDA OF MER. ADQUIIDA OU RECEBIDA DE TERCEROS ZEOOUNTADT a1 r2028 on 6t:80
Tanai eee Tis EBD Bon oOTANS on
soesereas OreTzemn000115,
DESTIMATARIOREMETENTE,
ERATO wo aever Bata GUAT
SKALENGENHARIA NOUSTRIA E COMEAGIOLTOA a7 assosuo0228 sani
BORED RRA = SR OTT
[AV SAO FRANCISCO 40000 EXTREMA emreeso | seorenas
ao oy vF  [eaeeioestasan Toma oe aoe
TERESINA 2532007-4700 P_[soaceeoae ones
FATIDY
spo meosTo
DAIBECGUS NN TaD Catt HERES RTT TATTOOS
mea saz 00 o00 wa
TORTS TT TES Ta BS Sa TPE TREE TORT ETT
2.00 2.00] 00 0.00 o90 wise
"TRDUEFORTADORVOLUNES TRUPORTABOE
peer a a Cd
Son ite a
oo Taare a
SRT eee coo roo TaOeaTe oo
2404 ers 204 2404
‘DAG0S 00 PRODUTOMSERIAGOS
cae | BeaDerODOMEDTONNNDD _aneCem vom [eres ros [em Tag [oe
prey veces BIR] a — aH — ops
6 le
? &amp; i
Propums Eelevapon ZETA
2018508
Cs TERR DR RE 1 Tee THROAT
entice So ETE aS</t>
        </is>
      </c>
      <c r="C268" s="15" t="inlineStr">
        <is>
          <t>NOTAS FISCAIS DE COMPRA JANEIRO 2026.pdf - p. 267</t>
        </is>
      </c>
    </row>
    <row r="269" ht="75" customHeight="1">
      <c r="A269" s="13" t="n">
        <v>268</v>
      </c>
      <c r="B269" s="15" t="inlineStr">
        <is>
          <t>pete do Emus ==
LG esse es
Nee: 300410 SERIEL | laz25 0101 #724 4000 0116 $600 1000 3804 1012 2873 B80
Ferronopte vei wx i f —Conauta de autentcvede no portal nacional da NF-e
MOTE mt stadaQuciconts i | wrew fe fazencia.gov-briportal
ae a
San BE ounon utaremacr acon ae vacua
ae x
DESTINATARIOMEMETENTE.
same _ —
ex enoeananousrnar nt Ton ao [Sienme [woe
oa —— ae
merino was ona Seu [eee
aa end —-
Eon ‘mae ae
=
Le a
vm an om 2 me
’ Se —
re w= om = ms
a a
Ene
a ine Kl
—_ wom —
= ze =
Cao So ROOTORETE
Pat [es Bz EE a a ik
2 Eeeaee~.s | aos le i 2 a fe] 22) oa
cours dt
a ae
GALCULO 00 1880"
T_T
ST re =
ee va
= pT</t>
        </is>
      </c>
      <c r="C269" s="15" t="inlineStr">
        <is>
          <t>NOTAS FISCAIS DE COMPRA JANEIRO 2026.pdf - p. 268</t>
        </is>
      </c>
    </row>
    <row r="270" ht="75" customHeight="1">
      <c r="A270" s="13" t="n">
        <v>269</v>
      </c>
      <c r="B270" s="15" t="inlineStr">
        <is>
          <t>UTE INTEL
Peace BEAEESD
2299 0°71 972A BOON 0347 GEO 1000 1328 211 0672 0216
‘Consulla de autenticklade no portal nacional da NF-&gt;
+ UeVT Be
45076003-87),;
BTe ETDA-”
ew rte fazanda gov.brporta)
errs
‘azaeNOSTTI990 app r20ns 18.1822
er
Drarzesno003e7
DESTINATARIOMENETENTE, =
meliso soe, oor Taraoeuaiate 7
SKAL ENGENHARIA NOVSTRIA E COMERGIO LTDA arr 2.885 cann00228 2012028
Baa ESTE i TROT
AY SAO FRANCISCO. 4000 ao, jexareaso | t20 2070
wonene fenrnas ea wana on ae
TERESINA ose? 4700, Liston saa
FASO ~ 7
SALCAO, 7
TEBE THR TAL BER RIOTS
00 280,56
TaD rg | TERROR TRL
sarko Oca en a a LC 7
B- SemnFon #1
TERRES ra Ly
aa ica a rnd
1884 aaa
DADOS 00 PRODUTORBERVIEDS
coe | a
7 war}
nz va2s|
sto] __saneol
goon eae
bobcat
3) PABA OE Cowman,
RTT TOT</t>
        </is>
      </c>
      <c r="C270" s="15" t="inlineStr">
        <is>
          <t>NOTAS FISCAIS DE COMPRA JANEIRO 2026.pdf - p. 269</t>
        </is>
      </c>
    </row>
    <row r="271" ht="75" customHeight="1">
      <c r="A271" s="13" t="n">
        <v>270</v>
      </c>
      <c r="B271" s="15" t="inlineStr">
        <is>
          <t>EUEREMOs iM SANTOS AUTOPECAS |-TDA 05 PRODUTOS BOW SFR\
TADKO EMISSAO 1401034 VALOR TOTAL: RE 270.00 DESTINATARIO:
TANCINCU A000 ESSTREMA Teresi
Nt-e
" BH.1036,768
IDA “AVERIDA SAL,
CONSTANTS DA NOTA FISCAL ELETRONICA INDICADA, |
DREAD S aeciaaell
| ‘Série O01
TERT CAAD DOATINTE
Decumotwe Auziiar da Not
M &amp; SANTOS AUTOPECAS LTDA
awd He 316 km 09. 15400 - KM 08 LOIAS 05 E 07
ANGIELIM De. BAIXG ~ 64000-010
‘Toresina Pl Foner: (86) 99959-8282
DANFE
Tiseal Eletrseiea
i)
Tne
LETS DF ACF
2216 0110 3825 4000 01.90 S900 1460 967 6516 .1069 6263
‘Comaatta do anenticiade wo portal nacional ds Ni
sore nt Senda yoy. bnpurtal it sie Ua Sui Autoren
olla 12
TCR OT
ecoraa———“a
ATTRA. IRSCREAD BRERA
= 194669718.
PROTOCOL SDE ACTOR SOD Ls
222260001235195 - 16/01/2026 14:57:49
RSC ASTSEABTAL DSHS TRIAUT yes cer
1382 S40/ 001-30
ESCINATARIO/ REREAENTE,
DT RAZAD SORTA CA CaS
KAL ENGENHARIA INDUSTRIA E COMERCIO LTDA, ___ =
sis Tram: DTC
.VENIDA S: NCISCO, 4000/0
‘ere
ero
on Tanta de Crate)
Fa. —
NAORDOR 3S — aie BECHEC nary TERT TE PR TTRD IF KTR EET ETAT
0,09) 0,00) 0,00) 0,08) 0.00, ery
AEN DTRERRD SORRENTO i aa aie F TORAPDNSt
0,00) 0,00] 0.86) 0,00) 9,99) 9,00) 270.0"
TADOR / VOLAMY
intr RMA POCAL nae ram ACA DD VO ——F—oa
‘$+Sem Transporte
eT aca F TRERCTO STAT -
aan la Pe TenaRCRT er re ro oe
‘ADS DOS PRODLITOS / SERVI
TRESCRECAG DOMOOUTO HERVKGO _y NENSH JOCSOGR) CTOR| TH, uN, GRR, TAGE EGR BERT | SE | PE ue
VersinwRS youk 30.330!
aie on
es sm a cam Pe
‘NA GOs COM RETA
1, Comribuinte: PLACA: QRXTALT
“OCUMLNTO EMITIDO POR ME QU EPP OPTANTE PELO SIMPLES NACIONAL
‘RA DIREITO A CREDITO FISCAL, DE IPI. tinal do Destinatrio: contabilidade Grksifixarm
rere
REVISOR</t>
        </is>
      </c>
      <c r="C271" s="15" t="inlineStr">
        <is>
          <t>NOTAS FISCAIS DE COMPRA JANEIRO 2026.pdf - p. 270</t>
        </is>
      </c>
    </row>
    <row r="272" ht="75" customHeight="1">
      <c r="A272" s="13" t="n">
        <v>271</v>
      </c>
      <c r="B272" s="15" t="inlineStr">
        <is>
          <t>ae : Prefeltua Municipal de Teresina
oP ‘Secretaria Municipal de Finangas
Nota Fiscal de Servigos Eletrénica
NFSe - Prestador
DADOS DA NFSe
Data shore de envision — Compatincia ——‘Nimoro/Séite
yeov2009 1640-01 0772098 rt)
EMITENTE PRESTADOR DO SERVICO
CPF/ONPU/WE snacrigdo Monel ‘olaton
24.978, 7670001-90 ass0740 (80) 8573-2940
Nome Nowe Eevprosecal E-mail
IMAPDNA NAVARA FLORES GUMARAES - ME RODSONCB@GHAIL.COM
‘Encarege Murlefio cep
[RYEMIDA HENRY WAL OE GAJTALHO 4572 PAROUE 540 JOA ‘TERESINA / PIBRASIL enu20770
TOMADOR DO SERVICO
CPr/CHPL/ ME Inesrigboflunicipal “Tortora
23.656 034000259 605164 :
Wome Rowe Empresarial Ena
'SKAL, ENGENHARIA INDUSTRIA E COMERGIOLTDA.
é Municipio ore
Fie rcxcome BARC EXTRENA TERESINA  PISAASL saaredsa
SERVIGO PRESTADO
‘NAR /CEO
1520-007-01 . SERVICDS DE INSTALAGAO, MANUTENG.AO E REPARAGAO DE ACESSORIOS PARI VEICLLOS AUTOMOTORES
Sorvigo
14.01. LUBRIFIGACAO, LIMPEZA, LUSTRACAD. REVISRO, GARGA E RECARGA, CONSERTO. RESTAURAGAO, BLINDAGEM, MANUTENGAG E CONSERVAGAO DE
Local da rostagio do sarvign Pais a prastagde do servion
TERESINA! BRAS
DESCRIGAO DO SERVIGO PRESTADO
SERVIBD DE EEDA no chm 180
Suvite br sooonmo 180
Pen aoa
, wy
Pf werceoss BYA - 3h
TRIBUTACAO MUNICIPAL
Exigpilidace do ISSN Muntefplo da Inckdincia do 1850 Responsive palo recotimento da tSSON
Exgivel ‘TERESINA - PI PRESTADOR 00 SEAVIGO
Risleapho do ISSN ‘SHusplo do prestador do servigo paranle 0 Simptes Nactonal Regime eapectal de tiburagie do ISSN
NAO RETIOO AQ OPTANTE. :
CALEULO DO ISsaN
j ‘Yalortotel da NFSe 5 ‘Tol das dedugSes (Rf) Dawe. Insondiclonade {R¢) Gaea de cdl do (SGQN (RE) All. (4) valor do ISSN (5)
'300°00 2.00 oe0 30000 5.000000 1500
ETENGUES
Te80N FH) IMME (mt) Psa) OnINe (a8) ns (F) cout IRs Curces rotengbas (88)
0.90 20 0.00 0.00 0.80 2.00 2
VALOR TOTAL
(ieee de cAlculs 60 (SBOW (AS) Rateng5ee RS) Desc. Inconsicioneda {RS} Desc. condicionsda (RS) ‘YolorLiguido da nfsen5
990,00 0.90 200 209 300,
INFORMACGES COMPLEMENTARES</t>
        </is>
      </c>
      <c r="C272" s="15" t="inlineStr">
        <is>
          <t>NOTAS FISCAIS DE COMPRA JANEIRO 2026.pdf - p. 271</t>
        </is>
      </c>
    </row>
    <row r="273" ht="75" customHeight="1">
      <c r="A273" s="13" t="n">
        <v>272</v>
      </c>
      <c r="B273" s="15" t="inlineStr">
        <is>
          <t>ry . Prefeitura Municipal de Teresina
Secretaria Municipal de Financgas
Nota Fiscal de Servigos Eletrénica
NFSe - Prestador
DADOS DA NFSa
\aesmnosemots conpstings Mowe / tl
jbamemmmccecmete | Sones ba
EMITENTE PRESTADOR DO SERVICO
i crevoves ne vg mani a
wrenches se ped Soro
tere one Eoerane cout
: Saree Ear onaraes- we Fal cnecaun con
tomers nos ce
EOS mic on ama ereraci 0080 we moan Soon
TOMADOR DO SERVICO |
CPF FNP HE Ineeriguo municipal Tetetone |
Pee soe
‘fo Rane erent ro |
| Skat ENGENHARIA INDUSTAIA E COMERCIO LTDA. :
Endy Municipio cep |
Eigoconcscoume meno ennon MTom arom
SERVIGO PRESTADO
canzreso
+4520.097-01 - SEAMIGOS OE INSTALAGAD, MANUTENCAO E REPARAGLO DE ACESSOAIOS PARA VEICINOS AUTOMOTORES,
‘Serdgo
1409 LUBRIFIGACAO, LIMPEZA, LUSTRACAD, REVIGAO. CARGA E RECARGA, CONSERTO, RESTAURACAO, BLINDAGEM, MANUTENCAO &amp; CONSERVAGAO DE
Loved de preatagdo de servign als da presiacto do atic
‘TERESINA?PL BRASIL
DESCRIGAO DO SERVIGO PRESTADO
fmyigo DA vALMULA RELE #100
pe 198
TRIBUTAGAO MUNICIPAL
Sssppinde 30 SoH eins di nciddneta aspovtadvet pale recethananie de EQN
Engh! TERESINA PRESTADOR DO SERVIGO,
Retoaghe do #680 Stungde se preetador da servige peranta 0 Simple Neclonal Pagime eepecie da kibuiegbo do ISON
NAO RETIOO MAG OPTANTE .
CALCULO DO ISSON
: ‘Valor ol de WFSe (Rs) ‘Tela dan decgbes (RF) Deas. incondiconada (RS) Base de ctlowo do ISSN (RE) Alla. TK} Vator doUSSON (RS)!
: 180.00 900 00 180.00 5,000000 200
: RETENCOES:
: 508 (5) Inne (5 pe conn (nay arse os) esLins) tras retngies (a5) |
: 000 0.00 0.00 0,00 0.00 0.00 00
| VALOR TOTAL
| Base de eitouto do FSBGR (AS) ‘Retengtes (RS) Ooec. ncondicionede (Rt) ‘eee. condotonado (HS) ‘Valor Liquide da i
190,00 09 00 000
| INFORMAGOES COMPLEMENTARES
| 7] B90 AHL ~LWLAQAGI- f</t>
        </is>
      </c>
      <c r="C273" s="15" t="inlineStr">
        <is>
          <t>NOTAS FISCAIS DE COMPRA JANEIRO 2026.pdf - p. 272</t>
        </is>
      </c>
    </row>
    <row r="274" ht="75" customHeight="1">
      <c r="A274" s="13" t="n">
        <v>273</v>
      </c>
      <c r="B274" s="15" t="inlineStr">
        <is>
          <t>[RECEATuN4C6) BE PIETOS LTDA, Ac) MERCADOELAG)CONSTANTES UA NP IMBICADA AOLADOL
i
an eTARSTET TE ART EAEBAARA TSMR
RM?
PINTOS
Impossivel nfo comprar
Pintos Lida
AY. Souq Nelo, 3150 - Parque Ileal
lDewineme Auxilias dl
etsaice
i
"72S WL8G DTG oS) (56S 551 vedo O28 TEE 617 7213
‘Teredea- PH “Comseha de watentielande nn porealnucionat da NB-e
CEP 64.078-625 TRL O6-9984-3549 ‘www ale Sazenda gov-br/portal on oe ste dn Sefer Autecieadors
Tira a
ea. -
na AL :
wg | terrae .
STATEMENT oT
Raieinasla wan wanna
Gea pen
seams
oo ..
am
5
TSaIoeTET” ~
TET
(pasar Tonearan naz PRATIRA IEA SLBA D&gt; DUNS. Hsp 1 TET NETTIE]
(sie _[erenncoer maa Paw 100 C2ACO! EX Ex) POET
(Aas AOA
(roecuarts comunmaans -
Fedo Sn nt BS 08 kal AEA,
Fi bv
rp. znastenunoe4) VALOR ICUS DEAL UF DGSUINO: _— 0f0 Vor Ap Taba TAA 6M
Plarte ursta mae | roquetno
"Baa Sr pe BF TCT EAE Safe TST AAT gn nat EST.</t>
        </is>
      </c>
      <c r="C274" s="15" t="inlineStr">
        <is>
          <t>NOTAS FISCAIS DE COMPRA JANEIRO 2026.pdf - p. 273</t>
        </is>
      </c>
    </row>
    <row r="275" ht="75" customHeight="1">
      <c r="A275" s="13" t="n">
        <v>274</v>
      </c>
      <c r="B275" s="15" t="inlineStr">
        <is>
          <t>Raced ne ag RU os PcOLTon CSR amSSCRReae TTR ESET BSUS SES ROARS val, j
» aD Caan Emissio: 1012028
eset 7
~ EMPORIG COSTS SS a ae = Ss
ce A
BEET mee STE! HNN
eae MNOS sesscecao, Scfemee (7) wma nctens
Benin a cs 20012 21s moo: wen coors ses ein
wet | rane nants ara a weuateera gibt
foes leaiemuenorare ——
WWENB Ene. Da Tene Dew ur eetoorsees ove esa!
aera — ras &lt;
[isos EE :
Serna RENEE
Ee com enon
jana reasa |
lav AG ERAcIICO 4000, oneo0 leomci
Someta ra Racket arte
rece ee Ee foscer =
PATURAD (BUPCIEATAS
. ee ee eee
a
‘SCALCULS DO MIPORTO
ie weon Saco paar (ata CaN — eae tnarmer Sina ote ——,
ears a0 “te ira tt
eT oo Oe aa Mercenaries cratic
Pr einai" all haces ay ia alia
FRMGPERTABOR / vocnicd TRaeroRsae a
sae joao ans aera
wee i ]
ry w eRe)
ee trae
ADOS bos FROduTOA Teamaga a
= ama SSeS Se ee 3S [usm]
areas | Ee ey Se eo a Pai
chemo co meat -
isons ee ——
A006 ane —
aegearaeans aR |
Pf Fog. PARUMED |
ns)</t>
        </is>
      </c>
      <c r="C275" s="15" t="inlineStr">
        <is>
          <t>NOTAS FISCAIS DE COMPRA JANEIRO 2026.pdf - p. 274</t>
        </is>
      </c>
    </row>
    <row r="276" ht="75" customHeight="1">
      <c r="A276" s="13" t="n">
        <v>275</v>
      </c>
      <c r="B276" s="15" t="inlineStr">
        <is>
          <t>VALOR TOTAL: BS Wd
eT CE RESTORE CAEA DAS SUR WEARS C PARATOSUON TIT GIS TODIOTOR SF RUICOR FOWTANTEN WA NOTA ORCAL ELEVRURICA
nena ADA A LADO” DESTINATARIO, SRAL ENGENTIARIA INDUSTRIA £ COMERCIO LTDA. - ROM BN 34, HS A380 RADAUNDO
IDEN TIFICAG AO E ASSINATORA DO RECTREDE
[GAGA DAS MANGUEIRAS E PARAFUSOS LTDA
AV. MIGUEL ROSA, 6732
PIO XI
Tevesina
PL
(86)3218.265464.003-480
Sada F
DANFE
Dacumonte nator
‘da Nia Fiscal
Hlestaica
HAVEDEACES
2276 W109 2000 4600 0125-5999 Lon0 0962 £714 9791 2968
TTA ROAR
SENDA DE MERCADORIA (DENTRO DO ESTADO)
‘Consulta de auteuicidade no porta nacionel de NF-&lt;
woven zen go be 04 site da Seta Auitinedone
TBE ACTORERTRO DEUS
222260000608724 09/01/2026 16:11:06
SRO AD ESTAUTAL
[NSCRICAO FRTADUAL SOB. PRIOUTARTA
TENE C
194690620 109.269.046/0001-85.
(ATARIOREMETENTE
ENGENI JA ENDUSTRIA E COMERCIO LTDA. 123.655.03¢ 12-89, 9-01-2026
, oe RRS OY tore Sas
ROD BR 343.3185 A ISAO RAIMUNDO. 164.076-038 09-01-2026
FROTE Cae ——TRSCRTRSST ROR SoC A
12 506-4100. Pe 1-Comribuinte 194445298,
TO REECE BERET VRC DOTS RETRACTS DOTS
9, 32.00)
1 0,00 0.00) 1,66] 0,00 0.00] 30,40;
TRANSPORTABOROLUMES TRANSPORTADOS
easssone FETE ROR TORT [SOOT AT CA VERT] FT
| - Sem Frete
RECT base SCC R ESTADUAL
{peer EET TARE ATT STE rT
anos no pRopurasEnvico
Fop.raop. | BESCRIADDORRODUTORERVIGO — [vcusa| csr [ercelewn] om | viRun. [viararat | seine [vinens [vin goP ee
gt OTSEGO FEE Ss
Of Prog
abs aD1cosats
{tices ona HESERADO ROTTS
serocg » partie Gremente. 6. S0007861 48
= sce panes aproxtmadad
fen
powered by (9 alterdata</t>
        </is>
      </c>
      <c r="C276" s="15" t="inlineStr">
        <is>
          <t>NOTAS FISCAIS DE COMPRA JANEIRO 2026.pdf - p. 275</t>
        </is>
      </c>
    </row>
    <row r="277" ht="75" customHeight="1">
      <c r="A277" s="13" t="n">
        <v>276</v>
      </c>
      <c r="B277" s="15" t="inlineStr">
        <is>
          <t>SE ROLAMENTOS LTDA
"SATUREZA UA OPERACAO™
VENDA DE MERCADORIA ADQUIRIDA OU RECEBID;
TDOCRICAO ESTA.
194591751
DOCUMENTO AUXILIAR
DA NOTA FISCAL
axounasucvemonens|  Nerowca
: 0- Eatraday
renee] 1- Sada LL
Nt 900.025.568
SERIE t
FOLHA: ides
DANFE
1A DE TERCE.
"FRDTOCOLO De AUTORIACRO DEUS
DESTINATARIOREMETENTE.
PGE RAZA SOCAL ror
SKAL ENGENHARIA INDUSTRIA E COMERCIO LTDA 23,658.038/0002-89 |23/01/2026
pENERECT EERO Tir
ROD BR-343, 3185, SAG RAIMNDO- 64076-4109
eacino FOETAC for] BacmicacbstaBval
TERESINA 2107-4700 ir 194446298
FATURA
‘CALCULO DO IMPOSTO
DECAEAO DEI VALOR DOW VAIAR DOIG SCTRTIRATID | VALOR TOTAL Bos PROOUTOS
0,00 9,00 310,00
VAR BOPRETS  [PREROO TALS PRO DOS TRIBE AOSTA OA NOTE
0,00 0,00 l 121,34 310,00
TRANSPORT) 7OLUMES"
RAzhOSOCU, ew We [one
EET parce Te [RachorsTaDoAL
‘COANE rire aon PRO TORTDO
BADOS DO PRODUTOSERVICO.
‘CALCULO DO ISSQN,
PRaRIOeTE TA RSE BOSTON ERT OTR RTE
ISENTO 00 0,00 0,00
ADOT ADICTORATS
SEES TT 7a
3) SRbA TERETIO A CAEOTIG FISCAL GE LOW, UE 153 ECE SPI. 16sza0, RESERVA AO FSC
LAIOS 126.</t>
        </is>
      </c>
      <c r="C277" s="15" t="inlineStr">
        <is>
          <t>NOTAS FISCAIS DE COMPRA JANEIRO 2026.pdf - p. 276</t>
        </is>
      </c>
    </row>
    <row r="278" ht="75" customHeight="1">
      <c r="A278" s="13" t="n">
        <v>277</v>
      </c>
      <c r="B278" s="15" t="inlineStr">
        <is>
          <t>1 VQ P1 FUISSAG, 202036 VALI TOTAL: RS Sh
1S DE CARTRE WARETEIRAS 7 FARA SS LTDA OS RORY SERUICOS CONSTANTES NA NOTA RCA ELETRORICK
[SS NO LAAD- DESTINATARKH SKAL ENGENUARLA INDUSTRIA ECONERCIO LTDA, -RODIUR 24,3188 A~ SAC°RAIMUNDO-
JIDPATIRIC AG kn F ASSINATORA HO RECEREDOR
; (ASA DAS MANGUEIRAS E PARAFUSOS LTDA DANFE
Elation
Pro xt
Teresina
: ‘ Document auniiee
AY. MIGUEL ROSA, 8732 ‘do Nota Fiscal
[CHAVE OE ACES
276.0109 1490 4090 #195 $900 1000 a90s 2819-9958 7982
ca (86) 3218-2654 64.001-490
‘Consuta de aylentichade no poral necional da NF-c
‘wile fhaenda gov br ou a she da Sefer Aatexiadors
STTCREZK BAVIRRATAO,
FLDFOCOLO DE AUTORURETOBETRO
VENDA DE MERCADORIA (DENTRO DO ESTADO) 222260001 818660 2301/2026 11:06:47
SCRICATTSTADUAL TRSCRICRERTAGURE OU TIBIA ae
14640620, 109.269.0464001-85.
DESHINATARIOMEMETE
SORT uid TRUST
NGENHARIA INDUSTRIA E COMERCIO LTDA, 123.655.038/0002-39. 23-01-2026
au RRO DISTRITO cir Sra RAEI
1D BR 343, 3185 A SA RAIMUNDO l64.076.038 | 23-01-2026
ey FONE PAK TROICADOR TE IRSTRICAO ESTADUAT. a
U-RESINA 12106-8400 Pi_|i-Comribuinte _|194446298
+ ALC14@ po aust
ESSERE DER SPAT DORTRS EASE BECATC DETR VALOR PRT FETAL OOS ROGUE
0.00 0,00 0.01 0, 174,00)
\ FBT FRTTE ERB DTTC RAS BEEP ACESSORT carer TOR RAT DR WOT
0.09 0.00) oad 0.00 6,00] 136.6]
1RANSFORTADOR/VOLUMES TRANSPORTADOS
TAG SOCTN FETE RORCORTA CORGO ANT XEN VEICOLDTOF — [ERP
_ 9 - Sem Frete I
1 TTT AGRIC [OF [RSCRICROESYRBTAC
eam Baan  RORERRCAT re RET ESOT
4005 BO PRODUTOSERVIKO
tan enon, | _nEscRicke DosRobuTOSrANKG  [scuan| cor [orOo[ib] OW [viRimur [VuRTtaL | cma [orann [vie mp Seo
Sie ematn pe TRANSTONR —¢_—-—fevmom | om Yer] Yom] TRL] — va 00] 0
"NOCD COMPLEMEN TARE RESERVADO ADAIRCO
1 OLCARERLO A, 2000230651. ~ Yoee Quovy aproniadanente + i
1 ES SS Naas oe eveaduais Fonee ToT Wolisoif te Paula
Almokarifado
2.958 385
wevisei Tm
powered by [I alterdata</t>
        </is>
      </c>
      <c r="C278" s="15" t="inlineStr">
        <is>
          <t>NOTAS FISCAIS DE COMPRA JANEIRO 2026.pdf - p. 277</t>
        </is>
      </c>
    </row>
    <row r="279" ht="75" customHeight="1">
      <c r="A279" s="13" t="n">
        <v>278</v>
      </c>
      <c r="B279" s="15" t="inlineStr">
        <is>
          <t>eT
DANFE
ae eres em ILI LULL
: ‘DA NOTA FISCAL
: avomarncnarownons| Te rRGnca
AVE DE ACESEO
Es wurgaeani No 00008556 [a we crap gga
H_FOLBA: ide
TATOREEN DA OPER TFROTCGO De AUTOREERE AO De UFO
VENDA DE MERCADORIA ADQUIRIDA OU RECEBIDA DE TERCE. ‘EITOCAONETA0 708 «2201/2006 10:45
TECRA ESTA AL ESSCHOGAO TASCA SOR TRBCTINEA Ta
1945917St 08,318,541/0001-74
DESTINATARIOREMETENTE
FRORRURATAO SOTA Sane aa BABORO
SKAI, ENGENHARIA INDUSTRIA E COMERCIO LTDA 23.655.038/0002-89 ]22/01/2026
fropenansas Dato hore-s10
haraciie ROMA Tac RO ESTABE AL ery
TERESINA 2107-4700 194446298 10:48:02
FATURA
CALCULO DO IMFOSTO
-DBCALCUID Ds Cu AEE BOISE aE ReCER GET VRORDOWASSORTURAD | ValDR TOTAL DOS PRODETOS
0,00 0,00 0,00 0,00 200,00
TALORDORRETE | CAR DOSERNG | — BERCGNTG | OUTRAS DSPEES KESORIS] VLAN DOU CRRA BOE TGS | —VATDITOTALORROTI
“TRANSP ORTADGR/VOLUMES TRANSPORTADOS .
[ETE rox CONTA | CONGO ae FRAcADO MEIC CPOE |
9-Som Fret
panics RecaioeToom,
pee Ee
pees Oe ee
DADOS DO PRODUTOBERVICO
a ES ed ee
'
chucopowser 2? } pesca ecprocesse’
ae TAD TAL Da EO = SRE RECAE DORE RESO
eet ee om |
DADOSADICIONAIS Sr?
 SERAEACORS CERETLSSENT ARES ESET ART ORO
ce pages npronntadaaents 40,(30 tama, aendar ON Walison Re p:
aS RSNA eta BG lo crue sates @ Na pce mutesmnea| — W4tlgont Ble Paula
~AL/OL 146</t>
        </is>
      </c>
      <c r="C279" s="15" t="inlineStr">
        <is>
          <t>NOTAS FISCAIS DE COMPRA JANEIRO 2026.pdf - p. 278</t>
        </is>
      </c>
    </row>
    <row r="280" ht="75" customHeight="1">
      <c r="A280" s="13" t="n">
        <v>279</v>
      </c>
      <c r="B280" s="15" t="inlineStr">
        <is>
          <t>Frachares do EVEN DO HASCDENTO LTDA opto soy sones nian as Fed etc ned 0, NE-e |
a SALW NDECOMERIIO LTDA 243, 519: SA0 RAIMUNDO -TERESRA-F
cane otc testae aero y"000.127.845
acon STRATE
‘Série 003
DANFE
RALVES DO NASCIMENTO LTDA | mameriatee:
cena 4
FRRBUSOS)  svcuwronsuen s-cowmno norme-renesna-n | MO ewan
CEP: 64000-900 N° 000.127,845 2226 DL41 508L 0200 0108 5500 3000 1278 4510 0127 $467
roe 022 018 Senco
Cmte oo oamscininr pian
Folha 1/1 west fezereda gov erp ura whe de SEFAZ Aaateicacore
od aaa
"VENDA DE MERCADORIA ADQUIRIDA OU RECEBIDA DE TERCE 7722600015003 2001/2026 16:37:46
ea aaa RRR IAT fe
ipeastii9 sos. 10n0001-08
DESTINGTAR | REMETENTE
pa ad erm
SKAL ENO IND E COMERCIOLTDA 33.655.0000002.49 70012026
in }43, 3185 SAO RAIMUNDO 1019-870 3001/2008
= eso pair oo
NA vt [eesposisews | iseacazse
DUPEIGATAS
eee cH
errno moons
bert et)
CALCIRD 50 MPOSTO.
eecaeiaree roa SoS EE PE RCS REN RTT
35.00 12,38 0.00 0,00. 0,00 0,00 59,28
0.90 0,00 428 0,00 0.00 55,00
"Tula ORTADOR/ VOLUMES FRANSPORTADOS
Or SEM PRETE
eames aa a ae
a sie ma 4
ego 090
DADOS DGS PRODUTOR /SERNCOS
— eerie aan a pases
Tat ORRIN RETRO Deca I) PEs Es GS Bcc cel Gd
sewer none i
ers
0,00 0,00 0,00
ADDS ADDIS
rancher eT am
leas
Sree
Piet tara m
jee
Welisofi de Paula
Almoxarifado
RG: 2.958.385,
whet OSI 26
SINNER oA BRERA 2901206 raven po miseneTo Los</t>
        </is>
      </c>
      <c r="C280" s="15" t="inlineStr">
        <is>
          <t>NOTAS FISCAIS DE COMPRA JANEIRO 2026.pdf - p. 279</t>
        </is>
      </c>
    </row>
    <row r="281" ht="75" customHeight="1">
      <c r="A281" s="13" t="n">
        <v>280</v>
      </c>
      <c r="B281" s="15" t="inlineStr">
        <is>
          <t>a SFR TE PROTONS CTTIESH TT " =
See a Tea eae eT TR TE OO ON ER
VAEOR TOTAL: RS 200) NS: 3672,
. . Série: 1
|CHAVE BE ACESS”
‘TERESINA MANGUEIRAS E PARAFUSOS LTDA ‘1I1G 0157 9764 T708 124 $508 1008 GA36 7216 7937 3196
‘Avenida Industria) Gill Matrins, 1393 Letra B = an
Tosa ares opr ia
‘Taboulete (86) 99987-9997 -wrew fe. fazreda. gov bt 00 no site da Sefer Autorizadora
— f1_s4o1s.690
[RATUREZA DA OPERACAD DE AUTOREATAD DEUS
[VENDA DE MERCADORIA DENTRO DO ESTADO. 22226000148 1304 20/01/2026 09:59:56
HINSCRICAO ESPADUAL JINSCRIC AO ESTADUAL SUB. TRIBUTARIA [CNPI/CPR
197739180 $7,976.477/0001-24
‘DESTINATARIOMREMETENTE.
[MOMERAZAO SOCAL [CNPC iy
|SRRENGENTIARIA INDUSTRIA E COMERCIO LTDA. |23.655.638/0002-89 20-01-2026
a cer
|AVENIDA SAO FRANCISCO, 0 EXTREMA. 164.076-450_ 20-01-2026.
Hike one MA cores Tron cr ctun fran ota
[TERESINA Pr 1-Contribuinte 194446298 09:59:48
CALCUL pO reste FALORDO KMS DECALE, DEIOME ST 7ALOR DOME ST 7ALOR TOTAL DOS FRODUTOS
a 0,00] 0,00] 0,00) 220,00)
[SACORDOPRETE i DO SEGURO JOUTRAS DESF. ACESSORIAS [VALOR DO IPT FALOR TOTAL DA NOTA,
0,00} 0.00] 20,00] 0,00 0,00} 200.00)
RANSPONTADORW OLUMS TRANSPOMTADOS
raat rt SR CRT OOTY ——— CREA EET
[0 - Emitente
[ENDERECO URICIFIO. IF JINSCRICAO ESTADUAL
/QUAWTIDADE iad x eee eee [FESO Liquipo
nN
aos po PaonuTosanvico
‘CO0.PROD, | —_DESCRICKO DO PRODUTOSERVICO _[NCMAH [cSosN [CrO#[UNID] QTD. | VIRUNTT. | VIRTOTAL | ecscus | vue [vin | eeOES.
lzes Jenene virarDr nc MPA bsasion | eam [ses POT 7 zaanol oh woof wool as
ABOS ADICIONATS Peorstcs — exrera |
{INFORM ACOES COMPLEMENTARES. 1 7 TRESERVADO AO FISCO
Venda gazada a partir do Orcanento 2. 0000012070. ~~ DROOS BANCARIOS: BANCO 00 Weliso de Paula
BRASIL = AG? 1640-9 = C/Cr 20L-B0L-9 ~  FAVORECIOA: TERESTER KRAGUELARS ©. PARAFUSOS ‘Almokarifado
MelouaLsata CORA D188 70 A CREDITO FISCAL DE IFls © voce payou sprottaadanent ae ie
tf powered by [iq aiterdata</t>
        </is>
      </c>
      <c r="C281" s="15" t="inlineStr">
        <is>
          <t>NOTAS FISCAIS DE COMPRA JANEIRO 2026.pdf - p. 280</t>
        </is>
      </c>
    </row>
    <row r="282" ht="75" customHeight="1">
      <c r="A282" s="13" t="n">
        <v>281</v>
      </c>
      <c r="B282" s="15" t="inlineStr">
        <is>
          <t>DANFE
Packie
o-ecrmank [aie oe ASB
‘ome mon oe 140 271 SE00 00 tO 482 2001 RE
a i Sl spate Ga
oat, Seam lend a Soe hedre
rowan
aE RDI
TUR Reno ADQURDA OURECEROA DE TeRCEROE, ova Fomenntian eae oats
SSCL Bae aA ae
Seesounnoan
CRUE TACO SC*Y
Soecosnoes | woven
Eri ae ce aaa
Een Sereaso | Suva
og Teer ea
Sino enae wares
TRADES REET
[Este uRS Bae TORO RETR DOES SRT TREO
0 200 a oan aan
TR PRE [DSR | DRDERSOS | BPE RERSRIS] Lena [VADER OR
a0 nm neo a0 ooo a0 ease
“Tamara LINED TRAPONTROSE
RADAD SOCAL [FRETERON CONTA | COOGOANTT PAG VERO REBOGME | UF | CNPIOPF
beeisral
SUERT [2 [ecm
GUANTIORDE rece [= eo PESO RRUTO. FESS OO
E a oo
RISE DoS TOR
[coo eran. (DO PROOUTO 7M 04 | aur. [vurrrivao] vrais [v.oeacowto]: awbo] ec. rcwa] voce | vrs
: — a
rmcouee
2] 2 cssalt
pees
SORES CRPDTENTES SED TD
tr a nfo} -DOCIMENTD EWIDO FORME
SURGE Nae ESTRADA ee
Welisofcde Paula
Alm@¢xarifado
AGO sb
aL ODN HA OUST ECEMERGOLON _
—_</t>
        </is>
      </c>
      <c r="C282" s="15" t="inlineStr">
        <is>
          <t>NOTAS FISCAIS DE COMPRA JANEIRO 2026.pdf - p. 281</t>
        </is>
      </c>
    </row>
    <row r="283" ht="75" customHeight="1">
      <c r="A283" s="13" t="n">
        <v>282</v>
      </c>
      <c r="B283" s="15" t="inlineStr">
        <is>
          <t>DANFE
. REFRIGAS LTDA mnee
sx [7]
. _RIMIGUER ROSA, 5325 SUL, 95-ancnuaaTeRconA- | 1 [owenEREEO ~~
PI-CEP 6401-010 (N° 000.197.710 | 2226 0134 9856 5108 0131 5506 1900 1977 1018 0197 7112
foe ztwst88 0
Sérle 001 Consulta de myland deca no portal OnNF:@
Folha WI “ww ofa taverda gay beipertal ou no bi OF SEFAZ Aulannndiony
aero eoecasernreiscari as aa
‘VENDA DE MERCADORIA ADQUIRIDA OU RECEBIDA DE TERCEIROS 7122400040049 190172026 14:21:38 7
Prema Presta
DESTIATARIO / REMETENTE. ce
SKAL ENGENHARIA IND. ECOM. LTDA 25.6550880002-89 Tam2036
Tehama [a [esa
‘BUPLICATAR ~
CALCULO DO MPOSTO. —— =
Sa a sd TFET RGR
£2200
ge ew foe el an0
ORTADOR | VOLAMES TRAEPORTADON
pew ee PT |
(ab08 OOS PROOUTOR /SERACDE
Tacs} wae [ee ~
[se [mewn Tose Pen vw [om fare] Site [tae | it [ARR [OR PT aerrees
(== eee eee ee eee
GALE DO Is6aH _-
powoae ae aK Sar ~
BADOG ADICIONAR .
[ReScier So Can a ee
[Rese senor mero
Welisor fla Paula
Aimox rifado
RG: 2850
ARO 126
AE HOMADAReNeECO WRITE 62228 stetteeesonaeene |</t>
        </is>
      </c>
      <c r="C283" s="15" t="inlineStr">
        <is>
          <t>NOTAS FISCAIS DE COMPRA JANEIRO 2026.pdf - p. 282</t>
        </is>
      </c>
    </row>
    <row r="284" ht="75" customHeight="1">
      <c r="A284" s="13" t="n">
        <v>283</v>
      </c>
      <c r="B284" s="15" t="inlineStr">
        <is>
          <t>DANFE
MAA
Documento
Auxiliar da Nota
wenida Fiscal Bletrénica | CHAVE DE ACESSO
Pox ee Re 4 0-ENTRADA ie 0100-49 eo 04785508 1000 966294113408 5139
ot CEP 64018360 1-SAIDA !
po Po Ao
ae . ' N° 000,066.294 | Consuls de autenticidade nacional da NF-¢
Telefe a6) S23 1280 SERIE. O61 | sown tnendagorSrpordl ov no rede Ser Aovindors
. FOLHA 01/01
| RATUSEZA DN OFERAGIO 222260001411444 19/01/2026 15:32:38
‘Venda de Mercadoria Adquirida de Tercsiros 00)
Meron Adgutie de Terecies SR TTT a
196788030 I 00.434.904/0004-78
eho RSET
Se —_ —
‘Skal Eng Ind ¢ Comercio Lida 23.655,038A0002-89 19/01/2026
= a 2 a ar
Rua Sao Francisco, 4000 Tancredo Neves 64076-038 19/01/2026,
a ar nn Ea ae
Teresina (86) 2107-4700 PL 194446298 15:32
porn
acannon
eS Rao ———
451,36 0,00
oo = a ana
ae a
9s Sem Frete_| I
TT rs eo
“OvaNTInADe I corre HARCA INIERACAG PERO BACT Teo Ligue
0,000 0.000
aaa Ta ENT
Ed  PSRICKO 5 RODUTON SEAT Thee [quar] ner | vvoran [vse | soos | voces [meer] vam [ES]
cs [rene cocoa Sv ting CLE arog __ sof _azrad_o09] ono] wed 0]
Tas ——~ pagar oavarmeer ae Fea —eal Tall — corto
nee discal Tia afta] ‘a Bi besa Me
[saci 5 a OE me
l" Bx a. i Ml ed 3 “tag
TRIG Yi ns Br aia a es a ok
— feat said ‘ad ‘i
i eres po eis CDP) Tat oo A EAs MES 3 BEY
[sero a0 [18] un Es BM ‘aap ef Sa] a
os ae [| Ee BEES NB ca
PAGO tt pes 07 Ae.
HIDEO {RICA - PLUAL
2] pong? comoncrsnoss |
CALCUL bo KSaN i
oe a sheen —
onzos micro
ele
Welisof de Pauta
Alu Se
aware
SO TEAC SP</t>
        </is>
      </c>
      <c r="C284" s="15" t="inlineStr">
        <is>
          <t>NOTAS FISCAIS DE COMPRA JANEIRO 2026.pdf - p. 283</t>
        </is>
      </c>
    </row>
    <row r="285" ht="75" customHeight="1">
      <c r="A285" s="13" t="n">
        <v>284</v>
      </c>
      <c r="B285" s="15" t="inlineStr">
        <is>
          <t>MATEC MATERIALS ELETRICOS E CONSTRUCOES LTDA N°000.152.853
SERIE: 001
“DANER | oh
MATEC MATERIAIS ELETRICOSE Documento
CONSTRUCOES LTDA Auvilan de Nota
‘Avenida Leonidas Melo, 150 Fiscal Eletrénica | Grave DEACESO
Pica O-ENTRADA 222611100 3843 77000191 S800 1000 1528 5312 7193 8964
Soar ree 0
ers
“Teleone: 86) 3220.5665 N° 000, 152.853 | connuia de astenticdads no poral nacional da NF-e
SERIE O01 | swine fzenda gov brfporal ou no ste de Seas Atoriaadors
FOLHA 01/01 [FROTOCOLODEAUTORIZACAD DE TSO
TRE TTT 2
Venda Estadual
Ss rar aa
194313523, Lr w380 377000091
ESTMATANO HERETINT
BRACING np. EcoM.LTDA [isso [spines |
Tare eT =r Tere on oe
BR 343, N 3183 A SAO RAIMUNDO- 64075-005 {19/01/2026
ay "TONE/EaR ™ TECRICROESTARUAL = ‘oma DA ENTRADA TSOTDA
31064100, [ei [isaac Tea
exrten
= T—SY :
Sadat cto TaDORT TERT TR | wan TERRES — TF Ta ROTPRCTOS
332.66 1a Ean ian a A
Bie
A;
[eeermenns [__esencionorcromron etic [sew on [oor oi Januar [wera [vie [ee | ve [ome | om RSET
Tm Ra A he SMT sc a a a
ave Thali x50
Eotonantenin
Se
PRO Onn DoSrs for
abo 20 se t 4
SACS AOACTONATS
ROE COSCON ESTES RETADT TORS
meas Fea ommt sn Cop oo Neem 724
woo hasvacoe 1s
Far None Dae ewan de cine Welisof'dc Pavla
‘Aimokaritade
mot 3
wii ors 6
Pana SEACROFY</t>
        </is>
      </c>
      <c r="C285" s="15" t="inlineStr">
        <is>
          <t>NOTAS FISCAIS DE COMPRA JANEIRO 2026.pdf - p. 284</t>
        </is>
      </c>
    </row>
    <row r="286" ht="75" customHeight="1">
      <c r="A286" s="13" t="n">
        <v>285</v>
      </c>
      <c r="B286" s="15" t="inlineStr">
        <is>
          <t>Nee
N*000.086.208
SERIE: 004
‘Auxiliar da Nota I
‘ANenida Miguel Rosa, 6564 Fiscal Eletrénica | CHAVE DE ACESSO
Pio 0-ENTRADA 7226 0100 4549 6408 6478 9500 1600 0662 0610 1362 5322
Cer ania sen 1-saiba 1
jee
Teton: py 3221250 N* 000,066,206 | consuite de autenicidade no portal nesional da NF-e
SERIZ 001 | wwoinfe.fazenda gov brfponal ov na site de Sefuz Autorizadorn
FOLUA 01/01 FPR DE AUTORIZAI
[Nari Dr orEacto E
RATT aida de Terselon 222360001227062 1690172026 135522
[irescRaenD rates EEO A TasT THT 7
196788030 l - 00.434. 0404-78
erToUtinlo /RERETINTE
aaa ———— Seo aaa IT
Skal Eng Ind e Comercio Lida _ 23.655.038/0002-89 16/01/2026
aa aca o 7 Sana nana ToD
Rua Sao Francisco, 4000 _} Tancredo Neves 4076-038 | 16/01/2026.
roa TTT ron Doo Soi TEARS
Teresina {86} 2107-4700. LPl 194446298 13:55
Fe ranean
Bagec cic unioe | VALOR DOO pa aR ORAL WOR ROTTER
71,37 16,06 0,00 T 0,00 0,00 7137
Tajae soreaTE “amo seme [aia Sarcoma | VIDOR DOT Saiejona scpore
A x 0,00 = “] 9,00, 8,00 Tt 37
mh (&gt; S0CTAL, TIACA DOVES CRC
confuse
Tana Tari Ten
TRE ar Ta o q ra
0,000 9.000
Dison Dor ODTTON TEGO
ce rorT9 as [eas [one | wen] vase [rower | va [SET
7a T_T] — one] anh
Hake Aik HS
«HOTA HS ALDS era tAG Al
tw thE
a] STaUenuce teens
CALCILA BOSON ae
ECTS WOME TARR TALBOTT RCSD hana
aves Anca
TTC ETT ERTADTAOTT
“Vedra
Weliso: fe Paula
Almoxarifado
RG 7 58 8
dh fos 126
ee ere IEA OPT</t>
        </is>
      </c>
      <c r="C286" s="15" t="inlineStr">
        <is>
          <t>NOTAS FISCAIS DE COMPRA JANEIRO 2026.pdf - p. 285</t>
        </is>
      </c>
    </row>
    <row r="287" ht="75" customHeight="1">
      <c r="A287" s="13" t="n">
        <v>286</v>
      </c>
      <c r="B287" s="15" t="inlineStr">
        <is>
          <t>[ree
sma 38 6 F COMERCIO OF MAQUINAS E FERRAGENS LTDA - ME os prodvins conctantes da now fucatindicada aoiado |
JonadeRecahioeie
eretcgdo«Aeratre fe Oar eneor OSU AL ENGENARUAIROUSTRIAE COMLTDA)
WF-e Sire: 001
N° 48006
Tots RS 1569.18
mame SANE
one
IG. F. COMERCIO DE MAQUINAS E) “"ncimetan
FERRAGENS LTDA - ME 4 oSeide [ena te seen
anos ama one
[noha sacl fewer [Oxadetrmabo
ise a a oe a [ee [ean pn
ae aaa Se aa ond al sae
Le meee cae r4 Coal eas Wi cea caer
[rawemazse socut [eédiga ArT \ian for Jenmscr
oa ras pas
a |e er] om
_—— al Unit, JCMS | ICMS
2 S6GVORUGAl OD
i haudeoat
a
2.991
$20)
wt. sat.
atemacbasconplenertre
loorumento emisda parME ou EPP optante Jo simplex eoccnal
to ger aio a ecto fecal de ICS, 155 @
lcvaina ee a8 1569.18:
feawvace soto
Welisonfae Paula
‘Almoxunifado
ts 2288.35
Sos Or 126</t>
        </is>
      </c>
      <c r="C287" s="15" t="inlineStr">
        <is>
          <t>NOTAS FISCAIS DE COMPRA JANEIRO 2026.pdf - p. 286</t>
        </is>
      </c>
    </row>
    <row r="288" ht="75" customHeight="1">
      <c r="A288" s="13" t="n">
        <v>287</v>
      </c>
      <c r="B288" s="15" t="inlineStr">
        <is>
          <t>TECEMINEA DU Avon pISnHIDVeTAUU LOARTICALTBA 05 PRODUTOS CONSTANTES DA NOTA FISCAL INDICADA AG LADO NF
“ (NY.0a2a02
“&gt; aT DANFE, o | |
remereeretsasgee™ ames (TT)
. TEEPSINA: FL 1-SAIDA, |2226 0129 1966 9400 0368 S580 L008 pa24 0213 3353 6343,
POU eds ams 7 [Comsuis de wanerilch no portal nachna a NF
. Nyame UT ee ae gviprl una ted ef Aatrcra
[VENDA DE MERCADURIA ADQUIRIDA OU RECBBIDA DE TERCEIROS: 21/01/2026 09:56:00
AV SAU ERANCISCO 400 YD XTREMA. G4076-55)__|21/01/2026
TERESINA 194446298 09:56
TAiespUnA | WiNgWuRTO [valor | rarvRAURERe | vewcmno [vaton | tatuawpuruc. [ vencmewto [vane]
Ses a Te SY) A SS cc cS Se Ss
Be Ram mono BARE DECHICAGOS WHET | PRLGRBO ICR RIRRTATTE | VACA TOTAL BCS PROUT
. 4.00 0.00. 9,00 0,00 0.00 1,820.00,
oa FRETETOR CONTA [COORD Tanca De VECO er :
reas |
Dr arery ee DECRICRO FROGL TO SERFT od | pi [AemooTa]
oe feomemranor nasa pineal
|
on ne RS
TSM Ali CO TARES RESERVADD AO PLO
SORIA oleae GN von Se evae Reese
ALMOXARIFADO WelisofBe Paula
Almekarifado:
LANCADOEN jy RG 7a
ae 26
Assinatura ALL Os!
Oues</t>
        </is>
      </c>
      <c r="C288" s="15" t="inlineStr">
        <is>
          <t>NOTAS FISCAIS DE COMPRA JANEIRO 2026.pdf - p. 287</t>
        </is>
      </c>
    </row>
    <row r="289" ht="75" customHeight="1">
      <c r="A289" s="13" t="n">
        <v>288</v>
      </c>
      <c r="B289" s="15" t="inlineStr">
        <is>
          <t>me) Oe (S|
Foc 2 SE" Ll aa amma
aS
Hie : Jwiee
linleiaaeiaiaal Fr" anal ag SO wa na [en aw)
ee ee ae eee
i ed tL
\ Rf pete SmaRT | |
al
a a ne</t>
        </is>
      </c>
      <c r="C289" s="15" t="inlineStr">
        <is>
          <t>NOTAS FISCAIS DE COMPRA JANEIRO 2026.pdf - p. 288</t>
        </is>
      </c>
    </row>
    <row r="290" ht="75" customHeight="1">
      <c r="A290" s="13" t="n">
        <v>289</v>
      </c>
      <c r="B290" s="15" t="inlineStr">
        <is>
          <t>a ea Re enn LTT LPL
Tevna int Cope 6117-70 oa" PS nr encsne aia ans mnere —
ital Sa ee een :
| (eee a
wT tT
|
ila 7 tocnsasiniabosin™ lle Saar)
———— en eo
(a
f Town joanne Toon [ow | me [on ca
a H fel
i Seneca ee reo ee tara a nt ae
{eee ee om eae
SS Be el ~
|</t>
        </is>
      </c>
      <c r="C290" s="15" t="inlineStr">
        <is>
          <t>NOTAS FISCAIS DE COMPRA JANEIRO 2026.pdf - p. 289</t>
        </is>
      </c>
    </row>
    <row r="291" ht="75" customHeight="1">
      <c r="A291" s="13" t="n">
        <v>290</v>
      </c>
      <c r="B291" s="15" t="inlineStr">
        <is>
          <t>, DANFE
idrockarka Engeunaiatadonrts | Bocuento
Comercio de Fenian
Avenida Higino Canha, 235 Fiscal Eletronica [CHAVE DE ACESSO.
tea o-ENTRADA (| 223601484349 8606 0125 S48 10019227917 05S 123
ac gee a 220 1-SAIDA ir]
seams ere
ST ten: 6) 322861250 N° 000,192,273 | cena de antnicidadeno pana nacional da NF
SERIE 001 | wow:nfe.fazenda.gov.briportal ou no site da Sefaz Autorizadors
Mercad —
RET SETS
GEESE a tase 2299500€9014041 26012026 1:18:32
TESST 5 aa
15318008 [rere onssenao001-25
ESTATE FRENTE
Stat ng ind ¢ Comercio Lada [sassanwoonn-e | 20012026
ay saenaTae ar Sire ea
Rus Soo Francisco, 4000 Sore-oae |Reniaune
“oS TORE TEA "iecoacAa csTaavaL HORA BA ENTRADA RAIDS.
6) 3107-4700 Lei [isieaease ser |
sarin
leew Cid ———
Fa Cc: a 6 Mn By?
aa SaaS ro a os
hia ba 000
[mere | antncionenonrarsune [wna [ov eon foe [vem [rae [eon | wee [oun on ET
7 a a a a a |
Co tint a
I
as FISCAL OS
e Hck OMEN OE as
ROTA FISCAL DE yy f
EM,
Le fa
—ACGNFERENTE
(og/b 4/24
Shama po me
Es ULULhEeee
ADOS ADIGA
aE COTO SRTTTET
Sad abi inn
Y/ Peo push i
:</t>
        </is>
      </c>
      <c r="C291" s="15" t="inlineStr">
        <is>
          <t>NOTAS FISCAIS DE COMPRA JANEIRO 2026.pdf - p. 290</t>
        </is>
      </c>
    </row>
    <row r="292" ht="75" customHeight="1">
      <c r="A292" s="13" t="n">
        <v>291</v>
      </c>
      <c r="B292" s="15" t="inlineStr">
        <is>
          <t>- + Prefaltura Municipal de Teresina
ry Secretaria Municipal de Finangas
Nota Fiscal de Servicos Eletrénica
. NFSe&lt;Prestador
DADOS DA NFSe
Data shorade onesie Comptinea Niro Sie
ravinumonoes GV Man
EMITENTE PRESTADOR DO SERVIGO
cre enPai We Insite ipl restore
‘reac ooveaee soraam
Move More Empoentl eon
Teun La we sereadalgizcombe
Enaage unin cx
$7Btfb war oc noveweno sa su tourna omnenTE TRINA Piast, beter
TOMADOR DO SERVICO
Perens Me loargh Nunca Telton
mock cooume 8 toontea feo07 70
Nome! Mona Empresa ei
SHALENGESHRINDUSTRUE COMERGIO LTDA :
tnamee bitte cor
SAO FRANCRCOMND BARRO EXTREMA TEREDRA, PIAS. orsca
SERVIGO PRESTADO
eNAE/c80
SE2 va -REPARAGHO E NAHUTENCAO DE EQUPANENTOS ELETROELETRONCOS OF UO PEBBOAL EDOMESTICD
erayo
1apt LUBRIIGACAO, LMPEZA, LUSTRACAO, REVIGAD, CARGA  RECARQA,CONGERTO, RESTALRACAO, BLNDAGEN, HARYTENCAG E CONBERVAGAD 08
Leet da prea do erga eae pretto do vega
Weheanaer tae
DESCRICAO DO SERVICO PRESTADO oa
Sa Sars soem rn
-© SRT TT TTT TTS
TRIBUTACAO MUNICIPAL
sigh 018808 Mniilo dncatnl do W82OH espa pb recoineno 9908
Engel Teneana- PrEstaoer 00 Senco
Reng 4of98QN __shusedn do prvtacr do suig pera o Sings Naonl Regie epoca rng do 1800H
miter ora Sing cel
CALCULO DG SQN
‘Valor total cia MP&amp;e 18) ‘Tole des dedupdee (RS) Desc. Incondicionado (R$) Bese de coiculo do SQN (RE) Allg. (%) Valor do ISSON (RS)
an 000 0 es =
RETENGOES
TeSon sree an puns) CORRS IRE 89 ee) cou.) ava tts 8)
on ey 800 00 800 0 bo
VALOR TOTAL
Save Ge sinks doRSSQN RE} Ratan) Incanto RH) Dede. condone A lor Lut da MFO (3)
2500 ie oo 990 120
INFORMAGOES COMPLEMENTARES:
‘Letenovte A Lee? Tet oS We ey
MA. 3/01 /g026 we</t>
        </is>
      </c>
      <c r="C292" s="15" t="inlineStr">
        <is>
          <t>NOTAS FISCAIS DE COMPRA JANEIRO 2026.pdf - p. 291</t>
        </is>
      </c>
    </row>
    <row r="293" ht="75" customHeight="1">
      <c r="A293" s="13" t="n">
        <v>292</v>
      </c>
      <c r="B293" s="15" t="inlineStr">
        <is>
          <t>vay Prefeitura Municipal de Teresina patel
ap Secretaria Municipal de Financas aa a
SZ : Nota Fiscal de Sarvigas Eletranica Pend
NFSe - Prestador waezarey
nS re ETE
DADOS DA NFSe Rao la see
Ortaenora deomieto Compatincla Minera Slo Somes Ses oe
ayniecasonse42 URES 108770 ot
EMITENTE PRESTADOR DO SEAVICO
CPF/CNPI/ME tesengho Municipal Tater
82.501 9650001-91 ore (60) 3236 1012
toma Nowe Erpreemial cont
eOZ NETO tTDA ‘res ragiornado. com
Enderaco Municipio one
FORCRCELER 6oson QUEROR 2171 TARARE ‘TERESINA BAAS 64077 120
TOMADOR DO SERVIGO
CPF /CNPO/ HIE Inaecigbo Muadcipe! Taito
Za ossoaanoness omnats
Norma Home Empnvenrat emai
SAL ENGENIARIA NOUSTRIA E COMERCIOLTDA.
nbecago oni cer
RForeceocc0 wn emon TERESINA PY BRASIL 6407650
SERVICO PRESTADO
‘CHAE /¢80
4252-01-42 - REPARAGAQ E REFORMA OE ESTAUTURAS NETALICAS PERMANENTES EM OBRAS DE CONSTRUGAD GNAL
Bere.
U7 08” REPARAGAO, CONSERVACAO E REFORMA DE EDIFICIOS, ESTRADAS, PONTES. PORTO'S E CONGENERES (CKGETO 0 FORNEGMENTO OF MENCANORIAS
Local a orestacto do servigo Peis ca preetapte do sarion
‘Tenesmarm BRASIL
DESCRIGAO DO SERVIGO PRESTADO
rental de Berge te once « calesernpie ye
Peo 2ne2&amp; Forno
DOSIMENTO EMTIOO POR OU GPP GFTRNTE ELD DRED RADON
TRIBUTAGAO MUNICIPAL
sige do S804 unleiplo da tnckstncis do IS80N Facponesvol pole rocaihimente do SSO
Exige TERESRA-PI PRESTADOA 00 SERVICO
Retenste do 15SQN ‘Stumpho do presiador do mega paranieo Stipa Hazional fegpne agpeciol se ibutogSo so 1SSON
NAG RETIOO OPrANTE Senpes Navona
CALCULO DO 1SSGN
‘alor‘oial de NFBe (RTOS Gee cadupten (RS) Desc. Incondiclonado (RA) Base de cdleula de ISSON (RS) Ag. 4) Valor doI6SON (AS)
*.600.00 200 0.00 se0n00 o
RETENGOES
ISSON (R3} IRBF (3) PIS gRS) COFINS (RS) NSS (RS) COLL {RS} ‘Cuiran mtengoes (AS)
900 00 000 00 2.00 000 200
VALOR TOTAL
Taso ce eteuta a ESSER CS) fRennghen (RS) Dee. Incondelonaso {AS} Desc. evediclonmo (RS) "Yelor Ligue ta HFS0 (AS)
150000 300 00 19 50000
| INFORMAQGES COMPLEMENTARES
y- KR
20 if OL / ae</t>
        </is>
      </c>
      <c r="C293" s="15" t="inlineStr">
        <is>
          <t>NOTAS FISCAIS DE COMPRA JANEIRO 2026.pdf - p. 292</t>
        </is>
      </c>
    </row>
    <row r="294" ht="75" customHeight="1">
      <c r="A294" s="13" t="n">
        <v>293</v>
      </c>
      <c r="B294" s="15" t="inlineStr">
        <is>
          <t>EN SANTOR AUTOPECS pres Bp: 8 DA NOTA FSC COCA INR ADS |
Re Ee tet CAT SARS fan BEST INn LSC RAL EXORTSNIA NDC STWA ECOMERCIOLION: AN PRIDA ASO NF 4
IANeseGot toes eaten Yomenaet neoenesene |
TAD Ai EBERT EASTER ORE peanrer ;
SENT ne
DANFE
baccarat Nou
M &amp; SANTOS AUTOPECAS LTDA. Floral Ehsenioa
‘Rodeva 216 $109, 15100 09 LOJAS OSE 9? ggg (1) fraenexens—— ~~
IANGELIM De BAIN = 64000010, 1SAIDA
‘eens Pi Fan a (06 9899-8202 i aea3s: 2220 08.325 490 198 590 Hes 67 LENS O4z E04
URES Casle S weniwns wa por racial dae
Phot! eee ov beponal ono she da Sie Aude,
aera Rare TRE ACTOR OTT
5 ace RaRCTETO A
24s ee 93m S4on001-30
LikAL ENGENHARIA INDUSTAIA E COMERCIO LTDA. P neescawen —[ acre
AVENIDA SAO FRANCISCO, 4080) XTREMA 64076459 PSOL2026
Lreresina as) 2107-4708 194546298 ~_teatsea—__ |
peetry
. —— ; a
a a } 2.00 =") 0,00} 0 ao 263.00)
ect 7 TAT a TR
[Rietenpeef eee |
a
HGDNIOKTS, —_RSENKADDOMOOUTO SEAMED HEN OCEONN, Cron yoNy ant) OR Oe A A
TF METENTOR AODRRRAYE | —— = _TROO O OR HOR RE a a a a, a Tae
Dap, ESIOPANMACRGSUA (GE. ima: et Glog GN | Zon, alee ams Uae | Na | Bee
2 Soe SLATE PRETO SRE FRCOLASRGEL Rw UE, FUR. #1 Lam ae” Sa” eles ago uae
Be RESRERAicctacteccoe Derear sor fearrene | °°" Ue” ees sam geo ka Ban tae
: ; Porat ‘ H m4 ' poo
D/ dows Yermeno meysane | | BO
Past SoS TRE
lat Contre, DOCUMENTS EMCTIDO FOR SAE OU EFP OPTANTE PCL SIMPLES NACIONAL |
RAS Ora DIREIT 4 CREDRI FISCAL DE PL. Peder PY ACATQRO-(AGH Fans do Dewitt
coisdadof tlt com |
| SSS TW asa</t>
        </is>
      </c>
      <c r="C294" s="15" t="inlineStr">
        <is>
          <t>NOTAS FISCAIS DE COMPRA JANEIRO 2026.pdf - p. 293</t>
        </is>
      </c>
    </row>
    <row r="295" ht="75" customHeight="1">
      <c r="A295" s="13" t="n">
        <v>294</v>
      </c>
      <c r="B295" s="15" t="inlineStr">
        <is>
          <t>ae ° Prefeitura Municipal de Teresina peeeen |
me Secretaria Municipal de Finangas Ree.
Nd Nota Fiscal da Servigos Eletrénica ee
; NFSe - Prestador pesiowk
(——_——=—= CT rrrv—v— a iy SO
| DADOS DA NFSe pasnon mga sons
Dae shore de omissto — Compatincia ‘Niare Acie Se
syovces ie2013 O18 my
Sei Oe
EMITENTE PRESTADOR DO SERVICO
CPF CNP 1H teacrigo manelpal Tatton
22.709 2080009 a5uze2 (69) 9881 4078
en ome Empresa! Ema!
Np euros ReTORECAS RUBMTOSALES@GMAL.COM
ensereao Municieto oer
[SEWER PREPEITO WALL FERAAZ (STD LOUADE OZOH ANOELIY TERESINA, PLERASIL eases
a
TOMADOR DO SEAVIGO
COP ICH I/WE fnverigho taurcipa Yetoteon
75 os5.0ann002¢0 onoats-4
Nome ome Empresarial email
SKAL ENGENHARIA INDUSTRIAE COMERCIOLTDA :
Enderera Municipio cer
SVENOR BAO RANOSOO A000 D BARRO EXTREMA TERESINA/ PLERASH. wore 480
|
ais PRESTADO H
‘cnaese#0 i
120.001-00- SERVICOS DE MANUTENCAD E REPAAAGAO MECANICA DE VEIGULOS AUTOMOTORES :
Berge
“1” LUBRIFICACAO, LMPEZA, LUSTAACAD, REVIGAO, CARGA E REGARGA, CONSERTO, RESTAURACAD, GtINOAGEM, MANUTENCAD E CONSERVAGAO DE
ocala peetagto do envigo Pate ca proto do seriea
TERESRIA/ 1 BRASIL
DESCRIGAO DO SERVIGO PRESTADO
cue senrago oF wo oma
aca, ont-tae
once
_®_____ nn
TRIBUTACAO MUNICIPAL
Exigidade 3015508 Munkciple de Inckddncie 3016508 AReaponsdvel pala rclvimento do ISSON
+ erat TERESAIA-P) PRestaDOn 00 SEAVIGO
| Ratenglle do ISON ‘Situagio Uo préstador do cerviga parania 0 $implos Nacional Regime eepecin de wituteci®tdo 1SSON
NAO REROO OPTANTE Simples Nasional
ee ee
CALCULO DOISSGN
. ‘Valor total da NFBe (RS) Tota) das dedugdee {RS} eee. Inconaicionade (MS) Basede ciiculo do ISSON (FS) lig. (%) Vator do ISSQN (FS)
12000 ‘200 200 pean bi
HETENCOES
‘esx gry IR ED 16 (86) COFW (8) Wiss (8) om Rs) Det elang ee 5);
a0 90 0.0 300 600 200 a0)
VALOR TOTAL
‘Bane ce clita do ISSN (5) Rteneiee (6) Dase.hncondiclonado (At) Dasa. sondcionade (8) ‘olor Ligue da NFS0 (RS)
12000 ‘000 00 000 2000
INFORMAGOES COMPLEMENTARES
¥ aun vows JeraLetyO
aay lolig |</t>
        </is>
      </c>
      <c r="C295" s="15" t="inlineStr">
        <is>
          <t>NOTAS FISCAIS DE COMPRA JANEIRO 2026.pdf - p. 294</t>
        </is>
      </c>
    </row>
    <row r="296" ht="75" customHeight="1">
      <c r="A296" s="13" t="n">
        <v>295</v>
      </c>
      <c r="B296" s="15" t="inlineStr">
        <is>
          <t>whe ~~ Prefeltura Municipal de Teresina myrene
ry Secretaria Municipal de Finangas pee
NFSe - Prestador aapasnTov
DADOS DA NFSe Peoria csaman
Deine hore deomiesso Compatncle ——inuaro/ Siro, Sores ee
comree 16271 O1e028 20/0 a
oe
EMITENTE PRESTADOR DO SERVICO
CPF CHD NF deasrigto Mmicipl Tala
SEaT4 737600146 aa00002 (ish 82 5073
Now Wome Empreastint E-mat
BOA Vista AUTO ELETAWALTOA GRENABOAVISTACSHOTIAT.COM
iadersgo Municiio cer
FUN AIRE FORTES 11141 HORIZONTE ‘TERESI PH ORAS, eag8e.410
ee
| TOMADOR DO SERVIGO
PF rchPN HIE tnacetgho Municiea! Yetstoon
| Sesommoatzso sont
| Nome Nome Emprerias nei
SSKAL ENGENHAPIA NDUSTRIA E COMERCIO LTDA,
Enno Sumcnio cee
RID rDw Sao eraness00 0019 AMO TENA TERESINA /PIBRAS srn764s0
seMio prestano
MAE‘ CBO
452000340 - SERVICOS DE MARUTENGHG E REPARACAO ELETRICA DE VEICULOS AUTOMOTORES
Sar
401 LUBRIFGAGAO, LMPEZA, LUSTRAGAD, REVISAD, CAAA E RECAROA, GONSEATO, RESTAURACAD, BLINDAGEM, MANUTENCAO E CONSERVACAD OF
Lace de presacto do ervgo ais da prastagta do sevige
Tnesnarm pars
DESCRIGAO DO SERVICO PRESTADO
590 Mano OF PARTON
—O.___ ——nxmmn i a
TRIBUTAGAO MUNIAPAL
Exigblled do I55QH turin da tckdinci do 15908 espomstval palo vacointeanto do ISSOR
Exghel TERESMIA-PY PRESTADORDO SERVICED
Felengée de SSEN ——Stuagho do prewtador do sarvign parte 0 Spe Nectonat Regine sepa! oe Weutagho do 'SSON
MMO RETIOO OPTANTE Shpples Neonat
CALCULO DOISSQN
Valor total da Mae (i) ‘Tal das daduptos (RE) Desa. Incondicionado (Ris) Gave decélovle do KSON (RK) Alig (K) Valor Go (SSQN (RS)
295,00 20 00 om500 *
RETENCOES:
‘son (ns) Inne (my raya COMMS (A) wesc ost sy ute longs (6)
0,00 9,00 0.00 0.00 0.00 8.00 on
| VALOR TOTAL
ae da ottula da RIEGM(R) ———atangbue fit) Dees, neonconeds (RA) Date, cometonado (RS) ‘alor Liquide da MFS0 (5)
#2500 0 900 0 eee on
INFORMAGOES COMPLEMENTARES
2 y mercedes BYR 8464</t>
        </is>
      </c>
      <c r="C296" s="15" t="inlineStr">
        <is>
          <t>NOTAS FISCAIS DE COMPRA JANEIRO 2026.pdf - p. 295</t>
        </is>
      </c>
    </row>
    <row r="297" ht="75" customHeight="1">
      <c r="A297" s="13" t="n">
        <v>296</v>
      </c>
      <c r="B297" s="15" t="inlineStr">
        <is>
          <t>a OO ~ |
: DOCUMENTO
NOTARSCAL
BLETRONICA ba
ERNERYETDALICEO | oman [oe zn en
1SADA py ‘Consulta de autenticidade no portal nacional da NF-&lt;
RUA SIMPLICIO MENDES, N99 - CENTRO ‘20700
MAOUO-110 TERESINA - PL Bm, senate fendi gov btporal
(086) 3222-7859 ete cu to site da Sefae Autorizadora
ARERR PRCT eR TOCOLD  ROTOREASR TTS
[VENDA De MERCADORIA ADOUIRIDA
STORES. ISERIES TT TT am
Toaass244 Los serene
rerroarino :
ISKAL ENGENHARIA IND. E COM LTDA. — 23,655,038/0002-89
fexesiva De ee) 105-4100 [oceans [Ia |
cALCKKo vo oeresTO
PONTADOS/ VOLES TeANIroNTADO® : _
IE RNERY LTDA [Okemos [oP | [ot.125 581000149
IRUA SIMPLICIO MENDES N.599 CENTRO [rexeswa or ioaaeszes |
ieee voi“ OO eee
a0cs os raemTON SERCO
[Re ee elon ene [er ae | ae | va |e | ar
yr"
oe gr
: Na
‘ Na
Qe
Sao RNAS
ya Apron dos Tibucn RS 82,77 (3428 %) Fone: (HPT Pedi: 1354967 Vendor: 038 -
JOAO VICTOR Unutio: ERCILIA
BATA DO REESE TENTIFICACKO © AESNATORA BO RECEHEDOR 20730
i ieee</t>
        </is>
      </c>
      <c r="C297" s="15" t="inlineStr">
        <is>
          <t>NOTAS FISCAIS DE COMPRA JANEIRO 2026.pdf - p. 296</t>
        </is>
      </c>
    </row>
    <row r="298" ht="75" customHeight="1">
      <c r="A298" s="13" t="n">
        <v>297</v>
      </c>
      <c r="B298" s="15" t="inlineStr">
        <is>
          <t>— TT TT T—T——rr———————————— — ———————____,__,_,__________
“SCT RERISE DE CAEN BRE SEARRGUEIRASE FRGS SORTA 8 PD TEER ICOE CONS TAN TER NA ROTA SCAT ELETHORICA ike
TINCADS AD LADD: DESTINATARIO: AL ESOENSIAR/A INDUSTIUA  COMERCIO LTDA. “ROD RMA aS 4 SAO RALMUNDO- |
TRL PL ADMGAG S08 VALOR FOTAL: RS [220 Ni BOL60
PaTaDrRETEBIIENTO NBER TIACACADE ASSINATORA DO RECEHEDOR :
: : : Série: 1
TCASA DAS MANGUEIRAS E PARAFUSOS LTDA DANFE
: Documents wanriar
i a AV. MIGUEL ROSA, 6732 da Naw Fireal
" Elsen
Feared 13226 01092690 4600 6145 8808 1040 0601 6014 9414.48
esac Teresion an
5 001 " “Gone de uteri no port nacional da NF-e
f (861 3248-2654 64001490 NP: 80160 ‘ww wanie,fazcada. gor.b¢ uu na site da Sefaz Autorizadora
Série: 1
ATICAPTA DAURERAT FRC BE ACROREALND DETR
IVENDA DE MERCADORIA (DENTRO DO ESTADO} 222260000247216 06/01/2026 11:15:27
194640620. 109.269.05640001-85
DISFINATAMOMEMETENTE -
a RAND SOCTRE rc patrorensT
SKAL ENGENHARIA INDUSTRIA E COMERCIO LTDA. [23,655.038/0002-89 06-01-2026
Raa TERRROTTETRITO cer BATT ENTS]
‘ROD 343, 3185_A ISAO RAIMUNDO- 164.076-033 06-01-2026
siescTno FOREFAX TNCRCOORT Eon pcs
iTERESINA Frosaioo [or [conutcine _[oeessave Pensa |
ALCUMG bg twrosto
sairarausore TORTOIEA EASE DECHIC DETERS FT WAT DO WR [VADDR TOTAL DOS FROUUTOR
Oe i” eae ne 13660
ETO TPAC DOSRGRD ———[BESCOR SURAT DSF nCESSORTAS] VALOR FVATOR TOTAL OR NOR,
oo po aa Oot tzza
TRANSPORTADORVOLUMES TRANSPORTADOS
TREAD SORE FRETE FOR CONTA CORGOARTY FERER VERULO[UF— ERPECA
Prema fe
ADOS DO PRODUTORERVICD
{coo.ranp. | _piscrichovorropeTosinico [Sows] car [cror[uwn] orm. | viauwr [vintorar| wena Toons [uni aaa]
ur
gut, gone
wor
DADO ADICIONAIS
{ NFORBIACOES COMPLEMENTARES ‘RESERVADO AO FSO
| nnaa serade a pactix Go Greanento m. 9090238652. - voce pazoY aproximséanocte ¢
[OMRSMSTEtabatan feaseate REL, SW'de runs eoranvsta Poste te
i
1
powored by Pet alterdata</t>
        </is>
      </c>
      <c r="C298" s="15" t="inlineStr">
        <is>
          <t>NOTAS FISCAIS DE COMPRA JANEIRO 2026.pdf - p. 297</t>
        </is>
      </c>
    </row>
    <row r="299" ht="75" customHeight="1">
      <c r="A299" s="13" t="n">
        <v>298</v>
      </c>
      <c r="B299" s="15" t="inlineStr">
        <is>
          <t>FETS A __poseeercece 9 MMA ANAT AE AV A
‘ DANOTA FISCAL
ot smcaasncumsosens| DANOTARISCA
verry
pry veel ¢- Eee]
a come) SERIE: 1 SAT,
FOLHA:__1del _
TaTEREEA DN OPER TORN Be ART NEAO PRETO
VENDA DE MERCADORIA ADQUIRIDA OU RECEBIDA DE TERCE. XEAOOOND A466 - 06/01 72026 LI:LOSY
TCA TORSTANA. SAE AOSTA. BOR TROT aa
194591781 08.358.541/0001-74
DESTINATARIGREMETENTE.
MERA ION. oo ERIN DRBRIS
ISKAL ENGENHARIA INDUSTRIA E COMERCIO LTDA -23,655.038/0002-89 |06/01/2026
ERE SIRROOTTTT oF para neRIOT
ROD BR-343, 3185 64076-410 [06/01/2026
cia Toner ie [scuctoesrabua. pons sain
TERESINA 2107-4700 Lil 194446298 11:08:09
FATURA
CALCUL BO IMPOSTO.
ae ERE CHAERAS AT | VARA DoS RRTTMNTIS | Vinee ra no ROOTTS
SS FREER TTS OCR TE ES UNTO | VR TIC SE TT] — TATA AT A TTT
[oo | om | oo [ag | amo | seat
[RAzAO SOCIAL. [Fate POR CONTA | CODGO ANT. a
9-Sem Fret
OE eee |
Pe OT Oe ee
DADOS DO PRODUTOVSERVI( 0
eon Peas
Desa DoReeceoe pence
ES re [8 [ee [rfom [ome tt [it ncn rele eas
(eoacan [enero we: emene [sel ov | come [ramen [sem | om ams [om Low Pam | “mar
e {oss
gee?
CALCULO DO IS8QN
Eso ee |
DADOSADICIONAIS—— SS SSCOSCOOCOCOCOCOCOCSCSCSC“‘NNN
nae eR SEO CRemTTO PHIL [e IOKS, DE TaS E ce TE. 1e0820 ESERWADO ADETSCO</t>
        </is>
      </c>
      <c r="C299" s="15" t="inlineStr">
        <is>
          <t>NOTAS FISCAIS DE COMPRA JANEIRO 2026.pdf - p. 298</t>
        </is>
      </c>
    </row>
    <row r="300" ht="75" customHeight="1">
      <c r="A300" s="13" t="n">
        <v>299</v>
      </c>
      <c r="B300" s="15" t="inlineStr">
        <is>
          <t>Prefottura Munictpal de Teresina usage
Secretaria Munleipal de Finangas Eve]
: Nota Fiscal de Sorvigos Bistranica eect
NFSe- Prestador WSONZARH
DADOS DANFSe — hither eta
Datashom deemsslo  Gonpattoots ——Hésaera /Sérlo * Deets ae penal a
oapiae esas! OURS ar as
grumce esi) uma
EMITENTE PRESTABOR DO SERVIGO.
‘PE FONPAIME Inaefgdo Manta Teefocn
‘1.902 9040-58 eons (eo beas-eres
ome Nemo agra eral
IReannocran Jelena con
TRH earns . Muriespio cep
INARA 07 EOTRENA ‘TERESRIA/PLERASIL Sa07e045
TOMADOR DO SERVIGO
CPFSCNPS 13 Inscrigbo Municipal Taletons:
‘ass6.03e002-20 Se0s184 7
ome iNomo Erpresatl eal
SSKAL ENGENHARIA NDUSTROAF COMERCIOLTOR, :
Ender Henle coe
Sao RUNESICOA00D BARD TALIA TTERESRIA/ PLBRASI. e070
[a |PRESTADO \
NAB ICBO
2211-20602 -SERCOS COMBINADOS DE ESCRITORIO E APON AEMINESTRATIVO
Brronom-$§ MINSTE
‘7:11 ADMBNISTRACNO EM GER NELUGIVE DE BENS E HEGOCIOS DE TERCEROS, ‘
aca ta prstasto do aero ‘Pole rasta do easigo
FERESMATEr BRAS
DESCRIGAO DO SERVIGC PRESTADO 1
surge powwease
ts wool nik dacebso/ Bt
rex sioazneeoish
TRIBUTAGAO MUNICIPAL
Eeigaiieade dosscit SMurfoigodaeldanca do #590 Raspooeive pet vclhierto do (850%
Exige TERESINA - PI * PRESTADOR DO SERCO
Raeaptago{SSOM ——_—vanto de prestador do sarge pacar impiea Naclonal gine espectal da uBogQo do 1880N
NAO RETIOO RACOPTANTE. -
CALCULO D0 1SSQN
‘Vobrtoul Ganroe {RS} Tefal dea dacstee A) ear.Inccodlesnade (85) nun decile do MSSORRS) All. (M]_Yetoe do ISR (RS)
‘20000 00 a0 saono0 5900000 ‘6000
RETENGOES:
13808 5 re (5) Pe) con Inss enh sis.) Sots retengses (8)
0,08 9,00 000 0,00 0,00 0,00 0.00
VALOR TOTAL
Base do chdaule de ISSGN (RS) Retangiea {3} Deso.tncondictonado (A$) Desc. condicioneda (RS) ‘Valor Liquide da WFBx (RS)
2.00000 a0 ono ‘0 300000
INFORMAGOES COMPLEMENTARES</t>
        </is>
      </c>
      <c r="C300" s="15" t="inlineStr">
        <is>
          <t>NOTAS FISCAIS DE COMPRA JANEIRO 2026.pdf - p. 299</t>
        </is>
      </c>
    </row>
    <row r="301" ht="75" customHeight="1">
      <c r="A301" s="13" t="n">
        <v>300</v>
      </c>
      <c r="B301" s="15" t="inlineStr">
        <is>
          <t>CERAOS On ADEDRLIA, BOCRERLA COMER CTOA.GNNREEAETUD COMMAS WA HOTA PRCA 40 LADO - NFe
Se _. va :
i TS ADETTIRGAGIOG MADATORA DO-ABCHREDOA SERIES 1
on eae a
Docent Aue de
Ratastiis tsar
Ses. NENA RoR eERERCD LID O-eNTRADA (47 arene seta mena 7 ot
Re ee ee aa mmm | tcsAA
Teresina «PI " ‘Conselin de amtenticédede ac portal naciowal da NF! .
NOPAT - 640%6-90 Ne 001723 de amtendichd portal 7
om {SERIES ye un] Tomsacea gotta co ste te Sete Ateirney
‘mean Iams iecctnoe \
(Sorkin Sone SEOUEEe aan 8a
a eames. seamen
noon eon
ENar ORES
roms aane sa TTT SS Tn Joanie
‘CLODOALDO RINAOR DE UMA TLS Cees oo |
ree Faas as lone oe
eet 510 FASEIBCOAN rom ‘nous
a com Seana aa
é me
pier
fassvicucnonoa coe GaariECAERD Da RE TORTTORS [RLS DOSE REETTORTS [RTO DO RTSS 7]
sos ww om wn mn |
anak DORE: YAIR CO MOURS — CATIA CeSrRaAS AcaTAORAR [ALORDOTN ALOR TOTAL DA NOTA
t ow wm - oo wo srw
TRANSPORTADOR / VOLUMES TRANSPORTADOS aan ny pe ey
(a obo oon cemaareent” Pausiacraaae Yr” Teva |
J... --. |
aa oe rrmcmweweemc Ee |
rod od cry MEM ACAD ren RRC Room
2 a re ° °
amination
‘ce a
Re wae
om mr
anos ho mopeTORINICD
i ‘mecdo voMmocenoN aRarOR vewse| or | ore [iow creme 'eumine vn wie aw | BS ve non
Peep eee ee eee
Yseres of Peo sus
[PeSCRICAO HUMIC AL [vance rerral. boa SemacoS BASE DECALS OORT VALOR DO BON 1
ras eee aM 10 i
ne OTT EY A FI 7
Seam aocenoa pa essa
Soom Sete orn |
(gers sci lee
| a ee |
Te arn
|
|</t>
        </is>
      </c>
      <c r="C301" s="15" t="inlineStr">
        <is>
          <t>NOTAS FISCAIS DE COMPRA JANEIRO 2026.pdf - p. 300</t>
        </is>
      </c>
    </row>
    <row r="302" ht="75" customHeight="1">
      <c r="A302" s="13" t="n">
        <v>301</v>
      </c>
      <c r="B302" s="15" t="inlineStr">
        <is>
          <t>—— ee
So EET oy | DANE
AV, PREMRENTD WALL FERRAZ HLY2642-RANTO AcTONiA | Aundiar ds Mota
‘TEREESBUA. PUM Fone: BEaTtOGSS9 Cape Mugazars | 1. dea
libs
‘sérat ont
SE ovmewus pice nee eT
eres [mor [amenens | Tab earn -ssatarronanatonse
DAL BNOENMARIANDUDTRIA E COMMERGIO LTOA .
ee te | oe [SEE ae |
(Wieomunarme eee De |
cco pease :
=
e |
La
| 2 ;
re a oo, mam coe yaaaenie f
FANT.” BRAL MOSPORGARRLZACAD ETECNOLOGA (FAVOR CONPERIE AMERG. NO ATODA ENTREGA Welisoffde Paula
a chen ate ie Ss elivoif te Pau
vo macs tc tenuson oe nessun enna imokanted
I i ~23RIoN 126
a
(Brnieadin: 2301/2024 Owstinetsvo: SKAL ENGENHARIA INQUDTRIA E COMERCIO LTDA ‘Valor Totat 1.254,00 (000.198.281</t>
        </is>
      </c>
      <c r="C302" s="15" t="inlineStr">
        <is>
          <t>NOTAS FISCAIS DE COMPRA JANEIRO 2026.pdf - p. 301</t>
        </is>
      </c>
    </row>
    <row r="303" ht="75" customHeight="1">
      <c r="A303" s="13" t="n">
        <v>302</v>
      </c>
      <c r="B303" s="15" t="inlineStr">
        <is>
          <t>TENTWICAGHODO ENTIRE DANFE |
AUXILIAR DA
NOROESTE DIESEL LTDA NOTA FISCAL
AV. GETULIO VARGAS, N1S45- TABULETA BEETRONICA ames
saat750 TERESINA-P1 ENTRADA
(086) 3218-1136 salina fi ‘Consul de autenticidede no portal nacional da NF-e
(56.929 www. nfe fazenda.gov.br/portal
SERIE 001 ov no site da Sefaz Aulorizadora
RATER BX OPERATED FRTOCOL ODE ATONE NOTE TSS
VENDA DE MERCADORIA ADQUIRIDA 222260001921399 23/01/2026 11:29:04
RIC TABI RTS ETA BOTT TTT Gog
19.437.443-2 01.674. 104/0001-44
ISKAL ENGENHARIA IND.E COMERCIO LTDA — 73.655.038/0002-89 Prssioino%6 |
BR 343.3185 -. ‘SAO RAIMUNDO 64076-130, P2206 |
TERESINA ["b ["(o86) 3233-4100 Toaaess [tien |
MELO DOWNPORTO
PAE ooo PE 000 Po PR oon 1500
aS, poo rar aR ARGELFS ——[aTAL oT
too [hoe RPG oP ooo BS
"Fret c0n7 votimes aroarmOr
IORGESTE DIESEL LTDA [ORemeane [oP |” [ators iouonor-a4
fav. GETULIO VARGAS N-1545 TABULETA TERESINA Ta Persea. |
le
anos pos PROBUS /SERVICOS
[scsi] __SNTIONORETNTD TT Ws [ese] ee] oe [sr [iia] [ ve [ta] a
20 [LAMPABA STOTT WY Ba OT To] soo] soe] sBa1] bon] aay aa
16 | LAMPADA Loh 2AV NAC 8s392110} 050 | 5402 10] st00} 290] 310] 000] aoe a6
date | Laman 41 26¥ NaC saeziio| as | 502 1} 590} e000] sa52] ce] ace} xm
) | l I
Li
SISBEABICTORAT Hr
Seas REET ros
Eagar Pr a ony naw ar aso mens ry
75,00 Vendedor: 003 - ANTONIO CARLOS Usuatio: MARCELA Produtos ST/Outros: Oa
[240,00 DOCUMENTO EMITID0 POR ME OU EPP OPTANTE PELO SIMPLES od
NACIONAL NAO GERA DIRETTO A CREDITO FISCAL DE ICMS, ISS E IP. PEA  wolisoif de raula
‘Almokarifado
te
18) C3106.
 REDERETOR BE NORDESTE DESL FDR GY RODU OREO SERVICES CONT ANTES DA ROTA PRLACELETRONNCA POH ESTO TOTP
‘VALOR TOTAL 24200 DESTINATARIO SKAL BNGENMARIA IND. COMERCIO LTDA - BF345,)185, 6, SAC RAINAJNDO) 64076150.TERESINAPI NFe
BONICERPERTE DENTTCAT TE AGSNTURA DO REDON 6.929</t>
        </is>
      </c>
      <c r="C303" s="15" t="inlineStr">
        <is>
          <t>NOTAS FISCAIS DE COMPRA JANEIRO 2026.pdf - p. 302</t>
        </is>
      </c>
    </row>
    <row r="304" ht="75" customHeight="1">
      <c r="A304" s="13" t="n">
        <v>303</v>
      </c>
      <c r="B304" s="15" t="inlineStr">
        <is>
          <t>7 DANFE rT
HihiecliexEngesiariandeeria | Documenta
Comercio Ltde-al 3 ‘Avilier da Nota
wenida| 6564 Fiscal Blete6nica | CHAVE DE ACESSO
oe O-ENTRADA. j—y| 22060560 4949 6400 0478 SSO0 190 066527184750 8982
=. CaP sorn.to vsaioa
pmmmctraca = Tensine-
———etee ‘Tetefone: (86) 3223-1250 N° 000.066,.527 | Consutta de auteoticidade a0 portal nacional da NF-¢
SERIE 001 | wowmnie.fazenda gov bripartal ou no site da Sofa Autorizadona
—
Sra rT -a22é0a 172026 1035408
Venda de Mercadoria Adquirida de Terociros 01816048230
RESET COTE TTT a7
196788030 omnis] 04s4.9040006-78
Tarai RESTO
eae TRB
Skal Eng Ind ¢ Comercio Ltda [ressosnnon-s | 23/01/2026
Rua Sao Francisco, 4000 4076-038 | "23/012026
mar “Tare Sscnckeaome = aor arena
66) 2107-4700 Lev | tsesasase were |
ext
Pe
‘CALBLD DG DerOaTO. SO
4 Ba [ison Teer [oo es _[38237 =]
ae
0,000 000 |
|
| canraoeure | __vescanovosracevrosisencos [xen [ost [ever] wan, Javan w owe [v.vorat [y osse | ncvene [ ews [Tenor] vont Feel |
a an HTT Croc Mec cd
cA Sc Kc cE) |
pA ental wo w
pupnoe tert 33 oO D
_
|
prs :
7005 ancnals
. TAS COMOLENGXTARES: ‘REEAVADO AT CT
ee Pay ode
Welisofi de Pauta
‘Almaxarifado
Une as
Oi Cur 26</t>
        </is>
      </c>
      <c r="C304" s="15" t="inlineStr">
        <is>
          <t>NOTAS FISCAIS DE COMPRA JANEIRO 2026.pdf - p. 303</t>
        </is>
      </c>
    </row>
  </sheetData>
  <pageMargins left="0.25" right="0.25" top="0.5" bottom="0.5" header="0.5" footer="0.5"/>
  <pageSetup fitToHeight="0" fitToWidth="1"/>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2026-08-18T21:06:57Z</dcterms:created>
  <dcterms:modified xmlns:dcterms="http://purl.org/dc/terms/" xmlns:xsi="http://www.w3.org/2001/XMLSchema-instance" xsi:type="dcterms:W3CDTF">2026-08-18T21:07:15Z</dcterms:modified>
</cp:coreProperties>
</file>