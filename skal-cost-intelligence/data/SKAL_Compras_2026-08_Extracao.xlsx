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Documentos" sheetId="2" state="visible" r:id="rId2"/>
    <sheet xmlns:r="http://schemas.openxmlformats.org/officeDocument/2006/relationships" name="Itens_Produtos" sheetId="3" state="visible" r:id="rId3"/>
    <sheet xmlns:r="http://schemas.openxmlformats.org/officeDocument/2006/relationships" name="Itens_Servicos" sheetId="4" state="visible" r:id="rId4"/>
    <sheet xmlns:r="http://schemas.openxmlformats.org/officeDocument/2006/relationships" name="Fretes_CTe" sheetId="5" state="visible" r:id="rId5"/>
    <sheet xmlns:r="http://schemas.openxmlformats.org/officeDocument/2006/relationships" name="Energia" sheetId="6" state="visible" r:id="rId6"/>
    <sheet xmlns:r="http://schemas.openxmlformats.org/officeDocument/2006/relationships" name="Tributos_por_Doc" sheetId="7" state="visible" r:id="rId7"/>
    <sheet xmlns:r="http://schemas.openxmlformats.org/officeDocument/2006/relationships" name="Apoio_Financeiro" sheetId="8" state="visible" r:id="rId8"/>
    <sheet xmlns:r="http://schemas.openxmlformats.org/officeDocument/2006/relationships" name="Fornecedores" sheetId="9" state="visible" r:id="rId9"/>
    <sheet xmlns:r="http://schemas.openxmlformats.org/officeDocument/2006/relationships" name="Controle_Paginas" sheetId="10" state="visible" r:id="rId10"/>
    <sheet xmlns:r="http://schemas.openxmlformats.org/officeDocument/2006/relationships" name="Workflow_Interno" sheetId="11" state="visible" r:id="rId11"/>
  </sheets>
  <definedNames>
    <definedName name="_xlnm._FilterDatabase" localSheetId="1" hidden="1">'Documentos'!$A$1:$BV$25</definedName>
    <definedName name="_xlnm._FilterDatabase" localSheetId="2" hidden="1">'Itens_Produtos'!$A$1:$S$7</definedName>
    <definedName name="_xlnm._FilterDatabase" localSheetId="3" hidden="1">'Itens_Servicos'!$A$1:$R$17</definedName>
    <definedName name="_xlnm._FilterDatabase" localSheetId="4" hidden="1">'Fretes_CTe'!$A$1:$Y$4</definedName>
    <definedName name="_xlnm._FilterDatabase" localSheetId="5" hidden="1">'Energia'!$A$1:$M$12</definedName>
    <definedName name="_xlnm._FilterDatabase" localSheetId="6" hidden="1">'Tributos_por_Doc'!$A$1:$AE$25</definedName>
    <definedName name="_xlnm._FilterDatabase" localSheetId="7" hidden="1">'Apoio_Financeiro'!$A$1:$J$4</definedName>
    <definedName name="_xlnm._FilterDatabase" localSheetId="8" hidden="1">'Fornecedores'!$A$1:$K$16</definedName>
    <definedName name="_xlnm._FilterDatabase" localSheetId="9" hidden="1">'Controle_Paginas'!$A$1:$F$29</definedName>
    <definedName name="_xlnm._FilterDatabase" localSheetId="10" hidden="1">'Workflow_Interno'!$A$1:$G$24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R$ #,##0.00;[Red](R$ #,##0.00);-"/>
    <numFmt numFmtId="167" formatCode="#,##0.0000;[Red](#,##0.0000);-"/>
  </numFmts>
  <fonts count="8">
    <font>
      <name val="Calibri"/>
      <family val="2"/>
      <color theme="1"/>
      <sz val="11"/>
      <scheme val="minor"/>
    </font>
    <font>
      <b val="1"/>
      <color rgb="00FFFFFF"/>
    </font>
    <font>
      <color rgb="00008000"/>
    </font>
    <font>
      <b val="1"/>
      <color rgb="00FFFFFF"/>
      <sz val="15"/>
    </font>
    <font>
      <i val="1"/>
      <color rgb="00666666"/>
    </font>
    <font>
      <color rgb="00000000"/>
    </font>
    <font>
      <b val="1"/>
    </font>
    <font>
      <i val="1"/>
      <color rgb="001F4E78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CE4D6"/>
      </patternFill>
    </fill>
    <fill>
      <patternFill patternType="solid">
        <fgColor rgb="00E4DFEC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top style="medium">
        <color rgb="0017365D"/>
      </top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0" borderId="0" applyAlignment="1" pivotButton="0" quotePrefix="0" xfId="0">
      <alignment wrapText="1"/>
    </xf>
    <xf numFmtId="0" fontId="1" fillId="5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6" fontId="5" fillId="0" borderId="0" applyAlignment="1" pivotButton="0" quotePrefix="0" xfId="0">
      <alignment vertical="top" wrapText="1"/>
    </xf>
    <xf numFmtId="10" fontId="5" fillId="0" borderId="0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166" fontId="5" fillId="0" borderId="1" applyAlignment="1" pivotButton="0" quotePrefix="0" xfId="0">
      <alignment vertical="top" wrapText="1"/>
    </xf>
    <xf numFmtId="10" fontId="5" fillId="0" borderId="1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7" fillId="0" borderId="0" applyAlignment="1" pivotButton="0" quotePrefix="0" xfId="0">
      <alignment wrapText="1"/>
    </xf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49" fontId="2" fillId="0" borderId="0" applyAlignment="1" pivotButton="0" quotePrefix="0" xfId="0">
      <alignment vertical="top"/>
    </xf>
    <xf numFmtId="165" fontId="2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49" fontId="2" fillId="0" borderId="0" applyAlignment="1" pivotButton="0" quotePrefix="0" xfId="0">
      <alignment vertical="top" wrapText="1"/>
    </xf>
    <xf numFmtId="166" fontId="2" fillId="0" borderId="0" applyAlignment="1" pivotButton="0" quotePrefix="0" xfId="0">
      <alignment vertical="top"/>
    </xf>
    <xf numFmtId="10" fontId="0" fillId="0" borderId="0" applyAlignment="1" pivotButton="0" quotePrefix="0" xfId="0">
      <alignment vertical="top"/>
    </xf>
    <xf numFmtId="1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49" fontId="2" fillId="3" borderId="0" applyAlignment="1" pivotButton="0" quotePrefix="0" xfId="0">
      <alignment vertical="top"/>
    </xf>
    <xf numFmtId="165" fontId="2" fillId="3" borderId="0" applyAlignment="1" pivotButton="0" quotePrefix="0" xfId="0">
      <alignment vertical="top"/>
    </xf>
    <xf numFmtId="165" fontId="0" fillId="3" borderId="0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49" fontId="2" fillId="3" borderId="0" applyAlignment="1" pivotButton="0" quotePrefix="0" xfId="0">
      <alignment vertical="top" wrapText="1"/>
    </xf>
    <xf numFmtId="166" fontId="2" fillId="3" borderId="0" applyAlignment="1" pivotButton="0" quotePrefix="0" xfId="0">
      <alignment vertical="top"/>
    </xf>
    <xf numFmtId="10" fontId="0" fillId="3" borderId="0" applyAlignment="1" pivotButton="0" quotePrefix="0" xfId="0">
      <alignment vertical="top"/>
    </xf>
    <xf numFmtId="10" fontId="2" fillId="3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2" fillId="4" borderId="0" applyAlignment="1" pivotButton="0" quotePrefix="0" xfId="0">
      <alignment vertical="top"/>
    </xf>
    <xf numFmtId="166" fontId="0" fillId="3" borderId="0" applyAlignment="1" pivotButton="0" quotePrefix="0" xfId="0">
      <alignment vertical="top"/>
    </xf>
    <xf numFmtId="167" fontId="2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OpenAI</author>
  </authors>
  <commentList>
    <comment ref="A2" authorId="0" shapeId="0">
      <text>
        <t>Fonte: NOTAS FISCAIS DE COMPRA AGOSTO 2026.pdf. O PDF possui 28 páginas digitalizadas.</t>
      </text>
    </comment>
  </commentList>
</comments>
</file>

<file path=xl/tables/table1.xml><?xml version="1.0" encoding="utf-8"?>
<table xmlns="http://schemas.openxmlformats.org/spreadsheetml/2006/main" id="1" name="tblDocumentos" displayName="tblDocumentos" ref="A1:BV25" headerRowCount="1">
  <autoFilter ref="A1:BV25"/>
  <tableColumns count="74">
    <tableColumn id="1" name="ID"/>
    <tableColumn id="2" name="Paginas"/>
    <tableColumn id="3" name="Tipo"/>
    <tableColumn id="4" name="Modelo"/>
    <tableColumn id="5" name="Numero"/>
    <tableColumn id="6" name="Serie"/>
    <tableColumn id="7" name="Data_Emissao"/>
    <tableColumn id="8" name="Hora_Emissao"/>
    <tableColumn id="9" name="Competencia"/>
    <tableColumn id="10" name="Data_Geracao"/>
    <tableColumn id="11" name="Vencimento"/>
    <tableColumn id="12" name="Chave_Acesso"/>
    <tableColumn id="13" name="Protocolo"/>
    <tableColumn id="14" name="Codigo_Verificacao"/>
    <tableColumn id="15" name="RPS"/>
    <tableColumn id="16" name="Serie_RPS"/>
    <tableColumn id="17" name="Emitente"/>
    <tableColumn id="18" name="Fantasia"/>
    <tableColumn id="19" name="Emitente_CNPJ"/>
    <tableColumn id="20" name="Emitente_IE"/>
    <tableColumn id="21" name="Emitente_IM"/>
    <tableColumn id="22" name="Emitente_Cidade"/>
    <tableColumn id="23" name="Emitente_UF"/>
    <tableColumn id="24" name="Emitente_Regime"/>
    <tableColumn id="25" name="Destinatario"/>
    <tableColumn id="26" name="Destinatario_CNPJ"/>
    <tableColumn id="27" name="Destinatario_IE"/>
    <tableColumn id="28" name="Destinatario_IM"/>
    <tableColumn id="29" name="Destinatario_Cidade"/>
    <tableColumn id="30" name="Destinatario_UF"/>
    <tableColumn id="31" name="Unidade"/>
    <tableColumn id="32" name="Natureza"/>
    <tableColumn id="33" name="Categoria"/>
    <tableColumn id="34" name="Subcategoria"/>
    <tableColumn id="35" name="Local_Prestacao"/>
    <tableColumn id="36" name="CFOP"/>
    <tableColumn id="37" name="CNAE_CBO"/>
    <tableColumn id="38" name="Codigo_Servico"/>
    <tableColumn id="39" name="NBS"/>
    <tableColumn id="40" name="Valor_Produtos"/>
    <tableColumn id="41" name="Valor_Servicos"/>
    <tableColumn id="42" name="Valor_Frete"/>
    <tableColumn id="43" name="Outras_Despesas"/>
    <tableColumn id="44" name="Desconto"/>
    <tableColumn id="45" name="Valor_Documento"/>
    <tableColumn id="46" name="Valor_Liquido"/>
    <tableColumn id="47" name="BC_ICMS"/>
    <tableColumn id="48" name="Aliq_ICMS"/>
    <tableColumn id="49" name="ICMS"/>
    <tableColumn id="50" name="BC_ICMS_ST"/>
    <tableColumn id="51" name="ICMS_ST"/>
    <tableColumn id="52" name="IPI"/>
    <tableColumn id="53" name="PIS"/>
    <tableColumn id="54" name="COFINS"/>
    <tableColumn id="55" name="BC_ISS"/>
    <tableColumn id="56" name="Aliq_ISS"/>
    <tableColumn id="57" name="ISS"/>
    <tableColumn id="58" name="ISS_Retido"/>
    <tableColumn id="59" name="INSS_Retido"/>
    <tableColumn id="60" name="IRRF_Retido"/>
    <tableColumn id="61" name="CSLL_Retida"/>
    <tableColumn id="62" name="Outras_Retencoes"/>
    <tableColumn id="63" name="IBS_Municipal"/>
    <tableColumn id="64" name="IBS_Estadual"/>
    <tableColumn id="65" name="CBS"/>
    <tableColumn id="66" name="Total_IBS_CBS"/>
    <tableColumn id="67" name="FUST"/>
    <tableColumn id="68" name="FUNTTEL"/>
    <tableColumn id="69" name="Contabilizar"/>
    <tableColumn id="70" name="Documento_Fiscal"/>
    <tableColumn id="71" name="Duplicado_De"/>
    <tableColumn id="72" name="Confianca"/>
    <tableColumn id="73" name="Observacoes"/>
    <tableColumn id="74" name="Fon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Produtos" displayName="tblProdutos" ref="A1:S7" headerRowCount="1">
  <autoFilter ref="A1:S7"/>
  <tableColumns count="19">
    <tableColumn id="1" name="Doc_ID"/>
    <tableColumn id="2" name="Pagina"/>
    <tableColumn id="3" name="Documento"/>
    <tableColumn id="4" name="Emitente"/>
    <tableColumn id="5" name="Codigo_Item"/>
    <tableColumn id="6" name="Descricao"/>
    <tableColumn id="7" name="NCM_SH"/>
    <tableColumn id="8" name="CST"/>
    <tableColumn id="9" name="CFOP"/>
    <tableColumn id="10" name="Unidade"/>
    <tableColumn id="11" name="Quantidade"/>
    <tableColumn id="12" name="Valor_Unitario"/>
    <tableColumn id="13" name="Valor_Total"/>
    <tableColumn id="14" name="BC_ICMS"/>
    <tableColumn id="15" name="Aliq_ICMS"/>
    <tableColumn id="16" name="ICMS"/>
    <tableColumn id="17" name="IPI"/>
    <tableColumn id="18" name="Observacoes"/>
    <tableColumn id="19" name="Fon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Servicos" displayName="tblServicos" ref="A1:R17" headerRowCount="1">
  <autoFilter ref="A1:R17"/>
  <tableColumns count="18">
    <tableColumn id="1" name="Doc_ID"/>
    <tableColumn id="2" name="Pagina"/>
    <tableColumn id="3" name="Documento"/>
    <tableColumn id="4" name="Emitente"/>
    <tableColumn id="5" name="Tipo"/>
    <tableColumn id="6" name="Codigo"/>
    <tableColumn id="7" name="CNAE_CBO"/>
    <tableColumn id="8" name="NBS"/>
    <tableColumn id="9" name="Descricao"/>
    <tableColumn id="10" name="Quantidade"/>
    <tableColumn id="11" name="Unidade"/>
    <tableColumn id="12" name="Valor_Unitario"/>
    <tableColumn id="13" name="Valor_Total"/>
    <tableColumn id="14" name="BC_ISS"/>
    <tableColumn id="15" name="Aliq_ISS"/>
    <tableColumn id="16" name="ISS"/>
    <tableColumn id="17" name="ISS_Retido"/>
    <tableColumn id="18" name="Fon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Fretes" displayName="tblFretes" ref="A1:Y4" headerRowCount="1">
  <autoFilter ref="A1:Y4"/>
  <tableColumns count="25">
    <tableColumn id="1" name="Doc_ID"/>
    <tableColumn id="2" name="Pagina"/>
    <tableColumn id="3" name="CTe"/>
    <tableColumn id="4" name="Data"/>
    <tableColumn id="5" name="Transportadora"/>
    <tableColumn id="6" name="CNPJ"/>
    <tableColumn id="7" name="CFOP"/>
    <tableColumn id="8" name="Origem"/>
    <tableColumn id="9" name="Destino"/>
    <tableColumn id="10" name="Remetente"/>
    <tableColumn id="11" name="Remetente_CNPJ"/>
    <tableColumn id="12" name="NF_e_Relacionada"/>
    <tableColumn id="13" name="Peso_kg"/>
    <tableColumn id="14" name="Quantidade_Unidades"/>
    <tableColumn id="15" name="Produto"/>
    <tableColumn id="16" name="Valor_Mercadoria"/>
    <tableColumn id="17" name="Frete_Peso"/>
    <tableColumn id="18" name="Valor_Total_Servico"/>
    <tableColumn id="19" name="Valor_Receber"/>
    <tableColumn id="20" name="BC_ICMS"/>
    <tableColumn id="21" name="Aliq_ICMS"/>
    <tableColumn id="22" name="ICMS"/>
    <tableColumn id="23" name="Red_BC"/>
    <tableColumn id="24" name="Credito"/>
    <tableColumn id="25" name="Fon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Energia" displayName="tblEnergia" ref="A1:M12" headerRowCount="1">
  <autoFilter ref="A1:M12"/>
  <tableColumns count="13">
    <tableColumn id="1" name="Registro"/>
    <tableColumn id="2" name="Doc_ID"/>
    <tableColumn id="3" name="Pagina"/>
    <tableColumn id="4" name="Periodo"/>
    <tableColumn id="5" name="Item"/>
    <tableColumn id="6" name="Codigo"/>
    <tableColumn id="7" name="Quantidade_MWh"/>
    <tableColumn id="8" name="Valor_Unitario_R_MWh"/>
    <tableColumn id="9" name="Valor"/>
    <tableColumn id="10" name="BC_ICMS_ST"/>
    <tableColumn id="11" name="ICMS_ST"/>
    <tableColumn id="12" name="Observacoes"/>
    <tableColumn id="13" name="Fon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Tributos" displayName="tblTributos" ref="A1:AE25" headerRowCount="1">
  <autoFilter ref="A1:AE25"/>
  <tableColumns count="31">
    <tableColumn id="1" name="Doc_ID"/>
    <tableColumn id="2" name="Pagina"/>
    <tableColumn id="3" name="Tipo"/>
    <tableColumn id="4" name="Numero"/>
    <tableColumn id="5" name="Unidade"/>
    <tableColumn id="6" name="Emitente"/>
    <tableColumn id="7" name="CNPJ_Emitente"/>
    <tableColumn id="8" name="Valor_Documento"/>
    <tableColumn id="9" name="BC_ICMS"/>
    <tableColumn id="10" name="Aliq_ICMS"/>
    <tableColumn id="11" name="ICMS"/>
    <tableColumn id="12" name="BC_ICMS_ST"/>
    <tableColumn id="13" name="ICMS_ST"/>
    <tableColumn id="14" name="IPI"/>
    <tableColumn id="15" name="PIS"/>
    <tableColumn id="16" name="COFINS"/>
    <tableColumn id="17" name="BC_ISS"/>
    <tableColumn id="18" name="Aliq_ISS"/>
    <tableColumn id="19" name="ISS"/>
    <tableColumn id="20" name="ISS_Retido"/>
    <tableColumn id="21" name="INSS_Retido"/>
    <tableColumn id="22" name="IRRF_Retido"/>
    <tableColumn id="23" name="CSLL_Retida"/>
    <tableColumn id="24" name="Outras_Retencoes"/>
    <tableColumn id="25" name="IBS_Municipal"/>
    <tableColumn id="26" name="IBS_Estadual"/>
    <tableColumn id="27" name="CBS"/>
    <tableColumn id="28" name="Total_IBS_CBS"/>
    <tableColumn id="29" name="FUST"/>
    <tableColumn id="30" name="FUNTTEL"/>
    <tableColumn id="31" name="Fon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Apoio" displayName="tblApoio" ref="A1:J4" headerRowCount="1">
  <autoFilter ref="A1:J4"/>
  <tableColumns count="10">
    <tableColumn id="1" name="Apoio_ID"/>
    <tableColumn id="2" name="Pagina"/>
    <tableColumn id="3" name="Tipo"/>
    <tableColumn id="4" name="Relacionado_a"/>
    <tableColumn id="5" name="Data"/>
    <tableColumn id="6" name="Numero"/>
    <tableColumn id="7" name="Valor"/>
    <tableColumn id="8" name="Contabilizar"/>
    <tableColumn id="9" name="Detalhes"/>
    <tableColumn id="10" name="Fon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Fornecedores" displayName="tblFornecedores" ref="A1:K16" headerRowCount="1">
  <autoFilter ref="A1:K16"/>
  <tableColumns count="11">
    <tableColumn id="1" name="CNPJ"/>
    <tableColumn id="2" name="Razao_Social"/>
    <tableColumn id="3" name="Fantasia"/>
    <tableColumn id="4" name="IE"/>
    <tableColumn id="5" name="IM"/>
    <tableColumn id="6" name="Cidade"/>
    <tableColumn id="7" name="UF"/>
    <tableColumn id="8" name="Regime"/>
    <tableColumn id="9" name="Documentos"/>
    <tableColumn id="10" name="Valor_Total"/>
    <tableColumn id="11" name="Font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Paginas" displayName="tblPaginas" ref="A1:F29" headerRowCount="1">
  <autoFilter ref="A1:F29"/>
  <tableColumns count="6">
    <tableColumn id="1" name="Pagina"/>
    <tableColumn id="2" name="ID_Vinculo"/>
    <tableColumn id="3" name="Classificacao"/>
    <tableColumn id="4" name="Descricao"/>
    <tableColumn id="5" name="Soma_Contabil"/>
    <tableColumn id="6" name="Fon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Workflow" displayName="tblWorkflow" ref="A1:G24" headerRowCount="1">
  <autoFilter ref="A1:G24"/>
  <tableColumns count="7">
    <tableColumn id="1" name="Pagina"/>
    <tableColumn id="2" name="Doc_ID"/>
    <tableColumn id="3" name="Recebido"/>
    <tableColumn id="4" name="Compras_Lancado"/>
    <tableColumn id="5" name="Almoxarifado"/>
    <tableColumn id="6" name="Outras_Anotacoes"/>
    <tableColumn id="7" name="Confianc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30" customWidth="1" min="3" max="3"/>
    <col width="18" customWidth="1" min="4" max="4"/>
    <col width="18" customWidth="1" min="5" max="5"/>
  </cols>
  <sheetData>
    <row r="1" ht="28" customHeight="1">
      <c r="A1" s="1" t="inlineStr">
        <is>
          <t>SKAL / GRUPO KALFIX — EXTRAÇÃO CONTÁBIL E FISCAL — COMPRAS AGOSTO 2026</t>
        </is>
      </c>
    </row>
    <row r="2" ht="34" customHeight="1">
      <c r="A2" s="2" t="inlineStr">
        <is>
          <t>Base documental: 28 páginas do PDF anexado. Valores são transcrições dos documentos; campos não legíveis/não informados não foram inferidos.</t>
        </is>
      </c>
    </row>
    <row r="3"/>
    <row r="4">
      <c r="A4" s="3" t="inlineStr">
        <is>
          <t>TOTAIS POR EMPRESA / UNIDADE</t>
        </is>
      </c>
      <c r="B4" s="4" t="n"/>
      <c r="C4" s="4" t="n"/>
      <c r="D4" s="4" t="n"/>
      <c r="E4" s="4" t="n"/>
    </row>
    <row r="5">
      <c r="A5" s="4" t="inlineStr">
        <is>
          <t>SKAL /0002</t>
        </is>
      </c>
      <c r="B5" s="5">
        <f>SUMIFS('Documentos'!$AS$2:$AS$25,'Documentos'!$AE$2:$AE$25,A5,'Documentos'!$BQ$2:$BQ$25,"Sim")</f>
        <v/>
      </c>
      <c r="C5" s="4" t="n"/>
      <c r="D5" s="4" t="n"/>
      <c r="E5" s="4" t="n"/>
    </row>
    <row r="6">
      <c r="A6" s="4" t="inlineStr">
        <is>
          <t>SKAL /0001</t>
        </is>
      </c>
      <c r="B6" s="5">
        <f>SUMIFS('Documentos'!$AS$2:$AS$25,'Documentos'!$AE$2:$AE$25,A6,'Documentos'!$BQ$2:$BQ$25,"Sim")</f>
        <v/>
      </c>
      <c r="C6" s="4" t="n"/>
      <c r="D6" s="4" t="n"/>
      <c r="E6" s="4" t="n"/>
    </row>
    <row r="7">
      <c r="A7" s="4" t="inlineStr">
        <is>
          <t>SKAL consolidada</t>
        </is>
      </c>
      <c r="B7" s="5">
        <f>SUM(B5:B6)</f>
        <v/>
      </c>
      <c r="C7" s="4" t="n"/>
      <c r="D7" s="4" t="n"/>
      <c r="E7" s="4" t="n"/>
    </row>
    <row r="8">
      <c r="A8" s="4" t="inlineStr">
        <is>
          <t>KALFIX /0001</t>
        </is>
      </c>
      <c r="B8" s="5">
        <f>SUMIFS('Documentos'!$AS$2:$AS$25,'Documentos'!$AE$2:$AE$25,A8,'Documentos'!$BQ$2:$BQ$25,"Sim")</f>
        <v/>
      </c>
      <c r="C8" s="4" t="n"/>
      <c r="D8" s="4" t="n"/>
      <c r="E8" s="4" t="n"/>
    </row>
    <row r="9">
      <c r="A9" s="4" t="inlineStr">
        <is>
          <t>TOTAL documentos principais</t>
        </is>
      </c>
      <c r="B9" s="5">
        <f>SUM(B5:B6,B8)</f>
        <v/>
      </c>
      <c r="C9" s="4" t="n"/>
      <c r="D9" s="4" t="n"/>
      <c r="E9" s="4" t="n"/>
    </row>
    <row r="10">
      <c r="A10" s="4" t="n"/>
      <c r="B10" s="4" t="n"/>
      <c r="C10" s="4" t="n"/>
      <c r="D10" s="4" t="n"/>
      <c r="E10" s="4" t="n"/>
    </row>
    <row r="11">
      <c r="A11" s="3" t="inlineStr">
        <is>
          <t>COMPOSIÇÃO — SKAL CONSOLIDADA</t>
        </is>
      </c>
      <c r="B11" s="4" t="n"/>
      <c r="C11" s="4" t="n"/>
      <c r="D11" s="4" t="n"/>
      <c r="E11" s="4" t="n"/>
    </row>
    <row r="12">
      <c r="A12" s="4" t="inlineStr">
        <is>
          <t>Produtos</t>
        </is>
      </c>
      <c r="B12" s="5">
        <f>SUMIFS('Documentos'!$AS$2:$AS$25,'Documentos'!$AG$2:$AG$25,A12,'Documentos'!$AE$2:$AE$25,"SKAL /0001",'Documentos'!$BQ$2:$BQ$25,"Sim")+SUMIFS('Documentos'!$AS$2:$AS$25,'Documentos'!$AG$2:$AG$25,A12,'Documentos'!$AE$2:$AE$25,"SKAL /0002",'Documentos'!$BQ$2:$BQ$25,"Sim")</f>
        <v/>
      </c>
      <c r="C12" s="6">
        <f>IF($B$7=0,0,B12/$B$7)</f>
        <v/>
      </c>
      <c r="D12" s="4" t="n"/>
      <c r="E12" s="4" t="n"/>
    </row>
    <row r="13">
      <c r="A13" s="4" t="inlineStr">
        <is>
          <t>Fretes</t>
        </is>
      </c>
      <c r="B13" s="5">
        <f>SUMIFS('Documentos'!$AS$2:$AS$25,'Documentos'!$AG$2:$AG$25,A13,'Documentos'!$AE$2:$AE$25,"SKAL /0001",'Documentos'!$BQ$2:$BQ$25,"Sim")+SUMIFS('Documentos'!$AS$2:$AS$25,'Documentos'!$AG$2:$AG$25,A13,'Documentos'!$AE$2:$AE$25,"SKAL /0002",'Documentos'!$BQ$2:$BQ$25,"Sim")</f>
        <v/>
      </c>
      <c r="C13" s="6">
        <f>IF($B$7=0,0,B13/$B$7)</f>
        <v/>
      </c>
      <c r="D13" s="4" t="n"/>
      <c r="E13" s="4" t="n"/>
    </row>
    <row r="14">
      <c r="A14" s="4" t="inlineStr">
        <is>
          <t>Energia</t>
        </is>
      </c>
      <c r="B14" s="5">
        <f>SUMIFS('Documentos'!$AS$2:$AS$25,'Documentos'!$AG$2:$AG$25,A14,'Documentos'!$AE$2:$AE$25,"SKAL /0001",'Documentos'!$BQ$2:$BQ$25,"Sim")+SUMIFS('Documentos'!$AS$2:$AS$25,'Documentos'!$AG$2:$AG$25,A14,'Documentos'!$AE$2:$AE$25,"SKAL /0002",'Documentos'!$BQ$2:$BQ$25,"Sim")</f>
        <v/>
      </c>
      <c r="C14" s="6">
        <f>IF($B$7=0,0,B14/$B$7)</f>
        <v/>
      </c>
      <c r="D14" s="4" t="n"/>
      <c r="E14" s="4" t="n"/>
    </row>
    <row r="15">
      <c r="A15" s="4" t="inlineStr">
        <is>
          <t>Serviços</t>
        </is>
      </c>
      <c r="B15" s="5">
        <f>SUMIFS('Documentos'!$AS$2:$AS$25,'Documentos'!$AG$2:$AG$25,A15,'Documentos'!$AE$2:$AE$25,"SKAL /0001",'Documentos'!$BQ$2:$BQ$25,"Sim")+SUMIFS('Documentos'!$AS$2:$AS$25,'Documentos'!$AG$2:$AG$25,A15,'Documentos'!$AE$2:$AE$25,"SKAL /0002",'Documentos'!$BQ$2:$BQ$25,"Sim")</f>
        <v/>
      </c>
      <c r="C15" s="6">
        <f>IF($B$7=0,0,B15/$B$7)</f>
        <v/>
      </c>
      <c r="D15" s="4" t="n"/>
      <c r="E15" s="4" t="n"/>
    </row>
    <row r="16">
      <c r="A16" s="7" t="inlineStr">
        <is>
          <t>Total</t>
        </is>
      </c>
      <c r="B16" s="8">
        <f>SUM(B12:B15)</f>
        <v/>
      </c>
      <c r="C16" s="9">
        <f>SUM(C12:C15)</f>
        <v/>
      </c>
      <c r="D16" s="4" t="n"/>
      <c r="E16" s="4" t="n"/>
    </row>
    <row r="17">
      <c r="A17" s="4" t="n"/>
      <c r="B17" s="4" t="n"/>
      <c r="C17" s="4" t="n"/>
      <c r="D17" s="4" t="n"/>
      <c r="E17" s="4" t="n"/>
    </row>
    <row r="18">
      <c r="A18" s="4" t="n"/>
      <c r="B18" s="4" t="n"/>
      <c r="C18" s="4" t="n"/>
      <c r="D18" s="4" t="n"/>
      <c r="E18" s="4" t="n"/>
    </row>
    <row r="19">
      <c r="A19" s="4" t="n"/>
      <c r="B19" s="4" t="n"/>
      <c r="C19" s="4" t="n"/>
      <c r="D19" s="4" t="n"/>
      <c r="E19" s="4" t="n"/>
    </row>
    <row r="20">
      <c r="A20" s="3" t="inlineStr">
        <is>
          <t>TRIBUTOS EXPLICITAMENTE DESTACADOS NOS DOCUMENTOS DA SKAL</t>
        </is>
      </c>
      <c r="B20" s="4" t="n"/>
      <c r="C20" s="4" t="n"/>
      <c r="D20" s="4" t="n"/>
      <c r="E20" s="4" t="n"/>
    </row>
    <row r="21">
      <c r="A21" s="4" t="inlineStr">
        <is>
          <t>ICMS normal</t>
        </is>
      </c>
      <c r="B21" s="5">
        <f>SUMIFS('Documentos'!$AW$2:$AW$25,'Documentos'!$AE$2:$AE$25,"SKAL /0001",'Documentos'!$BQ$2:$BQ$25,"Sim")+SUMIFS('Documentos'!$AW$2:$AW$25,'Documentos'!$AE$2:$AE$25,"SKAL /0002",'Documentos'!$BQ$2:$BQ$25,"Sim")</f>
        <v/>
      </c>
      <c r="C21" s="4" t="n"/>
      <c r="D21" s="4" t="n"/>
      <c r="E21" s="4" t="n"/>
    </row>
    <row r="22">
      <c r="A22" s="4" t="inlineStr">
        <is>
          <t>ICMS ST</t>
        </is>
      </c>
      <c r="B22" s="5">
        <f>SUMIFS('Documentos'!$AY$2:$AY$25,'Documentos'!$AE$2:$AE$25,"SKAL /0001",'Documentos'!$BQ$2:$BQ$25,"Sim")+SUMIFS('Documentos'!$AY$2:$AY$25,'Documentos'!$AE$2:$AE$25,"SKAL /0002",'Documentos'!$BQ$2:$BQ$25,"Sim")</f>
        <v/>
      </c>
      <c r="C22" s="4" t="n"/>
      <c r="D22" s="4" t="n"/>
      <c r="E22" s="4" t="n"/>
    </row>
    <row r="23">
      <c r="A23" s="4" t="inlineStr">
        <is>
          <t>ISS apurado</t>
        </is>
      </c>
      <c r="B23" s="5">
        <f>SUMIFS('Documentos'!$BE$2:$BE$25,'Documentos'!$AE$2:$AE$25,"SKAL /0001",'Documentos'!$BQ$2:$BQ$25,"Sim")+SUMIFS('Documentos'!$BE$2:$BE$25,'Documentos'!$AE$2:$AE$25,"SKAL /0002",'Documentos'!$BQ$2:$BQ$25,"Sim")</f>
        <v/>
      </c>
      <c r="C23" s="4" t="n"/>
      <c r="D23" s="4" t="n"/>
      <c r="E23" s="4" t="n"/>
    </row>
    <row r="24">
      <c r="A24" s="4" t="inlineStr">
        <is>
          <t>IBS + CBS (campos 2026)</t>
        </is>
      </c>
      <c r="B24" s="5">
        <f>SUMIFS('Documentos'!$BN$2:$BN$25,'Documentos'!$AE$2:$AE$25,"SKAL /0001",'Documentos'!$BQ$2:$BQ$25,"Sim")+SUMIFS('Documentos'!$BN$2:$BN$25,'Documentos'!$AE$2:$AE$25,"SKAL /0002",'Documentos'!$BQ$2:$BQ$25,"Sim")</f>
        <v/>
      </c>
      <c r="C24" s="4" t="n"/>
      <c r="D24" s="4" t="n"/>
      <c r="E24" s="4" t="n"/>
    </row>
    <row r="25">
      <c r="A25" s="4" t="inlineStr">
        <is>
          <t>Observação</t>
        </is>
      </c>
      <c r="B25" s="10" t="inlineStr">
        <is>
          <t>Esses valores são apenas os tributos/encargos exibidos nos documentos. A planilha não presume crédito fiscal nem tratamento tributário.</t>
        </is>
      </c>
      <c r="C25" s="4" t="n"/>
      <c r="D25" s="4" t="n"/>
      <c r="E25" s="4" t="n"/>
    </row>
    <row r="26">
      <c r="A26" s="4" t="n"/>
      <c r="B26" s="4" t="n"/>
      <c r="C26" s="4" t="n"/>
      <c r="D26" s="4" t="n"/>
      <c r="E26" s="4" t="n"/>
    </row>
    <row r="27">
      <c r="A27" s="4" t="n"/>
      <c r="B27" s="4" t="n"/>
      <c r="C27" s="4" t="n"/>
      <c r="D27" s="4" t="n"/>
      <c r="E27" s="4" t="n"/>
    </row>
    <row r="28">
      <c r="A28" s="3" t="inlineStr">
        <is>
          <t>CONTROLE DE EXTRAÇÃO</t>
        </is>
      </c>
      <c r="B28" s="4" t="n"/>
      <c r="C28" s="4" t="n"/>
      <c r="D28" s="4" t="n"/>
      <c r="E28" s="4" t="n"/>
    </row>
    <row r="29">
      <c r="A29" s="4" t="inlineStr">
        <is>
          <t>Páginas do PDF</t>
        </is>
      </c>
      <c r="B29" s="4" t="n">
        <v>28</v>
      </c>
      <c r="C29" s="4" t="inlineStr">
        <is>
          <t>Todas as 28 páginas estão mapeadas na aba Controle_Paginas.</t>
        </is>
      </c>
      <c r="D29" s="4" t="n"/>
      <c r="E29" s="4" t="n"/>
    </row>
    <row r="30">
      <c r="A30" s="4" t="inlineStr">
        <is>
          <t>Documentos principais</t>
        </is>
      </c>
      <c r="B30" s="4" t="n">
        <v>24</v>
      </c>
      <c r="C30" s="4" t="inlineStr">
        <is>
          <t>Inclui 22 documentos da SKAL e 2 documentos da KALFIX.</t>
        </is>
      </c>
      <c r="D30" s="4" t="n"/>
      <c r="E30" s="4" t="n"/>
    </row>
    <row r="31">
      <c r="A31" s="4" t="inlineStr">
        <is>
          <t>Páginas/documentos de apoio</t>
        </is>
      </c>
      <c r="B31" s="4" t="n">
        <v>4</v>
      </c>
      <c r="C31" s="4" t="inlineStr">
        <is>
          <t>p. 5 duplicata do DPS; p. 6 boleto; p. 9-10 demonstrativo Matrix.</t>
        </is>
      </c>
      <c r="D31" s="4" t="n"/>
      <c r="E31" s="4" t="n"/>
    </row>
    <row r="32">
      <c r="A32" s="4" t="inlineStr">
        <is>
          <t>Itens de produtos</t>
        </is>
      </c>
      <c r="B32" s="4" t="n">
        <v>6</v>
      </c>
      <c r="C32" s="4" t="inlineStr">
        <is>
          <t>Linhas individuais de energia, cimento e calcário.</t>
        </is>
      </c>
      <c r="D32" s="4" t="n"/>
      <c r="E32" s="4" t="n"/>
    </row>
    <row r="33">
      <c r="A33" s="4" t="inlineStr">
        <is>
          <t>Itens de serviços/comunicação</t>
        </is>
      </c>
      <c r="B33" s="4" t="n">
        <v>16</v>
      </c>
      <c r="C33" s="4" t="inlineStr">
        <is>
          <t>Linhas de serviços, NFCom e decomposição do monitoramento.</t>
        </is>
      </c>
      <c r="D33" s="4" t="n"/>
      <c r="E33" s="4" t="n"/>
    </row>
    <row r="34">
      <c r="A34" s="4" t="inlineStr">
        <is>
          <t>CT-e de frete</t>
        </is>
      </c>
      <c r="B34" s="4" t="n">
        <v>3</v>
      </c>
      <c r="C34" s="4" t="inlineStr">
        <is>
          <t>Os 3 CT-e estão vinculados às NF-e de cimento correspondentes.</t>
        </is>
      </c>
      <c r="D34" s="4" t="n"/>
      <c r="E34" s="4" t="n"/>
    </row>
    <row r="35">
      <c r="A35" s="4" t="n"/>
      <c r="B35" s="4" t="n"/>
      <c r="C35" s="4" t="n"/>
      <c r="D35" s="4" t="n"/>
      <c r="E35" s="4" t="n"/>
    </row>
    <row r="36">
      <c r="A36" s="4" t="n"/>
      <c r="B36" s="4" t="n"/>
      <c r="C36" s="4" t="n"/>
      <c r="D36" s="4" t="n"/>
      <c r="E36" s="4" t="n"/>
    </row>
    <row r="37">
      <c r="A37" s="4" t="inlineStr">
        <is>
          <t>Critério de soma</t>
        </is>
      </c>
      <c r="B37" s="4" t="inlineStr">
        <is>
          <t>Somente documentos principais com “Contabilizar = Sim”. A página 5, o boleto da página 6 e o demonstrativo das páginas 9–10 não são somados novamente.</t>
        </is>
      </c>
      <c r="C37" s="4" t="n"/>
      <c r="D37" s="4" t="n"/>
      <c r="E37" s="4" t="n"/>
    </row>
    <row r="38">
      <c r="A38" s="4" t="inlineStr">
        <is>
          <t>Separação societária</t>
        </is>
      </c>
      <c r="B38" s="4" t="inlineStr">
        <is>
          <t>Documentos emitidos para KALFIX (p. 3 e p. 26) permanecem no arquivo, mas são segregados da SKAL nas fórmulas.</t>
        </is>
      </c>
      <c r="C38" s="4" t="n"/>
      <c r="D38" s="4" t="n"/>
      <c r="E38" s="4" t="n"/>
    </row>
    <row r="39">
      <c r="A39" s="4" t="inlineStr">
        <is>
          <t>Fonte</t>
        </is>
      </c>
      <c r="B39" s="4" t="inlineStr">
        <is>
          <t>NOTAS FISCAIS DE COMPRA AGOSTO 2026.pdf</t>
        </is>
      </c>
      <c r="C39" s="4" t="n"/>
      <c r="D39" s="4" t="n"/>
      <c r="E39" s="4" t="n"/>
    </row>
    <row r="40"/>
    <row r="41"/>
    <row r="42">
      <c r="A42" t="inlineStr">
        <is>
          <t>Abas detalhadas:</t>
        </is>
      </c>
      <c r="B42" s="11" t="inlineStr">
        <is>
          <t>Documentos | Itens_Produtos | Itens_Servicos | Fretes_CTe | Energia | Tributos_por_Doc | Apoio_Financeiro | Fornecedores | Controle_Paginas | Workflow_Interno</t>
        </is>
      </c>
    </row>
  </sheetData>
  <mergeCells count="17">
    <mergeCell ref="C33:E33"/>
    <mergeCell ref="A11:C11"/>
    <mergeCell ref="A2:E2"/>
    <mergeCell ref="C31:E31"/>
    <mergeCell ref="A28:E28"/>
    <mergeCell ref="B37:E37"/>
    <mergeCell ref="B38:E38"/>
    <mergeCell ref="B42:E42"/>
    <mergeCell ref="B39:E39"/>
    <mergeCell ref="A1:E1"/>
    <mergeCell ref="B25:E25"/>
    <mergeCell ref="C29:E29"/>
    <mergeCell ref="C30:E30"/>
    <mergeCell ref="A4:C4"/>
    <mergeCell ref="C34:E34"/>
    <mergeCell ref="A20:C20"/>
    <mergeCell ref="C32:E3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8" customWidth="1" min="4" max="4"/>
    <col width="16" customWidth="1" min="5" max="5"/>
    <col width="13" customWidth="1" min="6" max="6"/>
    <col width="13" customWidth="1" min="7" max="7"/>
    <col width="14" customWidth="1" min="8" max="8"/>
    <col width="36" customWidth="1" min="9" max="9"/>
    <col width="14" customWidth="1" min="10" max="10"/>
    <col width="12" customWidth="1" min="11" max="11"/>
    <col width="50" customWidth="1" min="12" max="12"/>
    <col width="45" customWidth="1" min="13" max="13"/>
    <col width="32" customWidth="1" min="14" max="14"/>
    <col width="10" customWidth="1" min="15" max="15"/>
    <col width="11" customWidth="1" min="16" max="16"/>
    <col width="34" customWidth="1" min="17" max="17"/>
    <col width="30" customWidth="1" min="18" max="18"/>
    <col width="20" customWidth="1" min="19" max="19"/>
    <col width="14" customWidth="1" min="20" max="20"/>
    <col width="15" customWidth="1" min="21" max="21"/>
    <col width="17" customWidth="1" min="22" max="22"/>
    <col width="13" customWidth="1" min="23" max="23"/>
    <col width="36" customWidth="1" min="24" max="24"/>
    <col width="34" customWidth="1" min="25" max="25"/>
    <col width="20" customWidth="1" min="26" max="26"/>
    <col width="17" customWidth="1" min="27" max="27"/>
    <col width="17" customWidth="1" min="28" max="28"/>
    <col width="21" customWidth="1" min="29" max="29"/>
    <col width="17" customWidth="1" min="30" max="30"/>
    <col width="14" customWidth="1" min="31" max="31"/>
    <col width="36" customWidth="1" min="32" max="32"/>
    <col width="14" customWidth="1" min="33" max="33"/>
    <col width="30" customWidth="1" min="34" max="34"/>
    <col width="36" customWidth="1" min="35" max="35"/>
    <col width="10" customWidth="1" min="36" max="36"/>
    <col width="36" customWidth="1" min="37" max="37"/>
    <col width="50" customWidth="1" min="38" max="38"/>
    <col width="32" customWidth="1" min="39" max="39"/>
    <col width="16" customWidth="1" min="40" max="40"/>
    <col width="16" customWidth="1" min="41" max="41"/>
    <col width="13" customWidth="1" min="42" max="42"/>
    <col width="17" customWidth="1" min="43" max="43"/>
    <col width="10" customWidth="1" min="44" max="44"/>
    <col width="17" customWidth="1" min="45" max="45"/>
    <col width="15" customWidth="1" min="46" max="46"/>
    <col width="10" customWidth="1" min="47" max="47"/>
    <col width="11" customWidth="1" min="48" max="48"/>
    <col width="10" customWidth="1" min="49" max="49"/>
    <col width="12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2" customWidth="1" min="58" max="58"/>
    <col width="13" customWidth="1" min="59" max="59"/>
    <col width="13" customWidth="1" min="60" max="60"/>
    <col width="13" customWidth="1" min="61" max="61"/>
    <col width="18" customWidth="1" min="62" max="62"/>
    <col width="15" customWidth="1" min="63" max="63"/>
    <col width="14" customWidth="1" min="64" max="64"/>
    <col width="10" customWidth="1" min="65" max="65"/>
    <col width="15" customWidth="1" min="66" max="66"/>
    <col width="10" customWidth="1" min="67" max="67"/>
    <col width="10" customWidth="1" min="68" max="68"/>
    <col width="14" customWidth="1" min="69" max="69"/>
    <col width="36" customWidth="1" min="70" max="70"/>
    <col width="14" customWidth="1" min="71" max="71"/>
    <col width="11" customWidth="1" min="72" max="72"/>
    <col width="60" customWidth="1" min="73" max="73"/>
    <col width="42" customWidth="1" min="74" max="74"/>
  </cols>
  <sheetData>
    <row r="1" ht="36" customHeight="1">
      <c r="A1" s="12" t="inlineStr">
        <is>
          <t>ID</t>
        </is>
      </c>
      <c r="B1" s="12" t="inlineStr">
        <is>
          <t>Paginas</t>
        </is>
      </c>
      <c r="C1" s="12" t="inlineStr">
        <is>
          <t>Tipo</t>
        </is>
      </c>
      <c r="D1" s="12" t="inlineStr">
        <is>
          <t>Modelo</t>
        </is>
      </c>
      <c r="E1" s="12" t="inlineStr">
        <is>
          <t>Numero</t>
        </is>
      </c>
      <c r="F1" s="12" t="inlineStr">
        <is>
          <t>Serie</t>
        </is>
      </c>
      <c r="G1" s="12" t="inlineStr">
        <is>
          <t>Data_Emissao</t>
        </is>
      </c>
      <c r="H1" s="12" t="inlineStr">
        <is>
          <t>Hora_Emissao</t>
        </is>
      </c>
      <c r="I1" s="12" t="inlineStr">
        <is>
          <t>Competencia</t>
        </is>
      </c>
      <c r="J1" s="12" t="inlineStr">
        <is>
          <t>Data_Geracao</t>
        </is>
      </c>
      <c r="K1" s="12" t="inlineStr">
        <is>
          <t>Vencimento</t>
        </is>
      </c>
      <c r="L1" s="12" t="inlineStr">
        <is>
          <t>Chave_Acesso</t>
        </is>
      </c>
      <c r="M1" s="12" t="inlineStr">
        <is>
          <t>Protocolo</t>
        </is>
      </c>
      <c r="N1" s="12" t="inlineStr">
        <is>
          <t>Codigo_Verificacao</t>
        </is>
      </c>
      <c r="O1" s="12" t="inlineStr">
        <is>
          <t>RPS</t>
        </is>
      </c>
      <c r="P1" s="12" t="inlineStr">
        <is>
          <t>Serie_RPS</t>
        </is>
      </c>
      <c r="Q1" s="13" t="inlineStr">
        <is>
          <t>Emitente</t>
        </is>
      </c>
      <c r="R1" s="12" t="inlineStr">
        <is>
          <t>Fantasia</t>
        </is>
      </c>
      <c r="S1" s="12" t="inlineStr">
        <is>
          <t>Emitente_CNPJ</t>
        </is>
      </c>
      <c r="T1" s="12" t="inlineStr">
        <is>
          <t>Emitente_IE</t>
        </is>
      </c>
      <c r="U1" s="12" t="inlineStr">
        <is>
          <t>Emitente_IM</t>
        </is>
      </c>
      <c r="V1" s="12" t="inlineStr">
        <is>
          <t>Emitente_Cidade</t>
        </is>
      </c>
      <c r="W1" s="12" t="inlineStr">
        <is>
          <t>Emitente_UF</t>
        </is>
      </c>
      <c r="X1" s="13" t="inlineStr">
        <is>
          <t>Emitente_Regime</t>
        </is>
      </c>
      <c r="Y1" s="13" t="inlineStr">
        <is>
          <t>Destinatario</t>
        </is>
      </c>
      <c r="Z1" s="12" t="inlineStr">
        <is>
          <t>Destinatario_CNPJ</t>
        </is>
      </c>
      <c r="AA1" s="12" t="inlineStr">
        <is>
          <t>Destinatario_IE</t>
        </is>
      </c>
      <c r="AB1" s="12" t="inlineStr">
        <is>
          <t>Destinatario_IM</t>
        </is>
      </c>
      <c r="AC1" s="12" t="inlineStr">
        <is>
          <t>Destinatario_Cidade</t>
        </is>
      </c>
      <c r="AD1" s="12" t="inlineStr">
        <is>
          <t>Destinatario_UF</t>
        </is>
      </c>
      <c r="AE1" s="12" t="inlineStr">
        <is>
          <t>Unidade</t>
        </is>
      </c>
      <c r="AF1" s="13" t="inlineStr">
        <is>
          <t>Natureza</t>
        </is>
      </c>
      <c r="AG1" s="12" t="inlineStr">
        <is>
          <t>Categoria</t>
        </is>
      </c>
      <c r="AH1" s="13" t="inlineStr">
        <is>
          <t>Subcategoria</t>
        </is>
      </c>
      <c r="AI1" s="13" t="inlineStr">
        <is>
          <t>Local_Prestacao</t>
        </is>
      </c>
      <c r="AJ1" s="12" t="inlineStr">
        <is>
          <t>CFOP</t>
        </is>
      </c>
      <c r="AK1" s="12" t="inlineStr">
        <is>
          <t>CNAE_CBO</t>
        </is>
      </c>
      <c r="AL1" s="13" t="inlineStr">
        <is>
          <t>Codigo_Servico</t>
        </is>
      </c>
      <c r="AM1" s="12" t="inlineStr">
        <is>
          <t>NBS</t>
        </is>
      </c>
      <c r="AN1" s="12" t="inlineStr">
        <is>
          <t>Valor_Produtos</t>
        </is>
      </c>
      <c r="AO1" s="12" t="inlineStr">
        <is>
          <t>Valor_Servicos</t>
        </is>
      </c>
      <c r="AP1" s="12" t="inlineStr">
        <is>
          <t>Valor_Frete</t>
        </is>
      </c>
      <c r="AQ1" s="12" t="inlineStr">
        <is>
          <t>Outras_Despesas</t>
        </is>
      </c>
      <c r="AR1" s="12" t="inlineStr">
        <is>
          <t>Desconto</t>
        </is>
      </c>
      <c r="AS1" s="12" t="inlineStr">
        <is>
          <t>Valor_Documento</t>
        </is>
      </c>
      <c r="AT1" s="12" t="inlineStr">
        <is>
          <t>Valor_Liquido</t>
        </is>
      </c>
      <c r="AU1" s="12" t="inlineStr">
        <is>
          <t>BC_ICMS</t>
        </is>
      </c>
      <c r="AV1" s="12" t="inlineStr">
        <is>
          <t>Aliq_ICMS</t>
        </is>
      </c>
      <c r="AW1" s="12" t="inlineStr">
        <is>
          <t>ICMS</t>
        </is>
      </c>
      <c r="AX1" s="12" t="inlineStr">
        <is>
          <t>BC_ICMS_ST</t>
        </is>
      </c>
      <c r="AY1" s="12" t="inlineStr">
        <is>
          <t>ICMS_ST</t>
        </is>
      </c>
      <c r="AZ1" s="12" t="inlineStr">
        <is>
          <t>IPI</t>
        </is>
      </c>
      <c r="BA1" s="12" t="inlineStr">
        <is>
          <t>PIS</t>
        </is>
      </c>
      <c r="BB1" s="12" t="inlineStr">
        <is>
          <t>COFINS</t>
        </is>
      </c>
      <c r="BC1" s="12" t="inlineStr">
        <is>
          <t>BC_ISS</t>
        </is>
      </c>
      <c r="BD1" s="12" t="inlineStr">
        <is>
          <t>Aliq_ISS</t>
        </is>
      </c>
      <c r="BE1" s="12" t="inlineStr">
        <is>
          <t>ISS</t>
        </is>
      </c>
      <c r="BF1" s="12" t="inlineStr">
        <is>
          <t>ISS_Retido</t>
        </is>
      </c>
      <c r="BG1" s="12" t="inlineStr">
        <is>
          <t>INSS_Retido</t>
        </is>
      </c>
      <c r="BH1" s="12" t="inlineStr">
        <is>
          <t>IRRF_Retido</t>
        </is>
      </c>
      <c r="BI1" s="12" t="inlineStr">
        <is>
          <t>CSLL_Retida</t>
        </is>
      </c>
      <c r="BJ1" s="12" t="inlineStr">
        <is>
          <t>Outras_Retencoes</t>
        </is>
      </c>
      <c r="BK1" s="12" t="inlineStr">
        <is>
          <t>IBS_Municipal</t>
        </is>
      </c>
      <c r="BL1" s="12" t="inlineStr">
        <is>
          <t>IBS_Estadual</t>
        </is>
      </c>
      <c r="BM1" s="12" t="inlineStr">
        <is>
          <t>CBS</t>
        </is>
      </c>
      <c r="BN1" s="12" t="inlineStr">
        <is>
          <t>Total_IBS_CBS</t>
        </is>
      </c>
      <c r="BO1" s="12" t="inlineStr">
        <is>
          <t>FUST</t>
        </is>
      </c>
      <c r="BP1" s="12" t="inlineStr">
        <is>
          <t>FUNTTEL</t>
        </is>
      </c>
      <c r="BQ1" s="12" t="inlineStr">
        <is>
          <t>Contabilizar</t>
        </is>
      </c>
      <c r="BR1" s="12" t="inlineStr">
        <is>
          <t>Documento_Fiscal</t>
        </is>
      </c>
      <c r="BS1" s="12" t="inlineStr">
        <is>
          <t>Duplicado_De</t>
        </is>
      </c>
      <c r="BT1" s="12" t="inlineStr">
        <is>
          <t>Confianca</t>
        </is>
      </c>
      <c r="BU1" s="13" t="inlineStr">
        <is>
          <t>Observacoes</t>
        </is>
      </c>
      <c r="BV1" s="13" t="inlineStr">
        <is>
          <t>Fonte</t>
        </is>
      </c>
    </row>
    <row r="2">
      <c r="A2" s="14" t="inlineStr">
        <is>
          <t>D001</t>
        </is>
      </c>
      <c r="B2" s="14" t="inlineStr">
        <is>
          <t>1</t>
        </is>
      </c>
      <c r="C2" s="14" t="inlineStr">
        <is>
          <t>NFS-e</t>
        </is>
      </c>
      <c r="D2" s="14" t="inlineStr">
        <is>
          <t>NFS-e DF</t>
        </is>
      </c>
      <c r="E2" s="15" t="inlineStr">
        <is>
          <t>626733</t>
        </is>
      </c>
      <c r="F2" s="15" t="inlineStr"/>
      <c r="G2" s="16" t="n">
        <v>46234</v>
      </c>
      <c r="H2" s="14" t="inlineStr"/>
      <c r="I2" s="14" t="inlineStr">
        <is>
          <t>31/07/2026</t>
        </is>
      </c>
      <c r="J2" s="16" t="n">
        <v>46238</v>
      </c>
      <c r="K2" s="17" t="n"/>
      <c r="L2" s="15" t="inlineStr"/>
      <c r="M2" s="15" t="inlineStr"/>
      <c r="N2" s="15" t="inlineStr">
        <is>
          <t>4EDE18757</t>
        </is>
      </c>
      <c r="O2" s="15" t="inlineStr">
        <is>
          <t>626621</t>
        </is>
      </c>
      <c r="P2" s="15" t="inlineStr">
        <is>
          <t>3</t>
        </is>
      </c>
      <c r="Q2" s="18" t="inlineStr">
        <is>
          <t>CONNECT INFORMACOES E TECNOLOGIA SA</t>
        </is>
      </c>
      <c r="R2" s="14" t="inlineStr">
        <is>
          <t>CONNECT INFORMACOES - MATRIZ</t>
        </is>
      </c>
      <c r="S2" s="15" t="inlineStr">
        <is>
          <t>00.850.820/0001-72</t>
        </is>
      </c>
      <c r="T2" s="15" t="inlineStr"/>
      <c r="U2" s="15" t="inlineStr">
        <is>
          <t>0793458300106</t>
        </is>
      </c>
      <c r="V2" s="14" t="inlineStr">
        <is>
          <t>Brasília</t>
        </is>
      </c>
      <c r="W2" s="14" t="inlineStr">
        <is>
          <t>DF</t>
        </is>
      </c>
      <c r="X2" s="18" t="inlineStr"/>
      <c r="Y2" s="18" t="inlineStr">
        <is>
          <t>SKAL ENGENHARIA INDUSTRIA E COMERCIO LTDA</t>
        </is>
      </c>
      <c r="Z2" s="15" t="inlineStr">
        <is>
          <t>23.655.038/0001-06</t>
        </is>
      </c>
      <c r="AA2" s="15" t="inlineStr"/>
      <c r="AB2" s="15" t="inlineStr">
        <is>
          <t>194130630</t>
        </is>
      </c>
      <c r="AC2" s="14" t="inlineStr">
        <is>
          <t>Teresina</t>
        </is>
      </c>
      <c r="AD2" s="14" t="inlineStr">
        <is>
          <t>PI</t>
        </is>
      </c>
      <c r="AE2" s="14" t="inlineStr">
        <is>
          <t>SKAL /0001</t>
        </is>
      </c>
      <c r="AF2" s="18" t="inlineStr">
        <is>
          <t>Prestação de Serviço</t>
        </is>
      </c>
      <c r="AG2" s="14" t="inlineStr">
        <is>
          <t>Serviços</t>
        </is>
      </c>
      <c r="AH2" s="18" t="inlineStr">
        <is>
          <t>Processamento/gerenciamento de dados</t>
        </is>
      </c>
      <c r="AI2" s="18" t="inlineStr">
        <is>
          <t>Brasília - DF</t>
        </is>
      </c>
      <c r="AJ2" s="15" t="inlineStr"/>
      <c r="AK2" s="15" t="inlineStr">
        <is>
          <t>6209100</t>
        </is>
      </c>
      <c r="AL2" s="19" t="inlineStr">
        <is>
          <t>01.03 / item LC 103</t>
        </is>
      </c>
      <c r="AM2" s="15" t="inlineStr">
        <is>
          <t>115090000</t>
        </is>
      </c>
      <c r="AN2" s="20" t="n">
        <v>0</v>
      </c>
      <c r="AO2" s="20" t="n">
        <v>2318.69</v>
      </c>
      <c r="AP2" s="20" t="n">
        <v>0</v>
      </c>
      <c r="AQ2" s="20" t="n">
        <v>0</v>
      </c>
      <c r="AR2" s="20" t="n">
        <v>0</v>
      </c>
      <c r="AS2" s="20" t="n">
        <v>2318.69</v>
      </c>
      <c r="AT2" s="20" t="n">
        <v>2318.69</v>
      </c>
      <c r="AU2" s="20" t="n">
        <v>0</v>
      </c>
      <c r="AV2" s="21" t="n"/>
      <c r="AW2" s="20" t="n">
        <v>0</v>
      </c>
      <c r="AX2" s="20" t="n">
        <v>0</v>
      </c>
      <c r="AY2" s="20" t="n">
        <v>0</v>
      </c>
      <c r="AZ2" s="20" t="n">
        <v>0</v>
      </c>
      <c r="BA2" s="20" t="n">
        <v>0</v>
      </c>
      <c r="BB2" s="20" t="n">
        <v>0</v>
      </c>
      <c r="BC2" s="20" t="n">
        <v>2318.69</v>
      </c>
      <c r="BD2" s="22" t="n">
        <v>0.02</v>
      </c>
      <c r="BE2" s="20" t="n">
        <v>46.37</v>
      </c>
      <c r="BF2" s="20" t="n">
        <v>0</v>
      </c>
      <c r="BG2" s="20" t="n">
        <v>0</v>
      </c>
      <c r="BH2" s="20" t="n">
        <v>0</v>
      </c>
      <c r="BI2" s="20" t="n">
        <v>0</v>
      </c>
      <c r="BJ2" s="20" t="n">
        <v>0</v>
      </c>
      <c r="BK2" s="20" t="n">
        <v>0</v>
      </c>
      <c r="BL2" s="20" t="n">
        <v>0</v>
      </c>
      <c r="BM2" s="20" t="n">
        <v>0</v>
      </c>
      <c r="BN2" s="20" t="n">
        <v>0</v>
      </c>
      <c r="BO2" s="20" t="n">
        <v>0</v>
      </c>
      <c r="BP2" s="20" t="n">
        <v>0</v>
      </c>
      <c r="BQ2" s="14" t="inlineStr">
        <is>
          <t>Sim</t>
        </is>
      </c>
      <c r="BR2" s="14" t="inlineStr">
        <is>
          <t>Sim</t>
        </is>
      </c>
      <c r="BS2" s="14" t="inlineStr"/>
      <c r="BT2" s="14" t="inlineStr">
        <is>
          <t>Alta</t>
        </is>
      </c>
      <c r="BU2" s="18" t="inlineStr">
        <is>
          <t>Descrição: PROCESSAMENTO E GERENCIAMENTO DE COMUNICACAO DE DADOS PLATAFORMA CONNECTSA. Ref/Ciclo 202607/01. Dispensa de retenção de tributos PCC/IRRF conforme Solução Consulta nº 77 de 20/03/2019.</t>
        </is>
      </c>
      <c r="BV2" s="18" t="inlineStr">
        <is>
          <t>NOTAS FISCAIS DE COMPRA AGOSTO 2026.pdf - p. 1</t>
        </is>
      </c>
    </row>
    <row r="3">
      <c r="A3" s="14" t="inlineStr">
        <is>
          <t>D002</t>
        </is>
      </c>
      <c r="B3" s="14" t="inlineStr">
        <is>
          <t>2, 5</t>
        </is>
      </c>
      <c r="C3" s="14" t="inlineStr">
        <is>
          <t>DPS</t>
        </is>
      </c>
      <c r="D3" s="14" t="inlineStr">
        <is>
          <t>Declaração de Prestação de Serviços</t>
        </is>
      </c>
      <c r="E3" s="15" t="inlineStr">
        <is>
          <t>9</t>
        </is>
      </c>
      <c r="F3" s="15" t="inlineStr">
        <is>
          <t>ELETRÔNICA</t>
        </is>
      </c>
      <c r="G3" s="16" t="n">
        <v>46244</v>
      </c>
      <c r="H3" s="14" t="inlineStr">
        <is>
          <t>13:56:29</t>
        </is>
      </c>
      <c r="I3" s="14" t="inlineStr">
        <is>
          <t>AGO/2026</t>
        </is>
      </c>
      <c r="J3" s="16" t="n">
        <v>46244</v>
      </c>
      <c r="K3" s="16" t="n">
        <v>46251</v>
      </c>
      <c r="L3" s="15" t="inlineStr">
        <is>
          <t>2303501120295005700018700000000000926080798914985</t>
        </is>
      </c>
      <c r="M3" s="15" t="inlineStr"/>
      <c r="N3" s="15" t="inlineStr">
        <is>
          <t>354gr79qxweui8hsjzdmpnbofvl</t>
        </is>
      </c>
      <c r="O3" s="15" t="inlineStr">
        <is>
          <t>0</t>
        </is>
      </c>
      <c r="P3" s="15" t="inlineStr"/>
      <c r="Q3" s="18" t="inlineStr">
        <is>
          <t>JOSIMAR INOCENCIO DE MORAIS - ME</t>
        </is>
      </c>
      <c r="R3" s="14" t="inlineStr">
        <is>
          <t>MORAIS MIX</t>
        </is>
      </c>
      <c r="S3" s="15" t="inlineStr">
        <is>
          <t>02.950.057/0001-87</t>
        </is>
      </c>
      <c r="T3" s="15" t="inlineStr">
        <is>
          <t>0</t>
        </is>
      </c>
      <c r="U3" s="15" t="inlineStr">
        <is>
          <t>4771</t>
        </is>
      </c>
      <c r="V3" s="14" t="inlineStr">
        <is>
          <t>Cascavel</t>
        </is>
      </c>
      <c r="W3" s="14" t="inlineStr">
        <is>
          <t>CE</t>
        </is>
      </c>
      <c r="X3" s="18" t="inlineStr">
        <is>
          <t>Não optante pelo Simples</t>
        </is>
      </c>
      <c r="Y3" s="18" t="inlineStr">
        <is>
          <t>SKAL ENGENHARIA INDÚSTRIA</t>
        </is>
      </c>
      <c r="Z3" s="15" t="inlineStr">
        <is>
          <t>23.655.038/0002-89</t>
        </is>
      </c>
      <c r="AA3" s="15" t="inlineStr"/>
      <c r="AB3" s="15" t="inlineStr">
        <is>
          <t>0</t>
        </is>
      </c>
      <c r="AC3" s="14" t="inlineStr">
        <is>
          <t>Teresina</t>
        </is>
      </c>
      <c r="AD3" s="14" t="inlineStr">
        <is>
          <t>PI</t>
        </is>
      </c>
      <c r="AE3" s="14" t="inlineStr">
        <is>
          <t>SKAL /0002</t>
        </is>
      </c>
      <c r="AF3" s="18" t="inlineStr">
        <is>
          <t>Tributada no Município</t>
        </is>
      </c>
      <c r="AG3" s="14" t="inlineStr">
        <is>
          <t>Serviços</t>
        </is>
      </c>
      <c r="AH3" s="18" t="inlineStr">
        <is>
          <t>Concretagem</t>
        </is>
      </c>
      <c r="AI3" s="18" t="inlineStr">
        <is>
          <t>Cascavel-CE / obra Distrito Industrial II, KM 21 da BR-343, Parnaíba-PI</t>
        </is>
      </c>
      <c r="AJ3" s="15" t="inlineStr"/>
      <c r="AK3" s="15" t="inlineStr"/>
      <c r="AL3" s="19" t="inlineStr">
        <is>
          <t>304 / 303 / 773220104 - Locação, sublocação, arrendamento, direito de passagem ou permissão de uso...</t>
        </is>
      </c>
      <c r="AM3" s="15" t="inlineStr"/>
      <c r="AN3" s="20" t="n">
        <v>0</v>
      </c>
      <c r="AO3" s="20" t="n">
        <v>16600</v>
      </c>
      <c r="AP3" s="20" t="n">
        <v>0</v>
      </c>
      <c r="AQ3" s="20" t="n">
        <v>0</v>
      </c>
      <c r="AR3" s="20" t="n">
        <v>0</v>
      </c>
      <c r="AS3" s="20" t="n">
        <v>16600</v>
      </c>
      <c r="AT3" s="20" t="n">
        <v>16600</v>
      </c>
      <c r="AU3" s="20" t="n">
        <v>0</v>
      </c>
      <c r="AV3" s="21" t="n"/>
      <c r="AW3" s="20" t="n">
        <v>0</v>
      </c>
      <c r="AX3" s="20" t="n">
        <v>0</v>
      </c>
      <c r="AY3" s="20" t="n">
        <v>0</v>
      </c>
      <c r="AZ3" s="20" t="n">
        <v>0</v>
      </c>
      <c r="BA3" s="20" t="n">
        <v>0</v>
      </c>
      <c r="BB3" s="20" t="n">
        <v>0</v>
      </c>
      <c r="BC3" s="20" t="n">
        <v>16600</v>
      </c>
      <c r="BD3" s="22" t="n">
        <v>0.05</v>
      </c>
      <c r="BE3" s="20" t="n">
        <v>830</v>
      </c>
      <c r="BF3" s="20" t="n">
        <v>0</v>
      </c>
      <c r="BG3" s="20" t="n">
        <v>0</v>
      </c>
      <c r="BH3" s="20" t="n">
        <v>0</v>
      </c>
      <c r="BI3" s="20" t="n">
        <v>0</v>
      </c>
      <c r="BJ3" s="20" t="n">
        <v>0</v>
      </c>
      <c r="BK3" s="20" t="n">
        <v>0</v>
      </c>
      <c r="BL3" s="20" t="n">
        <v>0</v>
      </c>
      <c r="BM3" s="20" t="n">
        <v>0</v>
      </c>
      <c r="BN3" s="20" t="n">
        <v>0</v>
      </c>
      <c r="BO3" s="20" t="n">
        <v>0</v>
      </c>
      <c r="BP3" s="20" t="n">
        <v>0</v>
      </c>
      <c r="BQ3" s="14" t="inlineStr">
        <is>
          <t>Sim</t>
        </is>
      </c>
      <c r="BR3" s="14" t="inlineStr">
        <is>
          <t>Sim</t>
        </is>
      </c>
      <c r="BS3" s="14" t="inlineStr"/>
      <c r="BT3" s="14" t="inlineStr">
        <is>
          <t>Alta</t>
        </is>
      </c>
      <c r="BU3" s="18" t="inlineStr">
        <is>
          <t>Serviço: CONCRETAGEM. Página 5 é repetição visual do mesmo DPS nº 9 e não deve ser somada novamente. O boleto da página 6 está vinculado a este documento.</t>
        </is>
      </c>
      <c r="BV3" s="18" t="inlineStr">
        <is>
          <t>NOTAS FISCAIS DE COMPRA AGOSTO 2026.pdf - p. 2 e p. 5</t>
        </is>
      </c>
    </row>
    <row r="4">
      <c r="A4" s="23" t="inlineStr">
        <is>
          <t>D003</t>
        </is>
      </c>
      <c r="B4" s="23" t="inlineStr">
        <is>
          <t>3</t>
        </is>
      </c>
      <c r="C4" s="23" t="inlineStr">
        <is>
          <t>NFS-e</t>
        </is>
      </c>
      <c r="D4" s="23" t="inlineStr">
        <is>
          <t>NFS-e DF</t>
        </is>
      </c>
      <c r="E4" s="24" t="inlineStr">
        <is>
          <t>626731</t>
        </is>
      </c>
      <c r="F4" s="24" t="inlineStr"/>
      <c r="G4" s="25" t="n">
        <v>46234</v>
      </c>
      <c r="H4" s="23" t="inlineStr"/>
      <c r="I4" s="23" t="inlineStr">
        <is>
          <t>31/07/2026</t>
        </is>
      </c>
      <c r="J4" s="25" t="n">
        <v>46238</v>
      </c>
      <c r="K4" s="26" t="n"/>
      <c r="L4" s="24" t="inlineStr"/>
      <c r="M4" s="24" t="inlineStr"/>
      <c r="N4" s="24" t="inlineStr">
        <is>
          <t>981407618</t>
        </is>
      </c>
      <c r="O4" s="24" t="inlineStr">
        <is>
          <t>626619</t>
        </is>
      </c>
      <c r="P4" s="24" t="inlineStr">
        <is>
          <t>3</t>
        </is>
      </c>
      <c r="Q4" s="27" t="inlineStr">
        <is>
          <t>CONNECT INFORMACOES E TECNOLOGIA SA</t>
        </is>
      </c>
      <c r="R4" s="23" t="inlineStr">
        <is>
          <t>CONNECT INFORMACOES - MATRIZ</t>
        </is>
      </c>
      <c r="S4" s="24" t="inlineStr">
        <is>
          <t>00.850.820/0001-72</t>
        </is>
      </c>
      <c r="T4" s="24" t="inlineStr"/>
      <c r="U4" s="24" t="inlineStr">
        <is>
          <t>0793458300106</t>
        </is>
      </c>
      <c r="V4" s="23" t="inlineStr">
        <is>
          <t>Brasília</t>
        </is>
      </c>
      <c r="W4" s="23" t="inlineStr">
        <is>
          <t>DF</t>
        </is>
      </c>
      <c r="X4" s="27" t="inlineStr"/>
      <c r="Y4" s="27" t="inlineStr">
        <is>
          <t>KALFIX INDUSTRIA COMERCIO E ENGENHARIA LTDA</t>
        </is>
      </c>
      <c r="Z4" s="24" t="inlineStr">
        <is>
          <t>73.726.192/0001-91</t>
        </is>
      </c>
      <c r="AA4" s="24" t="inlineStr"/>
      <c r="AB4" s="24" t="inlineStr">
        <is>
          <t>194279626</t>
        </is>
      </c>
      <c r="AC4" s="23" t="inlineStr">
        <is>
          <t>Teresina</t>
        </is>
      </c>
      <c r="AD4" s="23" t="inlineStr">
        <is>
          <t>PI</t>
        </is>
      </c>
      <c r="AE4" s="23" t="inlineStr">
        <is>
          <t>KALFIX /0001</t>
        </is>
      </c>
      <c r="AF4" s="27" t="inlineStr">
        <is>
          <t>Prestação de Serviço</t>
        </is>
      </c>
      <c r="AG4" s="23" t="inlineStr">
        <is>
          <t>Serviços</t>
        </is>
      </c>
      <c r="AH4" s="27" t="inlineStr">
        <is>
          <t>Processamento/gerenciamento de dados</t>
        </is>
      </c>
      <c r="AI4" s="27" t="inlineStr">
        <is>
          <t>Brasília - DF</t>
        </is>
      </c>
      <c r="AJ4" s="24" t="inlineStr"/>
      <c r="AK4" s="24" t="inlineStr">
        <is>
          <t>6209100</t>
        </is>
      </c>
      <c r="AL4" s="28" t="inlineStr">
        <is>
          <t>01.03 / item LC 103</t>
        </is>
      </c>
      <c r="AM4" s="24" t="inlineStr">
        <is>
          <t>115090000</t>
        </is>
      </c>
      <c r="AN4" s="29" t="n">
        <v>0</v>
      </c>
      <c r="AO4" s="29" t="n">
        <v>183.19</v>
      </c>
      <c r="AP4" s="29" t="n">
        <v>0</v>
      </c>
      <c r="AQ4" s="29" t="n">
        <v>0</v>
      </c>
      <c r="AR4" s="29" t="n">
        <v>0</v>
      </c>
      <c r="AS4" s="29" t="n">
        <v>183.19</v>
      </c>
      <c r="AT4" s="29" t="n">
        <v>183.19</v>
      </c>
      <c r="AU4" s="29" t="n">
        <v>0</v>
      </c>
      <c r="AV4" s="30" t="n"/>
      <c r="AW4" s="29" t="n">
        <v>0</v>
      </c>
      <c r="AX4" s="29" t="n">
        <v>0</v>
      </c>
      <c r="AY4" s="29" t="n">
        <v>0</v>
      </c>
      <c r="AZ4" s="29" t="n">
        <v>0</v>
      </c>
      <c r="BA4" s="29" t="n">
        <v>0</v>
      </c>
      <c r="BB4" s="29" t="n">
        <v>0</v>
      </c>
      <c r="BC4" s="29" t="n">
        <v>183.19</v>
      </c>
      <c r="BD4" s="31" t="n">
        <v>0.02</v>
      </c>
      <c r="BE4" s="29" t="n">
        <v>3.66</v>
      </c>
      <c r="BF4" s="29" t="n">
        <v>0</v>
      </c>
      <c r="BG4" s="29" t="n">
        <v>0</v>
      </c>
      <c r="BH4" s="29" t="n">
        <v>0</v>
      </c>
      <c r="BI4" s="29" t="n">
        <v>0</v>
      </c>
      <c r="BJ4" s="29" t="n">
        <v>0</v>
      </c>
      <c r="BK4" s="29" t="n">
        <v>0</v>
      </c>
      <c r="BL4" s="29" t="n">
        <v>0</v>
      </c>
      <c r="BM4" s="29" t="n">
        <v>0</v>
      </c>
      <c r="BN4" s="29" t="n">
        <v>0</v>
      </c>
      <c r="BO4" s="29" t="n">
        <v>0</v>
      </c>
      <c r="BP4" s="29" t="n">
        <v>0</v>
      </c>
      <c r="BQ4" s="23" t="inlineStr">
        <is>
          <t>Sim</t>
        </is>
      </c>
      <c r="BR4" s="23" t="inlineStr">
        <is>
          <t>Sim</t>
        </is>
      </c>
      <c r="BS4" s="23" t="inlineStr"/>
      <c r="BT4" s="23" t="inlineStr">
        <is>
          <t>Alta</t>
        </is>
      </c>
      <c r="BU4" s="27" t="inlineStr">
        <is>
          <t>Documento do CNPJ da KALFIX, não da SKAL. Descrição igual à NFS-e da página 1. Ref/Ciclo 202607/01.</t>
        </is>
      </c>
      <c r="BV4" s="27" t="inlineStr">
        <is>
          <t>NOTAS FISCAIS DE COMPRA AGOSTO 2026.pdf - p. 3</t>
        </is>
      </c>
    </row>
    <row r="5">
      <c r="A5" s="14" t="inlineStr">
        <is>
          <t>D004</t>
        </is>
      </c>
      <c r="B5" s="14" t="inlineStr">
        <is>
          <t>4</t>
        </is>
      </c>
      <c r="C5" s="14" t="inlineStr">
        <is>
          <t>NFS-e</t>
        </is>
      </c>
      <c r="D5" s="14" t="inlineStr">
        <is>
          <t>NFS-e Teresina</t>
        </is>
      </c>
      <c r="E5" s="15" t="inlineStr">
        <is>
          <t>787</t>
        </is>
      </c>
      <c r="F5" s="15" t="inlineStr">
        <is>
          <t>U</t>
        </is>
      </c>
      <c r="G5" s="16" t="n">
        <v>46252</v>
      </c>
      <c r="H5" s="14" t="inlineStr">
        <is>
          <t>09:20:19</t>
        </is>
      </c>
      <c r="I5" s="14" t="inlineStr">
        <is>
          <t>08/2026</t>
        </is>
      </c>
      <c r="J5" s="17" t="n"/>
      <c r="K5" s="17" t="n"/>
      <c r="L5" s="15" t="inlineStr"/>
      <c r="M5" s="15" t="inlineStr"/>
      <c r="N5" s="15" t="inlineStr">
        <is>
          <t>pF7e8NRs7</t>
        </is>
      </c>
      <c r="O5" s="15" t="inlineStr"/>
      <c r="P5" s="15" t="inlineStr"/>
      <c r="Q5" s="18" t="inlineStr">
        <is>
          <t>EDWARD MOURA SOCIEDADE INDIVIDUAL DE ADVOCACIA</t>
        </is>
      </c>
      <c r="R5" s="14" t="inlineStr"/>
      <c r="S5" s="15" t="inlineStr">
        <is>
          <t>09.244.087/0001-17</t>
        </is>
      </c>
      <c r="T5" s="15" t="inlineStr"/>
      <c r="U5" s="15" t="inlineStr">
        <is>
          <t>099247-0</t>
        </is>
      </c>
      <c r="V5" s="14" t="inlineStr">
        <is>
          <t>Teresina</t>
        </is>
      </c>
      <c r="W5" s="14" t="inlineStr">
        <is>
          <t>PI</t>
        </is>
      </c>
      <c r="X5" s="18" t="inlineStr">
        <is>
          <t>ME ou EPP optante pelo Simples Nacional</t>
        </is>
      </c>
      <c r="Y5" s="18" t="inlineStr">
        <is>
          <t>SKAL ENGENHARIA INDUSTRIA E COMERCIO LTDA.</t>
        </is>
      </c>
      <c r="Z5" s="15" t="inlineStr">
        <is>
          <t>23.655.038/0002-89</t>
        </is>
      </c>
      <c r="AA5" s="15" t="inlineStr"/>
      <c r="AB5" s="15" t="inlineStr">
        <is>
          <t>080315-4</t>
        </is>
      </c>
      <c r="AC5" s="14" t="inlineStr">
        <is>
          <t>Teresina</t>
        </is>
      </c>
      <c r="AD5" s="14" t="inlineStr">
        <is>
          <t>PI</t>
        </is>
      </c>
      <c r="AE5" s="14" t="inlineStr">
        <is>
          <t>SKAL /0002</t>
        </is>
      </c>
      <c r="AF5" s="18" t="inlineStr">
        <is>
          <t>Serviços advocatícios</t>
        </is>
      </c>
      <c r="AG5" s="14" t="inlineStr">
        <is>
          <t>Serviços</t>
        </is>
      </c>
      <c r="AH5" s="18" t="inlineStr">
        <is>
          <t>Honorários advocatícios</t>
        </is>
      </c>
      <c r="AI5" s="18" t="inlineStr">
        <is>
          <t>Teresina/PI</t>
        </is>
      </c>
      <c r="AJ5" s="15" t="inlineStr"/>
      <c r="AK5" s="15" t="inlineStr">
        <is>
          <t>6911-7/01-01</t>
        </is>
      </c>
      <c r="AL5" s="19" t="inlineStr">
        <is>
          <t>17.13 - ADVOCACIA</t>
        </is>
      </c>
      <c r="AM5" s="15" t="inlineStr"/>
      <c r="AN5" s="20" t="n">
        <v>0</v>
      </c>
      <c r="AO5" s="20" t="n">
        <v>4075</v>
      </c>
      <c r="AP5" s="20" t="n">
        <v>0</v>
      </c>
      <c r="AQ5" s="20" t="n">
        <v>0</v>
      </c>
      <c r="AR5" s="20" t="n">
        <v>0</v>
      </c>
      <c r="AS5" s="20" t="n">
        <v>4075</v>
      </c>
      <c r="AT5" s="20" t="n">
        <v>4075</v>
      </c>
      <c r="AU5" s="20" t="n">
        <v>0</v>
      </c>
      <c r="AV5" s="21" t="n"/>
      <c r="AW5" s="20" t="n">
        <v>0</v>
      </c>
      <c r="AX5" s="20" t="n">
        <v>0</v>
      </c>
      <c r="AY5" s="20" t="n">
        <v>0</v>
      </c>
      <c r="AZ5" s="20" t="n">
        <v>0</v>
      </c>
      <c r="BA5" s="20" t="n">
        <v>0</v>
      </c>
      <c r="BB5" s="20" t="n">
        <v>0</v>
      </c>
      <c r="BC5" s="20" t="n">
        <v>4075</v>
      </c>
      <c r="BD5" s="21" t="n"/>
      <c r="BE5" s="32" t="n"/>
      <c r="BF5" s="20" t="n">
        <v>0</v>
      </c>
      <c r="BG5" s="20" t="n">
        <v>0</v>
      </c>
      <c r="BH5" s="20" t="n">
        <v>0</v>
      </c>
      <c r="BI5" s="20" t="n">
        <v>0</v>
      </c>
      <c r="BJ5" s="20" t="n">
        <v>0</v>
      </c>
      <c r="BK5" s="20" t="n">
        <v>0</v>
      </c>
      <c r="BL5" s="20" t="n">
        <v>0</v>
      </c>
      <c r="BM5" s="20" t="n">
        <v>0</v>
      </c>
      <c r="BN5" s="20" t="n">
        <v>0</v>
      </c>
      <c r="BO5" s="20" t="n">
        <v>0</v>
      </c>
      <c r="BP5" s="20" t="n">
        <v>0</v>
      </c>
      <c r="BQ5" s="14" t="inlineStr">
        <is>
          <t>Sim</t>
        </is>
      </c>
      <c r="BR5" s="14" t="inlineStr">
        <is>
          <t>Sim</t>
        </is>
      </c>
      <c r="BS5" s="14" t="inlineStr"/>
      <c r="BT5" s="14" t="inlineStr">
        <is>
          <t>Alta</t>
        </is>
      </c>
      <c r="BU5" s="18" t="inlineStr">
        <is>
          <t>Descrição: honorários advocatícios. ISSQN exigível, não retido; prestador responsável pelo recolhimento.</t>
        </is>
      </c>
      <c r="BV5" s="18" t="inlineStr">
        <is>
          <t>NOTAS FISCAIS DE COMPRA AGOSTO 2026.pdf - p. 4</t>
        </is>
      </c>
    </row>
    <row r="6">
      <c r="A6" s="14" t="inlineStr">
        <is>
          <t>D005</t>
        </is>
      </c>
      <c r="B6" s="14" t="inlineStr">
        <is>
          <t>7</t>
        </is>
      </c>
      <c r="C6" s="14" t="inlineStr">
        <is>
          <t>NF-e</t>
        </is>
      </c>
      <c r="D6" s="14" t="inlineStr">
        <is>
          <t>55</t>
        </is>
      </c>
      <c r="E6" s="15" t="inlineStr">
        <is>
          <t>161081</t>
        </is>
      </c>
      <c r="F6" s="15" t="inlineStr">
        <is>
          <t>1</t>
        </is>
      </c>
      <c r="G6" s="16" t="n">
        <v>46245</v>
      </c>
      <c r="H6" s="14" t="inlineStr"/>
      <c r="I6" s="14" t="inlineStr">
        <is>
          <t>07/2026 (informação adicional)</t>
        </is>
      </c>
      <c r="J6" s="17" t="n"/>
      <c r="K6" s="16" t="n">
        <v>46248</v>
      </c>
      <c r="L6" s="15" t="inlineStr">
        <is>
          <t>35260817858631000149550010001610811295771437</t>
        </is>
      </c>
      <c r="M6" s="15" t="inlineStr">
        <is>
          <t>135263270635923 - 11/08/2026 16:00:19</t>
        </is>
      </c>
      <c r="N6" s="15" t="inlineStr"/>
      <c r="O6" s="15" t="inlineStr"/>
      <c r="P6" s="15" t="inlineStr"/>
      <c r="Q6" s="18" t="inlineStr">
        <is>
          <t>MATRIX COMERCIALIZADORA DE ENERGIA ELETRICA S/A</t>
        </is>
      </c>
      <c r="R6" s="14" t="inlineStr">
        <is>
          <t>Matrix</t>
        </is>
      </c>
      <c r="S6" s="15" t="inlineStr">
        <is>
          <t>17.858.631/0001-49</t>
        </is>
      </c>
      <c r="T6" s="15" t="inlineStr">
        <is>
          <t>142249870111</t>
        </is>
      </c>
      <c r="U6" s="15" t="inlineStr"/>
      <c r="V6" s="14" t="inlineStr">
        <is>
          <t>São Paulo</t>
        </is>
      </c>
      <c r="W6" s="14" t="inlineStr">
        <is>
          <t>SP</t>
        </is>
      </c>
      <c r="X6" s="18" t="inlineStr"/>
      <c r="Y6" s="18" t="inlineStr">
        <is>
          <t>SKAL ENGENHARIA INDUSTRIA E COMERCIO LTDA.</t>
        </is>
      </c>
      <c r="Z6" s="15" t="inlineStr">
        <is>
          <t>23.655.038/0002-89</t>
        </is>
      </c>
      <c r="AA6" s="15" t="inlineStr">
        <is>
          <t>194446298</t>
        </is>
      </c>
      <c r="AB6" s="15" t="inlineStr"/>
      <c r="AC6" s="14" t="inlineStr">
        <is>
          <t>Teresina</t>
        </is>
      </c>
      <c r="AD6" s="14" t="inlineStr">
        <is>
          <t>PI</t>
        </is>
      </c>
      <c r="AE6" s="14" t="inlineStr">
        <is>
          <t>SKAL /0002</t>
        </is>
      </c>
      <c r="AF6" s="18" t="inlineStr">
        <is>
          <t>Venda de Energia</t>
        </is>
      </c>
      <c r="AG6" s="14" t="inlineStr">
        <is>
          <t>Energia</t>
        </is>
      </c>
      <c r="AH6" s="18" t="inlineStr">
        <is>
          <t>Energia elétrica - ACL</t>
        </is>
      </c>
      <c r="AI6" s="18" t="inlineStr"/>
      <c r="AJ6" s="15" t="inlineStr">
        <is>
          <t>6123</t>
        </is>
      </c>
      <c r="AK6" s="15" t="inlineStr"/>
      <c r="AL6" s="19" t="inlineStr"/>
      <c r="AM6" s="15" t="inlineStr"/>
      <c r="AN6" s="20" t="n">
        <v>7733.75</v>
      </c>
      <c r="AO6" s="20" t="n">
        <v>0</v>
      </c>
      <c r="AP6" s="20" t="n">
        <v>0</v>
      </c>
      <c r="AQ6" s="20" t="n">
        <v>0</v>
      </c>
      <c r="AR6" s="20" t="n">
        <v>0</v>
      </c>
      <c r="AS6" s="20" t="n">
        <v>9979.030000000001</v>
      </c>
      <c r="AT6" s="20" t="n">
        <v>9979.030000000001</v>
      </c>
      <c r="AU6" s="20" t="n">
        <v>0</v>
      </c>
      <c r="AV6" s="22" t="n">
        <v>0</v>
      </c>
      <c r="AW6" s="20" t="n">
        <v>0</v>
      </c>
      <c r="AX6" s="20" t="n">
        <v>9979.030000000001</v>
      </c>
      <c r="AY6" s="20" t="n">
        <v>2245.28</v>
      </c>
      <c r="AZ6" s="20" t="n">
        <v>0</v>
      </c>
      <c r="BA6" s="32" t="n"/>
      <c r="BB6" s="32" t="n"/>
      <c r="BC6" s="20" t="n">
        <v>0</v>
      </c>
      <c r="BD6" s="21" t="n"/>
      <c r="BE6" s="20" t="n">
        <v>0</v>
      </c>
      <c r="BF6" s="20" t="n">
        <v>0</v>
      </c>
      <c r="BG6" s="20" t="n">
        <v>0</v>
      </c>
      <c r="BH6" s="20" t="n">
        <v>0</v>
      </c>
      <c r="BI6" s="20" t="n">
        <v>0</v>
      </c>
      <c r="BJ6" s="20" t="n">
        <v>0</v>
      </c>
      <c r="BK6" s="20" t="n">
        <v>0</v>
      </c>
      <c r="BL6" s="20" t="n">
        <v>0</v>
      </c>
      <c r="BM6" s="20" t="n">
        <v>0</v>
      </c>
      <c r="BN6" s="20" t="n">
        <v>0</v>
      </c>
      <c r="BO6" s="20" t="n">
        <v>0</v>
      </c>
      <c r="BP6" s="20" t="n">
        <v>0</v>
      </c>
      <c r="BQ6" s="14" t="inlineStr">
        <is>
          <t>Sim</t>
        </is>
      </c>
      <c r="BR6" s="14" t="inlineStr">
        <is>
          <t>Sim</t>
        </is>
      </c>
      <c r="BS6" s="14" t="inlineStr"/>
      <c r="BT6" s="14" t="inlineStr">
        <is>
          <t>Alta</t>
        </is>
      </c>
      <c r="BU6" s="18" t="inlineStr">
        <is>
          <t>Produto Energia Elétrica: 27,5900 MWh a R$ 280,31/MWh = R$ 7.733,75. BC ICMS ST R$ 9.979,03; ICMS ST R$ 2.245,28. Valor aproximado de tributos informado: R$ 3.030,85. Dados adicionais indicam ICMS a ser lançado e pago pela distribuidora.</t>
        </is>
      </c>
      <c r="BV6" s="18" t="inlineStr">
        <is>
          <t>NOTAS FISCAIS DE COMPRA AGOSTO 2026.pdf - p. 7</t>
        </is>
      </c>
    </row>
    <row r="7">
      <c r="A7" s="14" t="inlineStr">
        <is>
          <t>D006</t>
        </is>
      </c>
      <c r="B7" s="14" t="inlineStr">
        <is>
          <t>8</t>
        </is>
      </c>
      <c r="C7" s="14" t="inlineStr">
        <is>
          <t>Nota de Débito</t>
        </is>
      </c>
      <c r="D7" s="14" t="inlineStr"/>
      <c r="E7" s="15" t="inlineStr">
        <is>
          <t>8697</t>
        </is>
      </c>
      <c r="F7" s="15" t="inlineStr"/>
      <c r="G7" s="16" t="n">
        <v>46235</v>
      </c>
      <c r="H7" s="14" t="inlineStr"/>
      <c r="I7" s="14" t="inlineStr">
        <is>
          <t>07/2026 / fatura 139754</t>
        </is>
      </c>
      <c r="J7" s="17" t="n"/>
      <c r="K7" s="16" t="n">
        <v>46248</v>
      </c>
      <c r="L7" s="15" t="inlineStr"/>
      <c r="M7" s="15" t="inlineStr"/>
      <c r="N7" s="15" t="inlineStr"/>
      <c r="O7" s="15" t="inlineStr"/>
      <c r="P7" s="15" t="inlineStr"/>
      <c r="Q7" s="18" t="inlineStr">
        <is>
          <t>MATRIX COMERCIALIZADORA DE ENERGIA ELETRICA S/A</t>
        </is>
      </c>
      <c r="R7" s="14" t="inlineStr">
        <is>
          <t>Matrix</t>
        </is>
      </c>
      <c r="S7" s="15" t="inlineStr">
        <is>
          <t>17.858.631/0001-49</t>
        </is>
      </c>
      <c r="T7" s="15" t="inlineStr"/>
      <c r="U7" s="15" t="inlineStr"/>
      <c r="V7" s="14" t="inlineStr">
        <is>
          <t>São Paulo</t>
        </is>
      </c>
      <c r="W7" s="14" t="inlineStr">
        <is>
          <t>SP</t>
        </is>
      </c>
      <c r="X7" s="18" t="inlineStr"/>
      <c r="Y7" s="18" t="inlineStr">
        <is>
          <t>SKAL ENGENHARIA INDUSTRIA E COMERCIO LTDA.</t>
        </is>
      </c>
      <c r="Z7" s="15" t="inlineStr">
        <is>
          <t>23.655.038/0002-89</t>
        </is>
      </c>
      <c r="AA7" s="15" t="inlineStr"/>
      <c r="AB7" s="15" t="inlineStr"/>
      <c r="AC7" s="14" t="inlineStr">
        <is>
          <t>Teresina</t>
        </is>
      </c>
      <c r="AD7" s="14" t="inlineStr">
        <is>
          <t>PI</t>
        </is>
      </c>
      <c r="AE7" s="14" t="inlineStr">
        <is>
          <t>SKAL /0002</t>
        </is>
      </c>
      <c r="AF7" s="18" t="inlineStr">
        <is>
          <t>Encargos de energia</t>
        </is>
      </c>
      <c r="AG7" s="14" t="inlineStr">
        <is>
          <t>Energia</t>
        </is>
      </c>
      <c r="AH7" s="18" t="inlineStr">
        <is>
          <t>Encargos EER/ERCAP/ANGRA</t>
        </is>
      </c>
      <c r="AI7" s="18" t="inlineStr"/>
      <c r="AJ7" s="15" t="inlineStr"/>
      <c r="AK7" s="15" t="inlineStr"/>
      <c r="AL7" s="19" t="inlineStr"/>
      <c r="AM7" s="15" t="inlineStr"/>
      <c r="AN7" s="20" t="n">
        <v>0</v>
      </c>
      <c r="AO7" s="20" t="n">
        <v>0</v>
      </c>
      <c r="AP7" s="20" t="n">
        <v>0</v>
      </c>
      <c r="AQ7" s="20" t="n">
        <v>149.05</v>
      </c>
      <c r="AR7" s="20" t="n">
        <v>0</v>
      </c>
      <c r="AS7" s="20" t="n">
        <v>149.05</v>
      </c>
      <c r="AT7" s="20" t="n">
        <v>149.05</v>
      </c>
      <c r="AU7" s="20" t="n">
        <v>0</v>
      </c>
      <c r="AV7" s="21" t="n"/>
      <c r="AW7" s="20" t="n">
        <v>0</v>
      </c>
      <c r="AX7" s="20" t="n">
        <v>0</v>
      </c>
      <c r="AY7" s="20" t="n">
        <v>0</v>
      </c>
      <c r="AZ7" s="20" t="n">
        <v>0</v>
      </c>
      <c r="BA7" s="32" t="n"/>
      <c r="BB7" s="32" t="n"/>
      <c r="BC7" s="20" t="n">
        <v>0</v>
      </c>
      <c r="BD7" s="21" t="n"/>
      <c r="BE7" s="20" t="n">
        <v>0</v>
      </c>
      <c r="BF7" s="20" t="n">
        <v>0</v>
      </c>
      <c r="BG7" s="20" t="n">
        <v>0</v>
      </c>
      <c r="BH7" s="20" t="n">
        <v>0</v>
      </c>
      <c r="BI7" s="20" t="n">
        <v>0</v>
      </c>
      <c r="BJ7" s="20" t="n">
        <v>0</v>
      </c>
      <c r="BK7" s="20" t="n">
        <v>0</v>
      </c>
      <c r="BL7" s="20" t="n">
        <v>0</v>
      </c>
      <c r="BM7" s="20" t="n">
        <v>0</v>
      </c>
      <c r="BN7" s="20" t="n">
        <v>0</v>
      </c>
      <c r="BO7" s="20" t="n">
        <v>0</v>
      </c>
      <c r="BP7" s="20" t="n">
        <v>0</v>
      </c>
      <c r="BQ7" s="14" t="inlineStr">
        <is>
          <t>Sim</t>
        </is>
      </c>
      <c r="BR7" s="33" t="inlineStr">
        <is>
          <t>Não - documento comercial/financeiro</t>
        </is>
      </c>
      <c r="BS7" s="14" t="inlineStr"/>
      <c r="BT7" s="14" t="inlineStr">
        <is>
          <t>Alta</t>
        </is>
      </c>
      <c r="BU7" s="18" t="inlineStr">
        <is>
          <t>Itens: E00001 ENCARGO EER R$ 81,86; E00003 ENCARGO ERCAP R$ 17,77; E00008 ENCARGO ANGRA R$ 49,42. Observação: Fatura 139754.</t>
        </is>
      </c>
      <c r="BV7" s="18" t="inlineStr">
        <is>
          <t>NOTAS FISCAIS DE COMPRA AGOSTO 2026.pdf - p. 8</t>
        </is>
      </c>
    </row>
    <row r="8">
      <c r="A8" s="14" t="inlineStr">
        <is>
          <t>D007</t>
        </is>
      </c>
      <c r="B8" s="14" t="inlineStr">
        <is>
          <t>11</t>
        </is>
      </c>
      <c r="C8" s="14" t="inlineStr">
        <is>
          <t>NFS-e</t>
        </is>
      </c>
      <c r="D8" s="14" t="inlineStr">
        <is>
          <t>DANFSe v2.0</t>
        </is>
      </c>
      <c r="E8" s="15" t="inlineStr">
        <is>
          <t>472</t>
        </is>
      </c>
      <c r="F8" s="15" t="inlineStr">
        <is>
          <t>1 (DPS)</t>
        </is>
      </c>
      <c r="G8" s="16" t="n">
        <v>46238</v>
      </c>
      <c r="H8" s="14" t="inlineStr">
        <is>
          <t>17:25:13</t>
        </is>
      </c>
      <c r="I8" s="14" t="inlineStr">
        <is>
          <t>01/08/2026</t>
        </is>
      </c>
      <c r="J8" s="17" t="n"/>
      <c r="K8" s="17" t="n"/>
      <c r="L8" s="15" t="inlineStr">
        <is>
          <t>2304400121878711100015500000000047226080573694444</t>
        </is>
      </c>
      <c r="M8" s="15" t="inlineStr"/>
      <c r="N8" s="15" t="inlineStr"/>
      <c r="O8" s="15" t="inlineStr"/>
      <c r="P8" s="15" t="inlineStr"/>
      <c r="Q8" s="18" t="inlineStr">
        <is>
          <t>AGUIA EXPRESS RH PRESTADORA DE SERVICOS EIRELI EPP</t>
        </is>
      </c>
      <c r="R8" s="14" t="inlineStr"/>
      <c r="S8" s="15" t="inlineStr">
        <is>
          <t>18.787.111/0001-55</t>
        </is>
      </c>
      <c r="T8" s="15" t="inlineStr"/>
      <c r="U8" s="15" t="inlineStr">
        <is>
          <t>3461858</t>
        </is>
      </c>
      <c r="V8" s="14" t="inlineStr">
        <is>
          <t>Fortaleza</t>
        </is>
      </c>
      <c r="W8" s="14" t="inlineStr">
        <is>
          <t>CE</t>
        </is>
      </c>
      <c r="X8" s="18" t="inlineStr">
        <is>
          <t>Não optante pelo Simples na data de competência</t>
        </is>
      </c>
      <c r="Y8" s="18" t="inlineStr">
        <is>
          <t>SKAL ENGENHARIA INDUSTRIA E COMERCIO LTDA</t>
        </is>
      </c>
      <c r="Z8" s="15" t="inlineStr">
        <is>
          <t>23.655.038/0002-89</t>
        </is>
      </c>
      <c r="AA8" s="15" t="inlineStr"/>
      <c r="AB8" s="15" t="inlineStr"/>
      <c r="AC8" s="14" t="inlineStr">
        <is>
          <t>Teresina</t>
        </is>
      </c>
      <c r="AD8" s="14" t="inlineStr">
        <is>
          <t>PI</t>
        </is>
      </c>
      <c r="AE8" s="14" t="inlineStr">
        <is>
          <t>SKAL /0002</t>
        </is>
      </c>
      <c r="AF8" s="18" t="inlineStr">
        <is>
          <t>Operação tributável</t>
        </is>
      </c>
      <c r="AG8" s="14" t="inlineStr">
        <is>
          <t>Serviços</t>
        </is>
      </c>
      <c r="AH8" s="18" t="inlineStr">
        <is>
          <t>Locação de mão de obra temporária / vigia</t>
        </is>
      </c>
      <c r="AI8" s="18" t="inlineStr">
        <is>
          <t>Teresina/PI</t>
        </is>
      </c>
      <c r="AJ8" s="15" t="inlineStr"/>
      <c r="AK8" s="15" t="inlineStr"/>
      <c r="AL8" s="19" t="inlineStr">
        <is>
          <t>170501/005 - LOCAÇÃO DE MÃO-DE-OBRA TEMPORÁRIA</t>
        </is>
      </c>
      <c r="AM8" s="15" t="inlineStr">
        <is>
          <t>118012900 (transcrição visual)</t>
        </is>
      </c>
      <c r="AN8" s="20" t="n">
        <v>0</v>
      </c>
      <c r="AO8" s="20" t="n">
        <v>450</v>
      </c>
      <c r="AP8" s="20" t="n">
        <v>0</v>
      </c>
      <c r="AQ8" s="20" t="n">
        <v>0</v>
      </c>
      <c r="AR8" s="20" t="n">
        <v>0</v>
      </c>
      <c r="AS8" s="20" t="n">
        <v>450</v>
      </c>
      <c r="AT8" s="20" t="n">
        <v>450</v>
      </c>
      <c r="AU8" s="20" t="n">
        <v>0</v>
      </c>
      <c r="AV8" s="21" t="n"/>
      <c r="AW8" s="20" t="n">
        <v>0</v>
      </c>
      <c r="AX8" s="20" t="n">
        <v>0</v>
      </c>
      <c r="AY8" s="20" t="n">
        <v>0</v>
      </c>
      <c r="AZ8" s="20" t="n">
        <v>0</v>
      </c>
      <c r="BA8" s="20" t="n">
        <v>0</v>
      </c>
      <c r="BB8" s="20" t="n">
        <v>0</v>
      </c>
      <c r="BC8" s="20" t="n">
        <v>450</v>
      </c>
      <c r="BD8" s="22" t="n">
        <v>0.05</v>
      </c>
      <c r="BE8" s="20" t="n">
        <v>22.5</v>
      </c>
      <c r="BF8" s="20" t="n">
        <v>0</v>
      </c>
      <c r="BG8" s="20" t="n">
        <v>0</v>
      </c>
      <c r="BH8" s="20" t="n">
        <v>0</v>
      </c>
      <c r="BI8" s="20" t="n">
        <v>0</v>
      </c>
      <c r="BJ8" s="20" t="n">
        <v>0</v>
      </c>
      <c r="BK8" s="20" t="n">
        <v>0</v>
      </c>
      <c r="BL8" s="20" t="n">
        <v>0.43</v>
      </c>
      <c r="BM8" s="20" t="n">
        <v>3.85</v>
      </c>
      <c r="BN8" s="20" t="n">
        <v>4.28</v>
      </c>
      <c r="BO8" s="20" t="n">
        <v>0</v>
      </c>
      <c r="BP8" s="20" t="n">
        <v>0</v>
      </c>
      <c r="BQ8" s="14" t="inlineStr">
        <is>
          <t>Sim</t>
        </is>
      </c>
      <c r="BR8" s="14" t="inlineStr">
        <is>
          <t>Sim</t>
        </is>
      </c>
      <c r="BS8" s="14" t="inlineStr"/>
      <c r="BT8" s="14" t="inlineStr">
        <is>
          <t>Alta</t>
        </is>
      </c>
      <c r="BU8" s="18" t="inlineStr">
        <is>
          <t>Descrição: VIGIA - HORAS EXTRA, FALTAS, ATRASOS E SAÍDAS MAIS CEDO. BC IBS/CBS após exclusões/reduções: R$ 427,50; exclusões/reduções R$ 22,50; IBS total R$ 0,43; CBS R$ 3,85; NFS-e + IBS/CBS R$ 454,28.</t>
        </is>
      </c>
      <c r="BV8" s="18" t="inlineStr">
        <is>
          <t>NOTAS FISCAIS DE COMPRA AGOSTO 2026.pdf - p. 11</t>
        </is>
      </c>
    </row>
    <row r="9">
      <c r="A9" s="14" t="inlineStr">
        <is>
          <t>D008</t>
        </is>
      </c>
      <c r="B9" s="14" t="inlineStr">
        <is>
          <t>12</t>
        </is>
      </c>
      <c r="C9" s="14" t="inlineStr">
        <is>
          <t>NFS-e</t>
        </is>
      </c>
      <c r="D9" s="14" t="inlineStr">
        <is>
          <t>NFS-e Teresina</t>
        </is>
      </c>
      <c r="E9" s="15" t="inlineStr">
        <is>
          <t>220</t>
        </is>
      </c>
      <c r="F9" s="15" t="inlineStr">
        <is>
          <t>U</t>
        </is>
      </c>
      <c r="G9" s="16" t="n">
        <v>46238</v>
      </c>
      <c r="H9" s="14" t="inlineStr">
        <is>
          <t>16:01:34</t>
        </is>
      </c>
      <c r="I9" s="14" t="inlineStr">
        <is>
          <t>08/2026</t>
        </is>
      </c>
      <c r="J9" s="17" t="n"/>
      <c r="K9" s="17" t="n"/>
      <c r="L9" s="15" t="inlineStr"/>
      <c r="M9" s="15" t="inlineStr"/>
      <c r="N9" s="15" t="inlineStr"/>
      <c r="O9" s="15" t="inlineStr"/>
      <c r="P9" s="15" t="inlineStr"/>
      <c r="Q9" s="18" t="inlineStr">
        <is>
          <t>FENIX PRESTADORA DE SERVICOS LTDA</t>
        </is>
      </c>
      <c r="R9" s="14" t="inlineStr"/>
      <c r="S9" s="15" t="inlineStr">
        <is>
          <t>51.998.593/0001-68</t>
        </is>
      </c>
      <c r="T9" s="15" t="inlineStr"/>
      <c r="U9" s="15" t="inlineStr">
        <is>
          <t>677497-0</t>
        </is>
      </c>
      <c r="V9" s="14" t="inlineStr">
        <is>
          <t>Teresina</t>
        </is>
      </c>
      <c r="W9" s="14" t="inlineStr">
        <is>
          <t>PI</t>
        </is>
      </c>
      <c r="X9" s="18" t="inlineStr">
        <is>
          <t>ME ou EPP optante pelo Simples Nacional</t>
        </is>
      </c>
      <c r="Y9" s="18" t="inlineStr">
        <is>
          <t>SKAL ENGENHARIA INDUSTRIA E COMERCIO LTDA.</t>
        </is>
      </c>
      <c r="Z9" s="15" t="inlineStr">
        <is>
          <t>23.655.038/0002-89</t>
        </is>
      </c>
      <c r="AA9" s="15" t="inlineStr"/>
      <c r="AB9" s="15" t="inlineStr">
        <is>
          <t>080315-4</t>
        </is>
      </c>
      <c r="AC9" s="14" t="inlineStr">
        <is>
          <t>Teresina</t>
        </is>
      </c>
      <c r="AD9" s="14" t="inlineStr">
        <is>
          <t>PI</t>
        </is>
      </c>
      <c r="AE9" s="14" t="inlineStr">
        <is>
          <t>SKAL /0002</t>
        </is>
      </c>
      <c r="AF9" s="18" t="inlineStr">
        <is>
          <t>Carga e descarga</t>
        </is>
      </c>
      <c r="AG9" s="14" t="inlineStr">
        <is>
          <t>Serviços</t>
        </is>
      </c>
      <c r="AH9" s="18" t="inlineStr">
        <is>
          <t>Ajudantes de carga e descarga</t>
        </is>
      </c>
      <c r="AI9" s="18" t="inlineStr">
        <is>
          <t>Teresina/PI</t>
        </is>
      </c>
      <c r="AJ9" s="15" t="inlineStr"/>
      <c r="AK9" s="15" t="inlineStr">
        <is>
          <t>5212-5/00-01</t>
        </is>
      </c>
      <c r="AL9" s="19" t="inlineStr">
        <is>
          <t>11.04 - ARMAZENAMENTO, DEPÓSITO, CARGA, DESCARGA, ARRUMAÇÃO E GUARDA DE BENS...</t>
        </is>
      </c>
      <c r="AM9" s="15" t="inlineStr"/>
      <c r="AN9" s="20" t="n">
        <v>0</v>
      </c>
      <c r="AO9" s="20" t="n">
        <v>35000</v>
      </c>
      <c r="AP9" s="20" t="n">
        <v>0</v>
      </c>
      <c r="AQ9" s="20" t="n">
        <v>0</v>
      </c>
      <c r="AR9" s="20" t="n">
        <v>0</v>
      </c>
      <c r="AS9" s="20" t="n">
        <v>35000</v>
      </c>
      <c r="AT9" s="20" t="n">
        <v>35000</v>
      </c>
      <c r="AU9" s="20" t="n">
        <v>0</v>
      </c>
      <c r="AV9" s="21" t="n"/>
      <c r="AW9" s="20" t="n">
        <v>0</v>
      </c>
      <c r="AX9" s="20" t="n">
        <v>0</v>
      </c>
      <c r="AY9" s="20" t="n">
        <v>0</v>
      </c>
      <c r="AZ9" s="20" t="n">
        <v>0</v>
      </c>
      <c r="BA9" s="20" t="n">
        <v>0</v>
      </c>
      <c r="BB9" s="20" t="n">
        <v>0</v>
      </c>
      <c r="BC9" s="20" t="n">
        <v>35000</v>
      </c>
      <c r="BD9" s="21" t="n"/>
      <c r="BE9" s="32" t="n"/>
      <c r="BF9" s="20" t="n">
        <v>0</v>
      </c>
      <c r="BG9" s="20" t="n">
        <v>0</v>
      </c>
      <c r="BH9" s="20" t="n">
        <v>0</v>
      </c>
      <c r="BI9" s="20" t="n">
        <v>0</v>
      </c>
      <c r="BJ9" s="20" t="n">
        <v>0</v>
      </c>
      <c r="BK9" s="20" t="n">
        <v>0</v>
      </c>
      <c r="BL9" s="20" t="n">
        <v>0</v>
      </c>
      <c r="BM9" s="20" t="n">
        <v>0</v>
      </c>
      <c r="BN9" s="20" t="n">
        <v>0</v>
      </c>
      <c r="BO9" s="20" t="n">
        <v>0</v>
      </c>
      <c r="BP9" s="20" t="n">
        <v>0</v>
      </c>
      <c r="BQ9" s="14" t="inlineStr">
        <is>
          <t>Sim</t>
        </is>
      </c>
      <c r="BR9" s="14" t="inlineStr">
        <is>
          <t>Sim</t>
        </is>
      </c>
      <c r="BS9" s="14" t="inlineStr"/>
      <c r="BT9" s="14" t="inlineStr">
        <is>
          <t>Alta</t>
        </is>
      </c>
      <c r="BU9" s="18" t="inlineStr">
        <is>
          <t>Descrição: 10 AJUDANTES DE CARGA E DESCARGA. Anotação manuscrita na página: “R$ 17.500,00 hoje 11/08/26”, aparentando indicar pagamento parcial; valor fiscal impresso permanece R$ 35.000,00.</t>
        </is>
      </c>
      <c r="BV9" s="18" t="inlineStr">
        <is>
          <t>NOTAS FISCAIS DE COMPRA AGOSTO 2026.pdf - p. 12</t>
        </is>
      </c>
    </row>
    <row r="10">
      <c r="A10" s="14" t="inlineStr">
        <is>
          <t>D009</t>
        </is>
      </c>
      <c r="B10" s="14" t="inlineStr">
        <is>
          <t>13</t>
        </is>
      </c>
      <c r="C10" s="14" t="inlineStr">
        <is>
          <t>CT-e</t>
        </is>
      </c>
      <c r="D10" s="14" t="inlineStr">
        <is>
          <t>57</t>
        </is>
      </c>
      <c r="E10" s="15" t="inlineStr">
        <is>
          <t>845</t>
        </is>
      </c>
      <c r="F10" s="15" t="inlineStr">
        <is>
          <t>1</t>
        </is>
      </c>
      <c r="G10" s="16" t="n">
        <v>46239</v>
      </c>
      <c r="H10" s="14" t="inlineStr">
        <is>
          <t>14:33:27</t>
        </is>
      </c>
      <c r="I10" s="14" t="inlineStr"/>
      <c r="J10" s="17" t="n"/>
      <c r="K10" s="17" t="n"/>
      <c r="L10" s="15" t="inlineStr">
        <is>
          <t>23260842709787000377570010000845101000000008</t>
        </is>
      </c>
      <c r="M10" s="15" t="inlineStr">
        <is>
          <t>323260109557825 - 05/08/2026 14:37:11 GMT-03:00</t>
        </is>
      </c>
      <c r="N10" s="15" t="inlineStr"/>
      <c r="O10" s="15" t="inlineStr"/>
      <c r="P10" s="15" t="inlineStr"/>
      <c r="Q10" s="18" t="inlineStr">
        <is>
          <t>F G INTELIGENCIA EM LOGISTICA LTDA</t>
        </is>
      </c>
      <c r="R10" s="14" t="inlineStr">
        <is>
          <t>FG Transportes</t>
        </is>
      </c>
      <c r="S10" s="15" t="inlineStr">
        <is>
          <t>42.709.787/0003-77</t>
        </is>
      </c>
      <c r="T10" s="15" t="inlineStr">
        <is>
          <t>072061073</t>
        </is>
      </c>
      <c r="U10" s="15" t="inlineStr"/>
      <c r="V10" s="14" t="inlineStr">
        <is>
          <t>Aracati</t>
        </is>
      </c>
      <c r="W10" s="14" t="inlineStr">
        <is>
          <t>CE</t>
        </is>
      </c>
      <c r="X10" s="18" t="inlineStr"/>
      <c r="Y10" s="18" t="inlineStr">
        <is>
          <t>SKAL ENGENHARIA INDUSTRIA E COMERCIO LTDA.</t>
        </is>
      </c>
      <c r="Z10" s="15" t="inlineStr">
        <is>
          <t>23.655.038/0002-89</t>
        </is>
      </c>
      <c r="AA10" s="15" t="inlineStr">
        <is>
          <t>194446298</t>
        </is>
      </c>
      <c r="AB10" s="15" t="inlineStr"/>
      <c r="AC10" s="14" t="inlineStr">
        <is>
          <t>Teresina</t>
        </is>
      </c>
      <c r="AD10" s="14" t="inlineStr">
        <is>
          <t>PI</t>
        </is>
      </c>
      <c r="AE10" s="14" t="inlineStr">
        <is>
          <t>SKAL /0002</t>
        </is>
      </c>
      <c r="AF10" s="18" t="inlineStr">
        <is>
          <t>Prestação de serviço de transporte a estabelecimento comercial</t>
        </is>
      </c>
      <c r="AG10" s="14" t="inlineStr">
        <is>
          <t>Fretes</t>
        </is>
      </c>
      <c r="AH10" s="18" t="inlineStr">
        <is>
          <t>Frete de cimento Apodi</t>
        </is>
      </c>
      <c r="AI10" s="18" t="inlineStr">
        <is>
          <t>Quixeré/CE → Teresina/PI</t>
        </is>
      </c>
      <c r="AJ10" s="15" t="inlineStr">
        <is>
          <t>6353</t>
        </is>
      </c>
      <c r="AK10" s="15" t="inlineStr"/>
      <c r="AL10" s="19" t="inlineStr"/>
      <c r="AM10" s="15" t="inlineStr"/>
      <c r="AN10" s="20" t="n">
        <v>0</v>
      </c>
      <c r="AO10" s="20" t="n">
        <v>0</v>
      </c>
      <c r="AP10" s="20" t="n">
        <v>12530.1</v>
      </c>
      <c r="AQ10" s="20" t="n">
        <v>0</v>
      </c>
      <c r="AR10" s="20" t="n">
        <v>0</v>
      </c>
      <c r="AS10" s="20" t="n">
        <v>12530.1</v>
      </c>
      <c r="AT10" s="20" t="n">
        <v>12530.1</v>
      </c>
      <c r="AU10" s="20" t="n">
        <v>12530.1</v>
      </c>
      <c r="AV10" s="22" t="n">
        <v>0.12</v>
      </c>
      <c r="AW10" s="20" t="n">
        <v>1503.61</v>
      </c>
      <c r="AX10" s="20" t="n">
        <v>0</v>
      </c>
      <c r="AY10" s="20" t="n">
        <v>0</v>
      </c>
      <c r="AZ10" s="20" t="n">
        <v>0</v>
      </c>
      <c r="BA10" s="32" t="n"/>
      <c r="BB10" s="32" t="n"/>
      <c r="BC10" s="20" t="n">
        <v>0</v>
      </c>
      <c r="BD10" s="21" t="n"/>
      <c r="BE10" s="20" t="n">
        <v>0</v>
      </c>
      <c r="BF10" s="20" t="n">
        <v>0</v>
      </c>
      <c r="BG10" s="20" t="n">
        <v>0</v>
      </c>
      <c r="BH10" s="20" t="n">
        <v>0</v>
      </c>
      <c r="BI10" s="20" t="n">
        <v>0</v>
      </c>
      <c r="BJ10" s="20" t="n">
        <v>0</v>
      </c>
      <c r="BK10" s="20" t="n">
        <v>0</v>
      </c>
      <c r="BL10" s="20" t="n">
        <v>0</v>
      </c>
      <c r="BM10" s="20" t="n">
        <v>0</v>
      </c>
      <c r="BN10" s="20" t="n">
        <v>0</v>
      </c>
      <c r="BO10" s="20" t="n">
        <v>0</v>
      </c>
      <c r="BP10" s="20" t="n">
        <v>0</v>
      </c>
      <c r="BQ10" s="14" t="inlineStr">
        <is>
          <t>Sim</t>
        </is>
      </c>
      <c r="BR10" s="14" t="inlineStr">
        <is>
          <t>Sim</t>
        </is>
      </c>
      <c r="BS10" s="14" t="inlineStr"/>
      <c r="BT10" s="14" t="inlineStr">
        <is>
          <t>Alta</t>
        </is>
      </c>
      <c r="BU10" s="18" t="inlineStr">
        <is>
          <t>Remetente: Companhia Industrial de Cimento Apodi, CNPJ 10.260.249/0003-51. Produto predominante: CIMENTO PORTLAND - CP V ARI. Peso bruto/líquido 37.970 kg. Valor da mercadoria R$ 19.174,85. NF-e relacionada 001/000557315. Frete peso R$ 12.530,10.</t>
        </is>
      </c>
      <c r="BV10" s="18" t="inlineStr">
        <is>
          <t>NOTAS FISCAIS DE COMPRA AGOSTO 2026.pdf - p. 13</t>
        </is>
      </c>
    </row>
    <row r="11">
      <c r="A11" s="14" t="inlineStr">
        <is>
          <t>D010</t>
        </is>
      </c>
      <c r="B11" s="14" t="inlineStr">
        <is>
          <t>14</t>
        </is>
      </c>
      <c r="C11" s="14" t="inlineStr">
        <is>
          <t>CT-e</t>
        </is>
      </c>
      <c r="D11" s="14" t="inlineStr">
        <is>
          <t>57</t>
        </is>
      </c>
      <c r="E11" s="15" t="inlineStr">
        <is>
          <t>842</t>
        </is>
      </c>
      <c r="F11" s="15" t="inlineStr">
        <is>
          <t>1</t>
        </is>
      </c>
      <c r="G11" s="16" t="n">
        <v>46238</v>
      </c>
      <c r="H11" s="14" t="inlineStr">
        <is>
          <t>16:46:15</t>
        </is>
      </c>
      <c r="I11" s="14" t="inlineStr"/>
      <c r="J11" s="17" t="n"/>
      <c r="K11" s="17" t="n"/>
      <c r="L11" s="15" t="inlineStr">
        <is>
          <t>23260842709787000377570010000842101000000008</t>
        </is>
      </c>
      <c r="M11" s="15" t="inlineStr">
        <is>
          <t>323260108933531 - 04/08/2026 17:00:06 GMT-03:00</t>
        </is>
      </c>
      <c r="N11" s="15" t="inlineStr"/>
      <c r="O11" s="15" t="inlineStr"/>
      <c r="P11" s="15" t="inlineStr"/>
      <c r="Q11" s="18" t="inlineStr">
        <is>
          <t>F G INTELIGENCIA EM LOGISTICA LTDA</t>
        </is>
      </c>
      <c r="R11" s="14" t="inlineStr">
        <is>
          <t>FG Transportes</t>
        </is>
      </c>
      <c r="S11" s="15" t="inlineStr">
        <is>
          <t>42.709.787/0003-77</t>
        </is>
      </c>
      <c r="T11" s="15" t="inlineStr">
        <is>
          <t>072061073</t>
        </is>
      </c>
      <c r="U11" s="15" t="inlineStr"/>
      <c r="V11" s="14" t="inlineStr">
        <is>
          <t>Aracati</t>
        </is>
      </c>
      <c r="W11" s="14" t="inlineStr">
        <is>
          <t>CE</t>
        </is>
      </c>
      <c r="X11" s="18" t="inlineStr"/>
      <c r="Y11" s="18" t="inlineStr">
        <is>
          <t>SKAL ENGENHARIA INDUSTRIA E COMERCIO LTDA.</t>
        </is>
      </c>
      <c r="Z11" s="15" t="inlineStr">
        <is>
          <t>23.655.038/0002-89</t>
        </is>
      </c>
      <c r="AA11" s="15" t="inlineStr">
        <is>
          <t>194446298</t>
        </is>
      </c>
      <c r="AB11" s="15" t="inlineStr"/>
      <c r="AC11" s="14" t="inlineStr">
        <is>
          <t>Teresina</t>
        </is>
      </c>
      <c r="AD11" s="14" t="inlineStr">
        <is>
          <t>PI</t>
        </is>
      </c>
      <c r="AE11" s="14" t="inlineStr">
        <is>
          <t>SKAL /0002</t>
        </is>
      </c>
      <c r="AF11" s="18" t="inlineStr">
        <is>
          <t>Prestação de serviço de transporte a estabelecimento comercial</t>
        </is>
      </c>
      <c r="AG11" s="14" t="inlineStr">
        <is>
          <t>Fretes</t>
        </is>
      </c>
      <c r="AH11" s="18" t="inlineStr">
        <is>
          <t>Frete de cimento Apodi</t>
        </is>
      </c>
      <c r="AI11" s="18" t="inlineStr">
        <is>
          <t>Quixeré/CE → Teresina/PI</t>
        </is>
      </c>
      <c r="AJ11" s="15" t="inlineStr">
        <is>
          <t>6353</t>
        </is>
      </c>
      <c r="AK11" s="15" t="inlineStr"/>
      <c r="AL11" s="19" t="inlineStr"/>
      <c r="AM11" s="15" t="inlineStr"/>
      <c r="AN11" s="20" t="n">
        <v>0</v>
      </c>
      <c r="AO11" s="20" t="n">
        <v>0</v>
      </c>
      <c r="AP11" s="20" t="n">
        <v>12437.7</v>
      </c>
      <c r="AQ11" s="20" t="n">
        <v>0</v>
      </c>
      <c r="AR11" s="20" t="n">
        <v>0</v>
      </c>
      <c r="AS11" s="20" t="n">
        <v>12437.7</v>
      </c>
      <c r="AT11" s="20" t="n">
        <v>12437.7</v>
      </c>
      <c r="AU11" s="20" t="n">
        <v>12437.7</v>
      </c>
      <c r="AV11" s="22" t="n">
        <v>0.12</v>
      </c>
      <c r="AW11" s="20" t="n">
        <v>1492.52</v>
      </c>
      <c r="AX11" s="20" t="n">
        <v>0</v>
      </c>
      <c r="AY11" s="20" t="n">
        <v>0</v>
      </c>
      <c r="AZ11" s="20" t="n">
        <v>0</v>
      </c>
      <c r="BA11" s="32" t="n"/>
      <c r="BB11" s="32" t="n"/>
      <c r="BC11" s="20" t="n">
        <v>0</v>
      </c>
      <c r="BD11" s="21" t="n"/>
      <c r="BE11" s="20" t="n">
        <v>0</v>
      </c>
      <c r="BF11" s="20" t="n">
        <v>0</v>
      </c>
      <c r="BG11" s="20" t="n">
        <v>0</v>
      </c>
      <c r="BH11" s="20" t="n">
        <v>0</v>
      </c>
      <c r="BI11" s="20" t="n">
        <v>0</v>
      </c>
      <c r="BJ11" s="20" t="n">
        <v>0</v>
      </c>
      <c r="BK11" s="20" t="n">
        <v>0</v>
      </c>
      <c r="BL11" s="20" t="n">
        <v>0</v>
      </c>
      <c r="BM11" s="20" t="n">
        <v>0</v>
      </c>
      <c r="BN11" s="20" t="n">
        <v>0</v>
      </c>
      <c r="BO11" s="20" t="n">
        <v>0</v>
      </c>
      <c r="BP11" s="20" t="n">
        <v>0</v>
      </c>
      <c r="BQ11" s="14" t="inlineStr">
        <is>
          <t>Sim</t>
        </is>
      </c>
      <c r="BR11" s="14" t="inlineStr">
        <is>
          <t>Sim</t>
        </is>
      </c>
      <c r="BS11" s="14" t="inlineStr"/>
      <c r="BT11" s="14" t="inlineStr">
        <is>
          <t>Alta</t>
        </is>
      </c>
      <c r="BU11" s="18" t="inlineStr">
        <is>
          <t>Remetente: Companhia Industrial de Cimento Apodi, CNPJ 10.260.249/0003-51. Produto predominante: CIMENTO PORTLAND - CP V ARI. Peso bruto/líquido 37.690 kg. Valor da mercadoria R$ 19.033,45. NF-e relacionada 001/000557177. Frete peso R$ 12.437,70.</t>
        </is>
      </c>
      <c r="BV11" s="18" t="inlineStr">
        <is>
          <t>NOTAS FISCAIS DE COMPRA AGOSTO 2026.pdf - p. 14</t>
        </is>
      </c>
    </row>
    <row r="12">
      <c r="A12" s="14" t="inlineStr">
        <is>
          <t>D011</t>
        </is>
      </c>
      <c r="B12" s="14" t="inlineStr">
        <is>
          <t>15</t>
        </is>
      </c>
      <c r="C12" s="14" t="inlineStr">
        <is>
          <t>NF-e</t>
        </is>
      </c>
      <c r="D12" s="14" t="inlineStr">
        <is>
          <t>55</t>
        </is>
      </c>
      <c r="E12" s="15" t="inlineStr">
        <is>
          <t>0557315</t>
        </is>
      </c>
      <c r="F12" s="15" t="inlineStr">
        <is>
          <t>1</t>
        </is>
      </c>
      <c r="G12" s="16" t="n">
        <v>46239</v>
      </c>
      <c r="H12" s="14" t="inlineStr">
        <is>
          <t>11:47</t>
        </is>
      </c>
      <c r="I12" s="14" t="inlineStr"/>
      <c r="J12" s="17" t="n"/>
      <c r="K12" s="16" t="n">
        <v>46267</v>
      </c>
      <c r="L12" s="15" t="inlineStr">
        <is>
          <t>23260810260249000351550010005573151121456695</t>
        </is>
      </c>
      <c r="M12" s="15" t="inlineStr">
        <is>
          <t>05/08/2026 11:46:58</t>
        </is>
      </c>
      <c r="N12" s="15" t="inlineStr"/>
      <c r="O12" s="15" t="inlineStr"/>
      <c r="P12" s="15" t="inlineStr"/>
      <c r="Q12" s="18" t="inlineStr">
        <is>
          <t>COMPANHIA INDUSTRIAL DE CIMENTO APODI</t>
        </is>
      </c>
      <c r="R12" s="14" t="inlineStr">
        <is>
          <t>Apodi</t>
        </is>
      </c>
      <c r="S12" s="15" t="inlineStr">
        <is>
          <t>10.260.249/0003-51</t>
        </is>
      </c>
      <c r="T12" s="15" t="inlineStr">
        <is>
          <t>064204839</t>
        </is>
      </c>
      <c r="U12" s="15" t="inlineStr"/>
      <c r="V12" s="14" t="inlineStr">
        <is>
          <t>Quixeré</t>
        </is>
      </c>
      <c r="W12" s="14" t="inlineStr">
        <is>
          <t>CE</t>
        </is>
      </c>
      <c r="X12" s="18" t="inlineStr"/>
      <c r="Y12" s="18" t="inlineStr">
        <is>
          <t>SKAL ENGENHARIA INDUSTRIA E COMERCIO LTDA.</t>
        </is>
      </c>
      <c r="Z12" s="15" t="inlineStr">
        <is>
          <t>23.655.038/0002-89</t>
        </is>
      </c>
      <c r="AA12" s="15" t="inlineStr">
        <is>
          <t>194446298</t>
        </is>
      </c>
      <c r="AB12" s="15" t="inlineStr"/>
      <c r="AC12" s="14" t="inlineStr">
        <is>
          <t>Teresina</t>
        </is>
      </c>
      <c r="AD12" s="14" t="inlineStr">
        <is>
          <t>PI</t>
        </is>
      </c>
      <c r="AE12" s="14" t="inlineStr">
        <is>
          <t>SKAL /0002</t>
        </is>
      </c>
      <c r="AF12" s="18" t="inlineStr">
        <is>
          <t>VENDA DE PRODUÇÃO DO ESTABELECIMENTO.</t>
        </is>
      </c>
      <c r="AG12" s="14" t="inlineStr">
        <is>
          <t>Produtos</t>
        </is>
      </c>
      <c r="AH12" s="18" t="inlineStr">
        <is>
          <t>Matéria-prima - cimento</t>
        </is>
      </c>
      <c r="AI12" s="18" t="inlineStr"/>
      <c r="AJ12" s="15" t="inlineStr">
        <is>
          <t>6101</t>
        </is>
      </c>
      <c r="AK12" s="15" t="inlineStr"/>
      <c r="AL12" s="19" t="inlineStr"/>
      <c r="AM12" s="15" t="inlineStr"/>
      <c r="AN12" s="20" t="n">
        <v>19174.85</v>
      </c>
      <c r="AO12" s="20" t="n">
        <v>0</v>
      </c>
      <c r="AP12" s="20" t="n">
        <v>0</v>
      </c>
      <c r="AQ12" s="20" t="n">
        <v>0</v>
      </c>
      <c r="AR12" s="20" t="n">
        <v>0</v>
      </c>
      <c r="AS12" s="20" t="n">
        <v>19174.85</v>
      </c>
      <c r="AT12" s="20" t="n">
        <v>19174.85</v>
      </c>
      <c r="AU12" s="20" t="n">
        <v>19174.85</v>
      </c>
      <c r="AV12" s="22" t="n">
        <v>0.12</v>
      </c>
      <c r="AW12" s="20" t="n">
        <v>2300.98</v>
      </c>
      <c r="AX12" s="20" t="n">
        <v>0</v>
      </c>
      <c r="AY12" s="20" t="n">
        <v>0</v>
      </c>
      <c r="AZ12" s="20" t="n">
        <v>0</v>
      </c>
      <c r="BA12" s="32" t="n"/>
      <c r="BB12" s="32" t="n"/>
      <c r="BC12" s="20" t="n">
        <v>0</v>
      </c>
      <c r="BD12" s="21" t="n"/>
      <c r="BE12" s="20" t="n">
        <v>0</v>
      </c>
      <c r="BF12" s="20" t="n">
        <v>0</v>
      </c>
      <c r="BG12" s="20" t="n">
        <v>0</v>
      </c>
      <c r="BH12" s="20" t="n">
        <v>0</v>
      </c>
      <c r="BI12" s="20" t="n">
        <v>0</v>
      </c>
      <c r="BJ12" s="20" t="n">
        <v>0</v>
      </c>
      <c r="BK12" s="20" t="n">
        <v>0</v>
      </c>
      <c r="BL12" s="20" t="n">
        <v>0</v>
      </c>
      <c r="BM12" s="20" t="n">
        <v>0</v>
      </c>
      <c r="BN12" s="20" t="n">
        <v>0</v>
      </c>
      <c r="BO12" s="20" t="n">
        <v>0</v>
      </c>
      <c r="BP12" s="20" t="n">
        <v>0</v>
      </c>
      <c r="BQ12" s="14" t="inlineStr">
        <is>
          <t>Sim</t>
        </is>
      </c>
      <c r="BR12" s="14" t="inlineStr">
        <is>
          <t>Sim</t>
        </is>
      </c>
      <c r="BS12" s="14" t="inlineStr"/>
      <c r="BT12" s="14" t="inlineStr">
        <is>
          <t>Alta</t>
        </is>
      </c>
      <c r="BU12" s="18" t="inlineStr">
        <is>
          <t>Cimento Portland CP V ARI; 37,97 t; R$ 505,00/t. Frete por conta do destinatário. Placa QXG2I04/RN. Ticket: entrada 05/08/2026 10:27, saída 11:23, peso inicial 20.590 kg, final 58.560 kg, líquido 37.970 kg. Pedido 860623.</t>
        </is>
      </c>
      <c r="BV12" s="18" t="inlineStr">
        <is>
          <t>NOTAS FISCAIS DE COMPRA AGOSTO 2026.pdf - p. 15</t>
        </is>
      </c>
    </row>
    <row r="13">
      <c r="A13" s="14" t="inlineStr">
        <is>
          <t>D012</t>
        </is>
      </c>
      <c r="B13" s="14" t="inlineStr">
        <is>
          <t>16</t>
        </is>
      </c>
      <c r="C13" s="14" t="inlineStr">
        <is>
          <t>NF-e</t>
        </is>
      </c>
      <c r="D13" s="14" t="inlineStr">
        <is>
          <t>55</t>
        </is>
      </c>
      <c r="E13" s="15" t="inlineStr">
        <is>
          <t>0557177</t>
        </is>
      </c>
      <c r="F13" s="15" t="inlineStr">
        <is>
          <t>1</t>
        </is>
      </c>
      <c r="G13" s="16" t="n">
        <v>46238</v>
      </c>
      <c r="H13" s="14" t="inlineStr">
        <is>
          <t>16:22</t>
        </is>
      </c>
      <c r="I13" s="14" t="inlineStr"/>
      <c r="J13" s="17" t="n"/>
      <c r="K13" s="16" t="n">
        <v>46266</v>
      </c>
      <c r="L13" s="15" t="inlineStr">
        <is>
          <t>23260810260249000351550010005571771663790853</t>
        </is>
      </c>
      <c r="M13" s="15" t="inlineStr">
        <is>
          <t>04/08/2026 16:22:09</t>
        </is>
      </c>
      <c r="N13" s="15" t="inlineStr"/>
      <c r="O13" s="15" t="inlineStr"/>
      <c r="P13" s="15" t="inlineStr"/>
      <c r="Q13" s="18" t="inlineStr">
        <is>
          <t>COMPANHIA INDUSTRIAL DE CIMENTO APODI</t>
        </is>
      </c>
      <c r="R13" s="14" t="inlineStr">
        <is>
          <t>Apodi</t>
        </is>
      </c>
      <c r="S13" s="15" t="inlineStr">
        <is>
          <t>10.260.249/0003-51</t>
        </is>
      </c>
      <c r="T13" s="15" t="inlineStr">
        <is>
          <t>064204839</t>
        </is>
      </c>
      <c r="U13" s="15" t="inlineStr"/>
      <c r="V13" s="14" t="inlineStr">
        <is>
          <t>Quixeré</t>
        </is>
      </c>
      <c r="W13" s="14" t="inlineStr">
        <is>
          <t>CE</t>
        </is>
      </c>
      <c r="X13" s="18" t="inlineStr"/>
      <c r="Y13" s="18" t="inlineStr">
        <is>
          <t>SKAL ENGENHARIA INDUSTRIA E COMERCIO LTDA.</t>
        </is>
      </c>
      <c r="Z13" s="15" t="inlineStr">
        <is>
          <t>23.655.038/0002-89</t>
        </is>
      </c>
      <c r="AA13" s="15" t="inlineStr">
        <is>
          <t>194446298</t>
        </is>
      </c>
      <c r="AB13" s="15" t="inlineStr"/>
      <c r="AC13" s="14" t="inlineStr">
        <is>
          <t>Teresina</t>
        </is>
      </c>
      <c r="AD13" s="14" t="inlineStr">
        <is>
          <t>PI</t>
        </is>
      </c>
      <c r="AE13" s="14" t="inlineStr">
        <is>
          <t>SKAL /0002</t>
        </is>
      </c>
      <c r="AF13" s="18" t="inlineStr">
        <is>
          <t>VENDA DE PRODUÇÃO DO ESTABELECIMENTO.</t>
        </is>
      </c>
      <c r="AG13" s="14" t="inlineStr">
        <is>
          <t>Produtos</t>
        </is>
      </c>
      <c r="AH13" s="18" t="inlineStr">
        <is>
          <t>Matéria-prima - cimento</t>
        </is>
      </c>
      <c r="AI13" s="18" t="inlineStr"/>
      <c r="AJ13" s="15" t="inlineStr">
        <is>
          <t>6101</t>
        </is>
      </c>
      <c r="AK13" s="15" t="inlineStr"/>
      <c r="AL13" s="19" t="inlineStr"/>
      <c r="AM13" s="15" t="inlineStr"/>
      <c r="AN13" s="20" t="n">
        <v>19033.45</v>
      </c>
      <c r="AO13" s="20" t="n">
        <v>0</v>
      </c>
      <c r="AP13" s="20" t="n">
        <v>0</v>
      </c>
      <c r="AQ13" s="20" t="n">
        <v>0</v>
      </c>
      <c r="AR13" s="20" t="n">
        <v>0</v>
      </c>
      <c r="AS13" s="20" t="n">
        <v>19033.45</v>
      </c>
      <c r="AT13" s="20" t="n">
        <v>19033.45</v>
      </c>
      <c r="AU13" s="20" t="n">
        <v>19033.45</v>
      </c>
      <c r="AV13" s="22" t="n">
        <v>0.12</v>
      </c>
      <c r="AW13" s="20" t="n">
        <v>2284.01</v>
      </c>
      <c r="AX13" s="20" t="n">
        <v>0</v>
      </c>
      <c r="AY13" s="20" t="n">
        <v>0</v>
      </c>
      <c r="AZ13" s="20" t="n">
        <v>0</v>
      </c>
      <c r="BA13" s="32" t="n"/>
      <c r="BB13" s="32" t="n"/>
      <c r="BC13" s="20" t="n">
        <v>0</v>
      </c>
      <c r="BD13" s="21" t="n"/>
      <c r="BE13" s="20" t="n">
        <v>0</v>
      </c>
      <c r="BF13" s="20" t="n">
        <v>0</v>
      </c>
      <c r="BG13" s="20" t="n">
        <v>0</v>
      </c>
      <c r="BH13" s="20" t="n">
        <v>0</v>
      </c>
      <c r="BI13" s="20" t="n">
        <v>0</v>
      </c>
      <c r="BJ13" s="20" t="n">
        <v>0</v>
      </c>
      <c r="BK13" s="20" t="n">
        <v>0</v>
      </c>
      <c r="BL13" s="20" t="n">
        <v>0</v>
      </c>
      <c r="BM13" s="20" t="n">
        <v>0</v>
      </c>
      <c r="BN13" s="20" t="n">
        <v>0</v>
      </c>
      <c r="BO13" s="20" t="n">
        <v>0</v>
      </c>
      <c r="BP13" s="20" t="n">
        <v>0</v>
      </c>
      <c r="BQ13" s="14" t="inlineStr">
        <is>
          <t>Sim</t>
        </is>
      </c>
      <c r="BR13" s="14" t="inlineStr">
        <is>
          <t>Sim</t>
        </is>
      </c>
      <c r="BS13" s="14" t="inlineStr"/>
      <c r="BT13" s="14" t="inlineStr">
        <is>
          <t>Alta</t>
        </is>
      </c>
      <c r="BU13" s="18" t="inlineStr">
        <is>
          <t>Cimento Portland CP V ARI; 37,69 t; R$ 505,00/t. Placa QPW7E91/MG. Ticket: entrada 04/08/2026 14:12, saída 16:21, peso inicial 21.010 kg, final 58.700 kg, líquido 37.690 kg. Pedido 866021.</t>
        </is>
      </c>
      <c r="BV13" s="18" t="inlineStr">
        <is>
          <t>NOTAS FISCAIS DE COMPRA AGOSTO 2026.pdf - p. 16</t>
        </is>
      </c>
    </row>
    <row r="14">
      <c r="A14" s="14" t="inlineStr">
        <is>
          <t>D013</t>
        </is>
      </c>
      <c r="B14" s="14" t="inlineStr">
        <is>
          <t>17</t>
        </is>
      </c>
      <c r="C14" s="14" t="inlineStr">
        <is>
          <t>NFCom</t>
        </is>
      </c>
      <c r="D14" s="14" t="inlineStr">
        <is>
          <t>62</t>
        </is>
      </c>
      <c r="E14" s="15" t="inlineStr">
        <is>
          <t>000000227</t>
        </is>
      </c>
      <c r="F14" s="15" t="inlineStr">
        <is>
          <t>001</t>
        </is>
      </c>
      <c r="G14" s="16" t="n">
        <v>46242</v>
      </c>
      <c r="H14" s="14" t="inlineStr">
        <is>
          <t>16:10:36</t>
        </is>
      </c>
      <c r="I14" s="14" t="inlineStr">
        <is>
          <t>Referência 08/2026; serviço 07/2026</t>
        </is>
      </c>
      <c r="J14" s="17" t="n"/>
      <c r="K14" s="16" t="n">
        <v>46244</v>
      </c>
      <c r="L14" s="15" t="inlineStr">
        <is>
          <t>22260863865191000174620010000002271060236466</t>
        </is>
      </c>
      <c r="M14" s="15" t="inlineStr">
        <is>
          <t>3222600050819994 - 08/08/2026 16:16:13</t>
        </is>
      </c>
      <c r="N14" s="15" t="inlineStr"/>
      <c r="O14" s="15" t="inlineStr"/>
      <c r="P14" s="15" t="inlineStr"/>
      <c r="Q14" s="18" t="inlineStr">
        <is>
          <t>DUO OPERACOES PROTOS LTDA</t>
        </is>
      </c>
      <c r="R14" s="14" t="inlineStr"/>
      <c r="S14" s="15" t="inlineStr">
        <is>
          <t>63.865.191/0001-74</t>
        </is>
      </c>
      <c r="T14" s="15" t="inlineStr">
        <is>
          <t>19802928-4</t>
        </is>
      </c>
      <c r="U14" s="15" t="inlineStr"/>
      <c r="V14" s="14" t="inlineStr">
        <is>
          <t>Teresina</t>
        </is>
      </c>
      <c r="W14" s="14" t="inlineStr">
        <is>
          <t>PI</t>
        </is>
      </c>
      <c r="X14" s="18" t="inlineStr">
        <is>
          <t>Optante pelo Simples Nacional</t>
        </is>
      </c>
      <c r="Y14" s="18" t="inlineStr">
        <is>
          <t>SKAL ENGENHARIA INDUSTRIA E COMERCIO LTDA.</t>
        </is>
      </c>
      <c r="Z14" s="15" t="inlineStr">
        <is>
          <t>23.655.038/0002-89</t>
        </is>
      </c>
      <c r="AA14" s="15" t="inlineStr">
        <is>
          <t>19444629-8</t>
        </is>
      </c>
      <c r="AB14" s="15" t="inlineStr"/>
      <c r="AC14" s="14" t="inlineStr">
        <is>
          <t>Teresina</t>
        </is>
      </c>
      <c r="AD14" s="14" t="inlineStr">
        <is>
          <t>PI</t>
        </is>
      </c>
      <c r="AE14" s="14" t="inlineStr">
        <is>
          <t>SKAL /0002</t>
        </is>
      </c>
      <c r="AF14" s="18" t="inlineStr">
        <is>
          <t>Serviço de comunicação</t>
        </is>
      </c>
      <c r="AG14" s="14" t="inlineStr">
        <is>
          <t>Serviços</t>
        </is>
      </c>
      <c r="AH14" s="18" t="inlineStr">
        <is>
          <t>Internet dedicada</t>
        </is>
      </c>
      <c r="AI14" s="18" t="inlineStr">
        <is>
          <t>Teresina/PI</t>
        </is>
      </c>
      <c r="AJ14" s="15" t="inlineStr"/>
      <c r="AK14" s="15" t="inlineStr"/>
      <c r="AL14" s="19" t="inlineStr">
        <is>
          <t>Class 0100401</t>
        </is>
      </c>
      <c r="AM14" s="15" t="inlineStr"/>
      <c r="AN14" s="20" t="n">
        <v>0</v>
      </c>
      <c r="AO14" s="20" t="n">
        <v>1000</v>
      </c>
      <c r="AP14" s="20" t="n">
        <v>0</v>
      </c>
      <c r="AQ14" s="20" t="n">
        <v>0</v>
      </c>
      <c r="AR14" s="20" t="n">
        <v>0</v>
      </c>
      <c r="AS14" s="20" t="n">
        <v>1000</v>
      </c>
      <c r="AT14" s="20" t="n">
        <v>1000</v>
      </c>
      <c r="AU14" s="20" t="n">
        <v>0</v>
      </c>
      <c r="AV14" s="22" t="n">
        <v>0</v>
      </c>
      <c r="AW14" s="20" t="n">
        <v>0</v>
      </c>
      <c r="AX14" s="20" t="n">
        <v>0</v>
      </c>
      <c r="AY14" s="20" t="n">
        <v>0</v>
      </c>
      <c r="AZ14" s="20" t="n">
        <v>0</v>
      </c>
      <c r="BA14" s="20" t="n">
        <v>0</v>
      </c>
      <c r="BB14" s="20" t="n">
        <v>0</v>
      </c>
      <c r="BC14" s="20" t="n">
        <v>0</v>
      </c>
      <c r="BD14" s="21" t="n"/>
      <c r="BE14" s="20" t="n">
        <v>0</v>
      </c>
      <c r="BF14" s="20" t="n">
        <v>0</v>
      </c>
      <c r="BG14" s="20" t="n">
        <v>0</v>
      </c>
      <c r="BH14" s="20" t="n">
        <v>0</v>
      </c>
      <c r="BI14" s="20" t="n">
        <v>0</v>
      </c>
      <c r="BJ14" s="20" t="n">
        <v>0</v>
      </c>
      <c r="BK14" s="20" t="n">
        <v>0</v>
      </c>
      <c r="BL14" s="20" t="n">
        <v>0</v>
      </c>
      <c r="BM14" s="20" t="n">
        <v>0</v>
      </c>
      <c r="BN14" s="20" t="n">
        <v>0</v>
      </c>
      <c r="BO14" s="20" t="n">
        <v>0</v>
      </c>
      <c r="BP14" s="20" t="n">
        <v>0</v>
      </c>
      <c r="BQ14" s="14" t="inlineStr">
        <is>
          <t>Sim</t>
        </is>
      </c>
      <c r="BR14" s="14" t="inlineStr">
        <is>
          <t>Sim</t>
        </is>
      </c>
      <c r="BS14" s="14" t="inlineStr"/>
      <c r="BT14" s="14" t="inlineStr">
        <is>
          <t>Alta</t>
        </is>
      </c>
      <c r="BU14" s="18" t="inlineStr">
        <is>
          <t>Item: INTERNET DEDICADA, UN 1, R$ 1.000,00. PIS, COFINS, FUST e FUNTTEL informados em R$ 0,00. Dados bancários impressos: Banco Itaú, agência 0344, conta 996723, PIX 07.128.744/0001-35.</t>
        </is>
      </c>
      <c r="BV14" s="18" t="inlineStr">
        <is>
          <t>NOTAS FISCAIS DE COMPRA AGOSTO 2026.pdf - p. 17</t>
        </is>
      </c>
    </row>
    <row r="15">
      <c r="A15" s="14" t="inlineStr">
        <is>
          <t>D014</t>
        </is>
      </c>
      <c r="B15" s="14" t="inlineStr">
        <is>
          <t>18</t>
        </is>
      </c>
      <c r="C15" s="14" t="inlineStr">
        <is>
          <t>NFCom</t>
        </is>
      </c>
      <c r="D15" s="14" t="inlineStr">
        <is>
          <t>62</t>
        </is>
      </c>
      <c r="E15" s="15" t="inlineStr">
        <is>
          <t>000000226</t>
        </is>
      </c>
      <c r="F15" s="15" t="inlineStr">
        <is>
          <t>001</t>
        </is>
      </c>
      <c r="G15" s="16" t="n">
        <v>46242</v>
      </c>
      <c r="H15" s="14" t="inlineStr">
        <is>
          <t>16:10:36</t>
        </is>
      </c>
      <c r="I15" s="14" t="inlineStr">
        <is>
          <t>Referência 08/2026; serviço 07/2026</t>
        </is>
      </c>
      <c r="J15" s="17" t="n"/>
      <c r="K15" s="16" t="n">
        <v>46244</v>
      </c>
      <c r="L15" s="15" t="inlineStr">
        <is>
          <t>22260863865191000174620010000002261077422937</t>
        </is>
      </c>
      <c r="M15" s="15" t="inlineStr">
        <is>
          <t>3222600050819993 - 08/08/2026 16:16:12</t>
        </is>
      </c>
      <c r="N15" s="15" t="inlineStr"/>
      <c r="O15" s="15" t="inlineStr"/>
      <c r="P15" s="15" t="inlineStr"/>
      <c r="Q15" s="18" t="inlineStr">
        <is>
          <t>DUO OPERACOES PROTOS LTDA</t>
        </is>
      </c>
      <c r="R15" s="14" t="inlineStr"/>
      <c r="S15" s="15" t="inlineStr">
        <is>
          <t>63.865.191/0001-74</t>
        </is>
      </c>
      <c r="T15" s="15" t="inlineStr">
        <is>
          <t>19802928-4</t>
        </is>
      </c>
      <c r="U15" s="15" t="inlineStr"/>
      <c r="V15" s="14" t="inlineStr">
        <is>
          <t>Teresina</t>
        </is>
      </c>
      <c r="W15" s="14" t="inlineStr">
        <is>
          <t>PI</t>
        </is>
      </c>
      <c r="X15" s="18" t="inlineStr">
        <is>
          <t>Optante pelo Simples Nacional</t>
        </is>
      </c>
      <c r="Y15" s="18" t="inlineStr">
        <is>
          <t>SKAL ENGENHARIA INDUSTRIA E COMERCIO LTDA.</t>
        </is>
      </c>
      <c r="Z15" s="15" t="inlineStr">
        <is>
          <t>23.655.038/0002-89</t>
        </is>
      </c>
      <c r="AA15" s="15" t="inlineStr">
        <is>
          <t>19444629-8</t>
        </is>
      </c>
      <c r="AB15" s="15" t="inlineStr"/>
      <c r="AC15" s="14" t="inlineStr">
        <is>
          <t>Teresina</t>
        </is>
      </c>
      <c r="AD15" s="14" t="inlineStr">
        <is>
          <t>PI</t>
        </is>
      </c>
      <c r="AE15" s="14" t="inlineStr">
        <is>
          <t>SKAL /0002</t>
        </is>
      </c>
      <c r="AF15" s="18" t="inlineStr">
        <is>
          <t>Serviço de comunicação</t>
        </is>
      </c>
      <c r="AG15" s="14" t="inlineStr">
        <is>
          <t>Serviços</t>
        </is>
      </c>
      <c r="AH15" s="18" t="inlineStr">
        <is>
          <t>Linha fixa comutada STFC</t>
        </is>
      </c>
      <c r="AI15" s="18" t="inlineStr">
        <is>
          <t>Teresina/PI</t>
        </is>
      </c>
      <c r="AJ15" s="15" t="inlineStr"/>
      <c r="AK15" s="15" t="inlineStr"/>
      <c r="AL15" s="19" t="inlineStr">
        <is>
          <t>Class 0100201</t>
        </is>
      </c>
      <c r="AM15" s="15" t="inlineStr"/>
      <c r="AN15" s="20" t="n">
        <v>0</v>
      </c>
      <c r="AO15" s="20" t="n">
        <v>300</v>
      </c>
      <c r="AP15" s="20" t="n">
        <v>0</v>
      </c>
      <c r="AQ15" s="20" t="n">
        <v>0</v>
      </c>
      <c r="AR15" s="20" t="n">
        <v>0</v>
      </c>
      <c r="AS15" s="20" t="n">
        <v>300</v>
      </c>
      <c r="AT15" s="20" t="n">
        <v>300</v>
      </c>
      <c r="AU15" s="20" t="n">
        <v>0</v>
      </c>
      <c r="AV15" s="22" t="n">
        <v>0</v>
      </c>
      <c r="AW15" s="20" t="n">
        <v>0</v>
      </c>
      <c r="AX15" s="20" t="n">
        <v>0</v>
      </c>
      <c r="AY15" s="20" t="n">
        <v>0</v>
      </c>
      <c r="AZ15" s="20" t="n">
        <v>0</v>
      </c>
      <c r="BA15" s="20" t="n">
        <v>0</v>
      </c>
      <c r="BB15" s="20" t="n">
        <v>0</v>
      </c>
      <c r="BC15" s="20" t="n">
        <v>0</v>
      </c>
      <c r="BD15" s="21" t="n"/>
      <c r="BE15" s="20" t="n">
        <v>0</v>
      </c>
      <c r="BF15" s="20" t="n">
        <v>0</v>
      </c>
      <c r="BG15" s="20" t="n">
        <v>0</v>
      </c>
      <c r="BH15" s="20" t="n">
        <v>0</v>
      </c>
      <c r="BI15" s="20" t="n">
        <v>0</v>
      </c>
      <c r="BJ15" s="20" t="n">
        <v>0</v>
      </c>
      <c r="BK15" s="20" t="n">
        <v>0</v>
      </c>
      <c r="BL15" s="20" t="n">
        <v>0</v>
      </c>
      <c r="BM15" s="20" t="n">
        <v>0</v>
      </c>
      <c r="BN15" s="20" t="n">
        <v>0</v>
      </c>
      <c r="BO15" s="20" t="n">
        <v>0</v>
      </c>
      <c r="BP15" s="20" t="n">
        <v>0</v>
      </c>
      <c r="BQ15" s="14" t="inlineStr">
        <is>
          <t>Sim</t>
        </is>
      </c>
      <c r="BR15" s="14" t="inlineStr">
        <is>
          <t>Sim</t>
        </is>
      </c>
      <c r="BS15" s="14" t="inlineStr"/>
      <c r="BT15" s="14" t="inlineStr">
        <is>
          <t>Alta</t>
        </is>
      </c>
      <c r="BU15" s="18" t="inlineStr">
        <is>
          <t>Item: Serviço de linha fixa comutada STFC, UN 1, R$ 300,00. PIS, COFINS, FUST e FUNTTEL informados em R$ 0,00.</t>
        </is>
      </c>
      <c r="BV15" s="18" t="inlineStr">
        <is>
          <t>NOTAS FISCAIS DE COMPRA AGOSTO 2026.pdf - p. 18</t>
        </is>
      </c>
    </row>
    <row r="16">
      <c r="A16" s="14" t="inlineStr">
        <is>
          <t>D015</t>
        </is>
      </c>
      <c r="B16" s="14" t="inlineStr">
        <is>
          <t>19</t>
        </is>
      </c>
      <c r="C16" s="14" t="inlineStr">
        <is>
          <t>NFS-e</t>
        </is>
      </c>
      <c r="D16" s="14" t="inlineStr">
        <is>
          <t>NFS-e Teresina</t>
        </is>
      </c>
      <c r="E16" s="15" t="inlineStr">
        <is>
          <t>19</t>
        </is>
      </c>
      <c r="F16" s="15" t="inlineStr">
        <is>
          <t>U</t>
        </is>
      </c>
      <c r="G16" s="16" t="n">
        <v>46213</v>
      </c>
      <c r="H16" s="14" t="inlineStr">
        <is>
          <t>10:23:48</t>
        </is>
      </c>
      <c r="I16" s="14" t="inlineStr">
        <is>
          <t>07/2026</t>
        </is>
      </c>
      <c r="J16" s="17" t="n"/>
      <c r="K16" s="17" t="n"/>
      <c r="L16" s="15" t="inlineStr">
        <is>
          <t>22110011228399452000107000000000001926070690308050</t>
        </is>
      </c>
      <c r="M16" s="15" t="inlineStr"/>
      <c r="N16" s="15" t="inlineStr">
        <is>
          <t>rMkY8K9KO (transcrição visual)</t>
        </is>
      </c>
      <c r="O16" s="15" t="inlineStr"/>
      <c r="P16" s="15" t="inlineStr"/>
      <c r="Q16" s="18" t="inlineStr">
        <is>
          <t>VALDIR RIBEIRO DE MELO ME</t>
        </is>
      </c>
      <c r="R16" s="14" t="inlineStr"/>
      <c r="S16" s="15" t="inlineStr">
        <is>
          <t>28.399.452/0001-07</t>
        </is>
      </c>
      <c r="T16" s="15" t="inlineStr"/>
      <c r="U16" s="15" t="inlineStr">
        <is>
          <t>490302-1</t>
        </is>
      </c>
      <c r="V16" s="14" t="inlineStr">
        <is>
          <t>Teresina</t>
        </is>
      </c>
      <c r="W16" s="14" t="inlineStr">
        <is>
          <t>PI</t>
        </is>
      </c>
      <c r="X16" s="18" t="inlineStr">
        <is>
          <t>ME ou EPP optante pelo Simples Nacional</t>
        </is>
      </c>
      <c r="Y16" s="18" t="inlineStr">
        <is>
          <t>SKAL ENGENHARIA INDUSTRIA E COMERCIO LTDA.</t>
        </is>
      </c>
      <c r="Z16" s="15" t="inlineStr">
        <is>
          <t>23.655.038/0002-89</t>
        </is>
      </c>
      <c r="AA16" s="15" t="inlineStr"/>
      <c r="AB16" s="15" t="inlineStr">
        <is>
          <t>080315-4</t>
        </is>
      </c>
      <c r="AC16" s="14" t="inlineStr">
        <is>
          <t>Teresina</t>
        </is>
      </c>
      <c r="AD16" s="14" t="inlineStr">
        <is>
          <t>PI</t>
        </is>
      </c>
      <c r="AE16" s="14" t="inlineStr">
        <is>
          <t>SKAL /0002</t>
        </is>
      </c>
      <c r="AF16" s="18" t="inlineStr">
        <is>
          <t>Construção de edifícios / execução de obras</t>
        </is>
      </c>
      <c r="AG16" s="14" t="inlineStr">
        <is>
          <t>Serviços</t>
        </is>
      </c>
      <c r="AH16" s="18" t="inlineStr">
        <is>
          <t>Serviços de construção - galpão oficina</t>
        </is>
      </c>
      <c r="AI16" s="18" t="inlineStr">
        <is>
          <t>Teresina/PI</t>
        </is>
      </c>
      <c r="AJ16" s="15" t="inlineStr"/>
      <c r="AK16" s="15" t="inlineStr">
        <is>
          <t>4120-4/00-01</t>
        </is>
      </c>
      <c r="AL16" s="19" t="inlineStr">
        <is>
          <t>07.02 - execução, por administração, empreitada ou subempreitada de obras...</t>
        </is>
      </c>
      <c r="AM16" s="15" t="inlineStr"/>
      <c r="AN16" s="20" t="n">
        <v>0</v>
      </c>
      <c r="AO16" s="20" t="n">
        <v>3750</v>
      </c>
      <c r="AP16" s="20" t="n">
        <v>0</v>
      </c>
      <c r="AQ16" s="20" t="n">
        <v>0</v>
      </c>
      <c r="AR16" s="20" t="n">
        <v>0</v>
      </c>
      <c r="AS16" s="20" t="n">
        <v>3750</v>
      </c>
      <c r="AT16" s="20" t="n">
        <v>3750</v>
      </c>
      <c r="AU16" s="20" t="n">
        <v>0</v>
      </c>
      <c r="AV16" s="21" t="n"/>
      <c r="AW16" s="20" t="n">
        <v>0</v>
      </c>
      <c r="AX16" s="20" t="n">
        <v>0</v>
      </c>
      <c r="AY16" s="20" t="n">
        <v>0</v>
      </c>
      <c r="AZ16" s="20" t="n">
        <v>0</v>
      </c>
      <c r="BA16" s="20" t="n">
        <v>0</v>
      </c>
      <c r="BB16" s="20" t="n">
        <v>0</v>
      </c>
      <c r="BC16" s="20" t="n">
        <v>3750</v>
      </c>
      <c r="BD16" s="21" t="n"/>
      <c r="BE16" s="32" t="n"/>
      <c r="BF16" s="20" t="n">
        <v>0</v>
      </c>
      <c r="BG16" s="20" t="n">
        <v>0</v>
      </c>
      <c r="BH16" s="20" t="n">
        <v>0</v>
      </c>
      <c r="BI16" s="20" t="n">
        <v>0</v>
      </c>
      <c r="BJ16" s="20" t="n">
        <v>0</v>
      </c>
      <c r="BK16" s="20" t="n">
        <v>0</v>
      </c>
      <c r="BL16" s="20" t="n">
        <v>0</v>
      </c>
      <c r="BM16" s="20" t="n">
        <v>0</v>
      </c>
      <c r="BN16" s="20" t="n">
        <v>0</v>
      </c>
      <c r="BO16" s="20" t="n">
        <v>0</v>
      </c>
      <c r="BP16" s="20" t="n">
        <v>0</v>
      </c>
      <c r="BQ16" s="14" t="inlineStr">
        <is>
          <t>Sim</t>
        </is>
      </c>
      <c r="BR16" s="14" t="inlineStr">
        <is>
          <t>Sim</t>
        </is>
      </c>
      <c r="BS16" s="14" t="inlineStr"/>
      <c r="BT16" s="14" t="inlineStr">
        <is>
          <t>Alta</t>
        </is>
      </c>
      <c r="BU16" s="18" t="inlineStr">
        <is>
          <t>Descrição: SERVIÇOS DE CONSTRUÇÃO. CNO DA OBRA: 90.025.09883/73 (transcrição visual). Anotações manuscritas: “Pg - A vista 20/07” e “Serv. Galpão Oficina”.</t>
        </is>
      </c>
      <c r="BV16" s="18" t="inlineStr">
        <is>
          <t>NOTAS FISCAIS DE COMPRA AGOSTO 2026.pdf - p. 19</t>
        </is>
      </c>
    </row>
    <row r="17">
      <c r="A17" s="14" t="inlineStr">
        <is>
          <t>D016</t>
        </is>
      </c>
      <c r="B17" s="14" t="inlineStr">
        <is>
          <t>20</t>
        </is>
      </c>
      <c r="C17" s="14" t="inlineStr">
        <is>
          <t>NFS-e</t>
        </is>
      </c>
      <c r="D17" s="14" t="inlineStr">
        <is>
          <t>DANFSe v2.0</t>
        </is>
      </c>
      <c r="E17" s="15" t="inlineStr">
        <is>
          <t>29</t>
        </is>
      </c>
      <c r="F17" s="15" t="inlineStr">
        <is>
          <t>70000 (DPS)</t>
        </is>
      </c>
      <c r="G17" s="16" t="n">
        <v>46240</v>
      </c>
      <c r="H17" s="14" t="inlineStr">
        <is>
          <t>15:17:03</t>
        </is>
      </c>
      <c r="I17" s="14" t="inlineStr">
        <is>
          <t>06/08/2026</t>
        </is>
      </c>
      <c r="J17" s="17" t="n"/>
      <c r="K17" s="17" t="n"/>
      <c r="L17" s="15" t="inlineStr">
        <is>
          <t>22110012224870571000145000000000002926085742142938</t>
        </is>
      </c>
      <c r="M17" s="15" t="inlineStr"/>
      <c r="N17" s="15" t="inlineStr"/>
      <c r="O17" s="15" t="inlineStr">
        <is>
          <t>5 (DPS)</t>
        </is>
      </c>
      <c r="P17" s="15" t="inlineStr">
        <is>
          <t>70000</t>
        </is>
      </c>
      <c r="Q17" s="18" t="inlineStr">
        <is>
          <t>24.870.571 JORGE GUILHERME COSTA FERREIRA</t>
        </is>
      </c>
      <c r="R17" s="14" t="inlineStr"/>
      <c r="S17" s="15" t="inlineStr">
        <is>
          <t>24.870.571/0001-45</t>
        </is>
      </c>
      <c r="T17" s="15" t="inlineStr"/>
      <c r="U17" s="15" t="inlineStr"/>
      <c r="V17" s="14" t="inlineStr">
        <is>
          <t>Teresina</t>
        </is>
      </c>
      <c r="W17" s="14" t="inlineStr">
        <is>
          <t>PI</t>
        </is>
      </c>
      <c r="X17" s="18" t="inlineStr">
        <is>
          <t>MEI / Simples Nacional</t>
        </is>
      </c>
      <c r="Y17" s="18" t="inlineStr">
        <is>
          <t>SKAL ENGENHARIA INDUSTRIA E COMERCIO LTDA.</t>
        </is>
      </c>
      <c r="Z17" s="15" t="inlineStr">
        <is>
          <t>23.655.038/0002-89</t>
        </is>
      </c>
      <c r="AA17" s="15" t="inlineStr"/>
      <c r="AB17" s="15" t="inlineStr">
        <is>
          <t>0803154</t>
        </is>
      </c>
      <c r="AC17" s="14" t="inlineStr">
        <is>
          <t>Teresina</t>
        </is>
      </c>
      <c r="AD17" s="14" t="inlineStr">
        <is>
          <t>PI</t>
        </is>
      </c>
      <c r="AE17" s="14" t="inlineStr">
        <is>
          <t>SKAL /0002</t>
        </is>
      </c>
      <c r="AF17" s="18" t="inlineStr">
        <is>
          <t>Assessoria / gerenciamento financeiro</t>
        </is>
      </c>
      <c r="AG17" s="14" t="inlineStr">
        <is>
          <t>Serviços</t>
        </is>
      </c>
      <c r="AH17" s="18" t="inlineStr">
        <is>
          <t>Gerenciamento financeiro</t>
        </is>
      </c>
      <c r="AI17" s="18" t="inlineStr">
        <is>
          <t>Teresina/PI</t>
        </is>
      </c>
      <c r="AJ17" s="15" t="inlineStr"/>
      <c r="AK17" s="15" t="inlineStr"/>
      <c r="AL17" s="19" t="inlineStr">
        <is>
          <t>17.23.01 - assessoria, análise, avaliação, atendimento, consulta, cadastro, seleção, gerenciamento de informações...</t>
        </is>
      </c>
      <c r="AM17" s="15" t="inlineStr"/>
      <c r="AN17" s="20" t="n">
        <v>0</v>
      </c>
      <c r="AO17" s="20" t="n">
        <v>7000</v>
      </c>
      <c r="AP17" s="20" t="n">
        <v>0</v>
      </c>
      <c r="AQ17" s="20" t="n">
        <v>0</v>
      </c>
      <c r="AR17" s="20" t="n">
        <v>0</v>
      </c>
      <c r="AS17" s="20" t="n">
        <v>7000</v>
      </c>
      <c r="AT17" s="20" t="n">
        <v>7000</v>
      </c>
      <c r="AU17" s="20" t="n">
        <v>0</v>
      </c>
      <c r="AV17" s="21" t="n"/>
      <c r="AW17" s="20" t="n">
        <v>0</v>
      </c>
      <c r="AX17" s="20" t="n">
        <v>0</v>
      </c>
      <c r="AY17" s="20" t="n">
        <v>0</v>
      </c>
      <c r="AZ17" s="20" t="n">
        <v>0</v>
      </c>
      <c r="BA17" s="32" t="n"/>
      <c r="BB17" s="32" t="n"/>
      <c r="BC17" s="32" t="n"/>
      <c r="BD17" s="21" t="n"/>
      <c r="BE17" s="32" t="n"/>
      <c r="BF17" s="20" t="n">
        <v>0</v>
      </c>
      <c r="BG17" s="20" t="n">
        <v>0</v>
      </c>
      <c r="BH17" s="20" t="n">
        <v>0</v>
      </c>
      <c r="BI17" s="20" t="n">
        <v>0</v>
      </c>
      <c r="BJ17" s="20" t="n">
        <v>0</v>
      </c>
      <c r="BK17" s="20" t="n">
        <v>0</v>
      </c>
      <c r="BL17" s="20" t="n">
        <v>0</v>
      </c>
      <c r="BM17" s="20" t="n">
        <v>0</v>
      </c>
      <c r="BN17" s="20" t="n">
        <v>0</v>
      </c>
      <c r="BO17" s="20" t="n">
        <v>0</v>
      </c>
      <c r="BP17" s="20" t="n">
        <v>0</v>
      </c>
      <c r="BQ17" s="14" t="inlineStr">
        <is>
          <t>Sim</t>
        </is>
      </c>
      <c r="BR17" s="14" t="inlineStr">
        <is>
          <t>Sim</t>
        </is>
      </c>
      <c r="BS17" s="14" t="inlineStr"/>
      <c r="BT17" s="14" t="inlineStr">
        <is>
          <t>Alta</t>
        </is>
      </c>
      <c r="BU17" s="18" t="inlineStr">
        <is>
          <t>Descrição do serviço: Gerenciamento Financeiro. Total IBS/CBS informado R$ 0,00.</t>
        </is>
      </c>
      <c r="BV17" s="18" t="inlineStr">
        <is>
          <t>NOTAS FISCAIS DE COMPRA AGOSTO 2026.pdf - p. 20</t>
        </is>
      </c>
    </row>
    <row r="18">
      <c r="A18" s="14" t="inlineStr">
        <is>
          <t>D017</t>
        </is>
      </c>
      <c r="B18" s="14" t="inlineStr">
        <is>
          <t>21</t>
        </is>
      </c>
      <c r="C18" s="14" t="inlineStr">
        <is>
          <t>NF-e</t>
        </is>
      </c>
      <c r="D18" s="14" t="inlineStr">
        <is>
          <t>55</t>
        </is>
      </c>
      <c r="E18" s="15" t="inlineStr">
        <is>
          <t>0557009</t>
        </is>
      </c>
      <c r="F18" s="15" t="inlineStr">
        <is>
          <t>1</t>
        </is>
      </c>
      <c r="G18" s="16" t="n">
        <v>46237</v>
      </c>
      <c r="H18" s="14" t="inlineStr">
        <is>
          <t>14:41</t>
        </is>
      </c>
      <c r="I18" s="14" t="inlineStr"/>
      <c r="J18" s="17" t="n"/>
      <c r="K18" s="16" t="n">
        <v>46265</v>
      </c>
      <c r="L18" s="15" t="inlineStr">
        <is>
          <t>23260810260249000351550010005570091700361218</t>
        </is>
      </c>
      <c r="M18" s="15" t="inlineStr">
        <is>
          <t>03/08/2026 14:41:10</t>
        </is>
      </c>
      <c r="N18" s="15" t="inlineStr"/>
      <c r="O18" s="15" t="inlineStr"/>
      <c r="P18" s="15" t="inlineStr"/>
      <c r="Q18" s="18" t="inlineStr">
        <is>
          <t>COMPANHIA INDUSTRIAL DE CIMENTO APODI</t>
        </is>
      </c>
      <c r="R18" s="14" t="inlineStr">
        <is>
          <t>Apodi</t>
        </is>
      </c>
      <c r="S18" s="15" t="inlineStr">
        <is>
          <t>10.260.249/0003-51</t>
        </is>
      </c>
      <c r="T18" s="15" t="inlineStr">
        <is>
          <t>064204839</t>
        </is>
      </c>
      <c r="U18" s="15" t="inlineStr"/>
      <c r="V18" s="14" t="inlineStr">
        <is>
          <t>Quixeré</t>
        </is>
      </c>
      <c r="W18" s="14" t="inlineStr">
        <is>
          <t>CE</t>
        </is>
      </c>
      <c r="X18" s="18" t="inlineStr"/>
      <c r="Y18" s="18" t="inlineStr">
        <is>
          <t>SKAL ENGENHARIA INDUSTRIA E COMERCIO LTDA.</t>
        </is>
      </c>
      <c r="Z18" s="15" t="inlineStr">
        <is>
          <t>23.655.038/0002-89</t>
        </is>
      </c>
      <c r="AA18" s="15" t="inlineStr">
        <is>
          <t>194446298</t>
        </is>
      </c>
      <c r="AB18" s="15" t="inlineStr"/>
      <c r="AC18" s="14" t="inlineStr">
        <is>
          <t>Teresina</t>
        </is>
      </c>
      <c r="AD18" s="14" t="inlineStr">
        <is>
          <t>PI</t>
        </is>
      </c>
      <c r="AE18" s="14" t="inlineStr">
        <is>
          <t>SKAL /0002</t>
        </is>
      </c>
      <c r="AF18" s="18" t="inlineStr">
        <is>
          <t>VENDA DE PRODUÇÃO DO ESTABELECIMENTO.</t>
        </is>
      </c>
      <c r="AG18" s="14" t="inlineStr">
        <is>
          <t>Produtos</t>
        </is>
      </c>
      <c r="AH18" s="18" t="inlineStr">
        <is>
          <t>Matéria-prima - cimento</t>
        </is>
      </c>
      <c r="AI18" s="18" t="inlineStr"/>
      <c r="AJ18" s="15" t="inlineStr">
        <is>
          <t>6101</t>
        </is>
      </c>
      <c r="AK18" s="15" t="inlineStr"/>
      <c r="AL18" s="19" t="inlineStr"/>
      <c r="AM18" s="15" t="inlineStr"/>
      <c r="AN18" s="20" t="n">
        <v>19230.4</v>
      </c>
      <c r="AO18" s="20" t="n">
        <v>0</v>
      </c>
      <c r="AP18" s="20" t="n">
        <v>0</v>
      </c>
      <c r="AQ18" s="20" t="n">
        <v>0</v>
      </c>
      <c r="AR18" s="20" t="n">
        <v>0</v>
      </c>
      <c r="AS18" s="20" t="n">
        <v>19230.4</v>
      </c>
      <c r="AT18" s="20" t="n">
        <v>19230.4</v>
      </c>
      <c r="AU18" s="20" t="n">
        <v>19230.4</v>
      </c>
      <c r="AV18" s="22" t="n">
        <v>0.12</v>
      </c>
      <c r="AW18" s="20" t="n">
        <v>2307.65</v>
      </c>
      <c r="AX18" s="20" t="n">
        <v>0</v>
      </c>
      <c r="AY18" s="20" t="n">
        <v>0</v>
      </c>
      <c r="AZ18" s="20" t="n">
        <v>0</v>
      </c>
      <c r="BA18" s="32" t="n"/>
      <c r="BB18" s="32" t="n"/>
      <c r="BC18" s="20" t="n">
        <v>0</v>
      </c>
      <c r="BD18" s="21" t="n"/>
      <c r="BE18" s="20" t="n">
        <v>0</v>
      </c>
      <c r="BF18" s="20" t="n">
        <v>0</v>
      </c>
      <c r="BG18" s="20" t="n">
        <v>0</v>
      </c>
      <c r="BH18" s="20" t="n">
        <v>0</v>
      </c>
      <c r="BI18" s="20" t="n">
        <v>0</v>
      </c>
      <c r="BJ18" s="20" t="n">
        <v>0</v>
      </c>
      <c r="BK18" s="20" t="n">
        <v>0</v>
      </c>
      <c r="BL18" s="20" t="n">
        <v>0</v>
      </c>
      <c r="BM18" s="20" t="n">
        <v>0</v>
      </c>
      <c r="BN18" s="20" t="n">
        <v>0</v>
      </c>
      <c r="BO18" s="20" t="n">
        <v>0</v>
      </c>
      <c r="BP18" s="20" t="n">
        <v>0</v>
      </c>
      <c r="BQ18" s="14" t="inlineStr">
        <is>
          <t>Sim</t>
        </is>
      </c>
      <c r="BR18" s="14" t="inlineStr">
        <is>
          <t>Sim</t>
        </is>
      </c>
      <c r="BS18" s="14" t="inlineStr"/>
      <c r="BT18" s="14" t="inlineStr">
        <is>
          <t>Alta</t>
        </is>
      </c>
      <c r="BU18" s="18" t="inlineStr">
        <is>
          <t>Duas linhas do mesmo produto: 0,08 t (R$ 40,40; ICMS R$ 4,85) + 38,00 t (R$ 19.190,00; ICMS R$ 2.302,80), total 38,08 t. Placa GEW0A54/RN. Ticket entrada 03/08/2026 13:30, saída 14:35, peso líquido 38.080 kg.</t>
        </is>
      </c>
      <c r="BV18" s="18" t="inlineStr">
        <is>
          <t>NOTAS FISCAIS DE COMPRA AGOSTO 2026.pdf - p. 21</t>
        </is>
      </c>
    </row>
    <row r="19">
      <c r="A19" s="14" t="inlineStr">
        <is>
          <t>D018</t>
        </is>
      </c>
      <c r="B19" s="14" t="inlineStr">
        <is>
          <t>22</t>
        </is>
      </c>
      <c r="C19" s="14" t="inlineStr">
        <is>
          <t>NF-e</t>
        </is>
      </c>
      <c r="D19" s="14" t="inlineStr">
        <is>
          <t>55</t>
        </is>
      </c>
      <c r="E19" s="15" t="inlineStr">
        <is>
          <t>000.004.462</t>
        </is>
      </c>
      <c r="F19" s="15" t="inlineStr">
        <is>
          <t>001</t>
        </is>
      </c>
      <c r="G19" s="16" t="n">
        <v>46236</v>
      </c>
      <c r="H19" s="14" t="inlineStr"/>
      <c r="I19" s="14" t="inlineStr"/>
      <c r="J19" s="17" t="n"/>
      <c r="K19" s="16" t="n">
        <v>46266</v>
      </c>
      <c r="L19" s="15" t="inlineStr">
        <is>
          <t>23260807776339000204550010000044621468157531</t>
        </is>
      </c>
      <c r="M19" s="15" t="inlineStr">
        <is>
          <t>223260081915180 - 02/08/2026 07:40:49</t>
        </is>
      </c>
      <c r="N19" s="15" t="inlineStr"/>
      <c r="O19" s="15" t="inlineStr"/>
      <c r="P19" s="15" t="inlineStr"/>
      <c r="Q19" s="18" t="inlineStr">
        <is>
          <t>CALCARIO CANTA GALO EXTRACAO E COMERCIO DE CALCARIO LTDA</t>
        </is>
      </c>
      <c r="R19" s="14" t="inlineStr">
        <is>
          <t>Canta Galo</t>
        </is>
      </c>
      <c r="S19" s="15" t="inlineStr">
        <is>
          <t>07.776.339/0002-04</t>
        </is>
      </c>
      <c r="T19" s="15" t="inlineStr"/>
      <c r="U19" s="15" t="inlineStr"/>
      <c r="V19" s="14" t="inlineStr">
        <is>
          <t>Acarape</t>
        </is>
      </c>
      <c r="W19" s="14" t="inlineStr">
        <is>
          <t>CE</t>
        </is>
      </c>
      <c r="X19" s="18" t="inlineStr"/>
      <c r="Y19" s="18" t="inlineStr">
        <is>
          <t>SKAL ENGENHARIA INDUSTRIA E COMERCIO LTDA</t>
        </is>
      </c>
      <c r="Z19" s="15" t="inlineStr">
        <is>
          <t>23.655.038/0002-89</t>
        </is>
      </c>
      <c r="AA19" s="15" t="inlineStr">
        <is>
          <t>194446298</t>
        </is>
      </c>
      <c r="AB19" s="15" t="inlineStr"/>
      <c r="AC19" s="14" t="inlineStr">
        <is>
          <t>Teresina</t>
        </is>
      </c>
      <c r="AD19" s="14" t="inlineStr">
        <is>
          <t>PI</t>
        </is>
      </c>
      <c r="AE19" s="14" t="inlineStr">
        <is>
          <t>SKAL /0002</t>
        </is>
      </c>
      <c r="AF19" s="18" t="inlineStr">
        <is>
          <t>VENDA DE PRODUÇÃO DO ESTABELECIMENTO</t>
        </is>
      </c>
      <c r="AG19" s="14" t="inlineStr">
        <is>
          <t>Produtos</t>
        </is>
      </c>
      <c r="AH19" s="18" t="inlineStr">
        <is>
          <t>Matéria-prima - calcário dolomítico</t>
        </is>
      </c>
      <c r="AI19" s="18" t="inlineStr"/>
      <c r="AJ19" s="15" t="inlineStr">
        <is>
          <t>6101</t>
        </is>
      </c>
      <c r="AK19" s="15" t="inlineStr"/>
      <c r="AL19" s="19" t="inlineStr"/>
      <c r="AM19" s="15" t="inlineStr"/>
      <c r="AN19" s="20" t="n">
        <v>4035</v>
      </c>
      <c r="AO19" s="20" t="n">
        <v>0</v>
      </c>
      <c r="AP19" s="20" t="n">
        <v>0</v>
      </c>
      <c r="AQ19" s="20" t="n">
        <v>0</v>
      </c>
      <c r="AR19" s="20" t="n">
        <v>0</v>
      </c>
      <c r="AS19" s="20" t="n">
        <v>4035</v>
      </c>
      <c r="AT19" s="20" t="n">
        <v>4035</v>
      </c>
      <c r="AU19" s="20" t="n">
        <v>1781.86</v>
      </c>
      <c r="AV19" s="22" t="n">
        <v>0.12</v>
      </c>
      <c r="AW19" s="20" t="n">
        <v>213.82</v>
      </c>
      <c r="AX19" s="20" t="n">
        <v>0</v>
      </c>
      <c r="AY19" s="20" t="n">
        <v>0</v>
      </c>
      <c r="AZ19" s="20" t="n">
        <v>0</v>
      </c>
      <c r="BA19" s="32" t="n"/>
      <c r="BB19" s="32" t="n"/>
      <c r="BC19" s="20" t="n">
        <v>0</v>
      </c>
      <c r="BD19" s="21" t="n"/>
      <c r="BE19" s="20" t="n">
        <v>0</v>
      </c>
      <c r="BF19" s="20" t="n">
        <v>0</v>
      </c>
      <c r="BG19" s="20" t="n">
        <v>0</v>
      </c>
      <c r="BH19" s="20" t="n">
        <v>0</v>
      </c>
      <c r="BI19" s="20" t="n">
        <v>0</v>
      </c>
      <c r="BJ19" s="20" t="n">
        <v>0</v>
      </c>
      <c r="BK19" s="20" t="n">
        <v>0</v>
      </c>
      <c r="BL19" s="20" t="n">
        <v>0</v>
      </c>
      <c r="BM19" s="20" t="n">
        <v>0</v>
      </c>
      <c r="BN19" s="20" t="n">
        <v>0</v>
      </c>
      <c r="BO19" s="20" t="n">
        <v>0</v>
      </c>
      <c r="BP19" s="20" t="n">
        <v>0</v>
      </c>
      <c r="BQ19" s="14" t="inlineStr">
        <is>
          <t>Sim</t>
        </is>
      </c>
      <c r="BR19" s="14" t="inlineStr">
        <is>
          <t>Sim</t>
        </is>
      </c>
      <c r="BS19" s="14" t="inlineStr"/>
      <c r="BT19" s="14" t="inlineStr">
        <is>
          <t>Alta</t>
        </is>
      </c>
      <c r="BU19" s="18" t="inlineStr">
        <is>
          <t>Produto código 10: CALCARIO DOLOMITICO #170 (SACOS 25 KG), NCM 25181000, CST 020, 15,000 t a R$ 269,0000/t. Peso líquido 15.000 kg. Informação adicional menciona Regime Especial de Tributação RET - N.AA 00363/2025 e carga tributária reduzida de ICMS, conforme texto impresso.</t>
        </is>
      </c>
      <c r="BV19" s="18" t="inlineStr">
        <is>
          <t>NOTAS FISCAIS DE COMPRA AGOSTO 2026.pdf - p. 22</t>
        </is>
      </c>
    </row>
    <row r="20">
      <c r="A20" s="14" t="inlineStr">
        <is>
          <t>D019</t>
        </is>
      </c>
      <c r="B20" s="14" t="inlineStr">
        <is>
          <t>23</t>
        </is>
      </c>
      <c r="C20" s="14" t="inlineStr">
        <is>
          <t>CT-e</t>
        </is>
      </c>
      <c r="D20" s="14" t="inlineStr">
        <is>
          <t>57</t>
        </is>
      </c>
      <c r="E20" s="15" t="inlineStr">
        <is>
          <t>839</t>
        </is>
      </c>
      <c r="F20" s="15" t="inlineStr">
        <is>
          <t>1</t>
        </is>
      </c>
      <c r="G20" s="16" t="n">
        <v>46237</v>
      </c>
      <c r="H20" s="14" t="inlineStr">
        <is>
          <t>15:00:21</t>
        </is>
      </c>
      <c r="I20" s="14" t="inlineStr"/>
      <c r="J20" s="17" t="n"/>
      <c r="K20" s="17" t="n"/>
      <c r="L20" s="15" t="inlineStr">
        <is>
          <t>23260842709787000377570010000839101000000002</t>
        </is>
      </c>
      <c r="M20" s="15" t="inlineStr">
        <is>
          <t>323260108237776 - 03/08/2026 15:04:28 GMT-03:00</t>
        </is>
      </c>
      <c r="N20" s="15" t="inlineStr"/>
      <c r="O20" s="15" t="inlineStr"/>
      <c r="P20" s="15" t="inlineStr"/>
      <c r="Q20" s="18" t="inlineStr">
        <is>
          <t>F G INTELIGENCIA EM LOGISTICA LTDA</t>
        </is>
      </c>
      <c r="R20" s="14" t="inlineStr">
        <is>
          <t>FG Transportes</t>
        </is>
      </c>
      <c r="S20" s="15" t="inlineStr">
        <is>
          <t>42.709.787/0003-77</t>
        </is>
      </c>
      <c r="T20" s="15" t="inlineStr">
        <is>
          <t>072061073</t>
        </is>
      </c>
      <c r="U20" s="15" t="inlineStr"/>
      <c r="V20" s="14" t="inlineStr">
        <is>
          <t>Aracati</t>
        </is>
      </c>
      <c r="W20" s="14" t="inlineStr">
        <is>
          <t>CE</t>
        </is>
      </c>
      <c r="X20" s="18" t="inlineStr"/>
      <c r="Y20" s="18" t="inlineStr">
        <is>
          <t>SKAL ENGENHARIA INDUSTRIA E COMERCIO LTDA.</t>
        </is>
      </c>
      <c r="Z20" s="15" t="inlineStr">
        <is>
          <t>23.655.038/0002-89</t>
        </is>
      </c>
      <c r="AA20" s="15" t="inlineStr">
        <is>
          <t>194446298</t>
        </is>
      </c>
      <c r="AB20" s="15" t="inlineStr"/>
      <c r="AC20" s="14" t="inlineStr">
        <is>
          <t>Teresina</t>
        </is>
      </c>
      <c r="AD20" s="14" t="inlineStr">
        <is>
          <t>PI</t>
        </is>
      </c>
      <c r="AE20" s="14" t="inlineStr">
        <is>
          <t>SKAL /0002</t>
        </is>
      </c>
      <c r="AF20" s="18" t="inlineStr">
        <is>
          <t>Prestação de serviço de transporte a estabelecimento comercial</t>
        </is>
      </c>
      <c r="AG20" s="14" t="inlineStr">
        <is>
          <t>Fretes</t>
        </is>
      </c>
      <c r="AH20" s="18" t="inlineStr">
        <is>
          <t>Frete de cimento Apodi</t>
        </is>
      </c>
      <c r="AI20" s="18" t="inlineStr">
        <is>
          <t>Quixeré/CE → Teresina/PI</t>
        </is>
      </c>
      <c r="AJ20" s="15" t="inlineStr">
        <is>
          <t>6353</t>
        </is>
      </c>
      <c r="AK20" s="15" t="inlineStr"/>
      <c r="AL20" s="19" t="inlineStr"/>
      <c r="AM20" s="15" t="inlineStr"/>
      <c r="AN20" s="20" t="n">
        <v>0</v>
      </c>
      <c r="AO20" s="20" t="n">
        <v>0</v>
      </c>
      <c r="AP20" s="20" t="n">
        <v>12566.4</v>
      </c>
      <c r="AQ20" s="20" t="n">
        <v>0</v>
      </c>
      <c r="AR20" s="20" t="n">
        <v>0</v>
      </c>
      <c r="AS20" s="20" t="n">
        <v>12566.4</v>
      </c>
      <c r="AT20" s="20" t="n">
        <v>12566.4</v>
      </c>
      <c r="AU20" s="20" t="n">
        <v>12566.4</v>
      </c>
      <c r="AV20" s="22" t="n">
        <v>0.12</v>
      </c>
      <c r="AW20" s="20" t="n">
        <v>1507.97</v>
      </c>
      <c r="AX20" s="20" t="n">
        <v>0</v>
      </c>
      <c r="AY20" s="20" t="n">
        <v>0</v>
      </c>
      <c r="AZ20" s="20" t="n">
        <v>0</v>
      </c>
      <c r="BA20" s="32" t="n"/>
      <c r="BB20" s="32" t="n"/>
      <c r="BC20" s="20" t="n">
        <v>0</v>
      </c>
      <c r="BD20" s="21" t="n"/>
      <c r="BE20" s="20" t="n">
        <v>0</v>
      </c>
      <c r="BF20" s="20" t="n">
        <v>0</v>
      </c>
      <c r="BG20" s="20" t="n">
        <v>0</v>
      </c>
      <c r="BH20" s="20" t="n">
        <v>0</v>
      </c>
      <c r="BI20" s="20" t="n">
        <v>0</v>
      </c>
      <c r="BJ20" s="20" t="n">
        <v>0</v>
      </c>
      <c r="BK20" s="20" t="n">
        <v>0</v>
      </c>
      <c r="BL20" s="20" t="n">
        <v>0</v>
      </c>
      <c r="BM20" s="20" t="n">
        <v>0</v>
      </c>
      <c r="BN20" s="20" t="n">
        <v>0</v>
      </c>
      <c r="BO20" s="20" t="n">
        <v>0</v>
      </c>
      <c r="BP20" s="20" t="n">
        <v>0</v>
      </c>
      <c r="BQ20" s="14" t="inlineStr">
        <is>
          <t>Sim</t>
        </is>
      </c>
      <c r="BR20" s="14" t="inlineStr">
        <is>
          <t>Sim</t>
        </is>
      </c>
      <c r="BS20" s="14" t="inlineStr"/>
      <c r="BT20" s="14" t="inlineStr">
        <is>
          <t>Alta</t>
        </is>
      </c>
      <c r="BU20" s="18" t="inlineStr">
        <is>
          <t>Remetente: Companhia Industrial de Cimento Apodi. Produto predominante: CIMENTO PORTLAND - CP V ARI. Peso bruto/líquido 38.080 kg. Valor da mercadoria R$ 19.230,40. NF-e relacionada 001/000557009. Frete peso R$ 12.566,40.</t>
        </is>
      </c>
      <c r="BV20" s="18" t="inlineStr">
        <is>
          <t>NOTAS FISCAIS DE COMPRA AGOSTO 2026.pdf - p. 23</t>
        </is>
      </c>
    </row>
    <row r="21">
      <c r="A21" s="14" t="inlineStr">
        <is>
          <t>D020</t>
        </is>
      </c>
      <c r="B21" s="14" t="inlineStr">
        <is>
          <t>24</t>
        </is>
      </c>
      <c r="C21" s="14" t="inlineStr">
        <is>
          <t>NFS-e</t>
        </is>
      </c>
      <c r="D21" s="14" t="inlineStr">
        <is>
          <t>NFS-e Teresina</t>
        </is>
      </c>
      <c r="E21" s="15" t="inlineStr">
        <is>
          <t>4591</t>
        </is>
      </c>
      <c r="F21" s="15" t="inlineStr">
        <is>
          <t>U</t>
        </is>
      </c>
      <c r="G21" s="16" t="n">
        <v>46237</v>
      </c>
      <c r="H21" s="14" t="inlineStr">
        <is>
          <t>16:19:53</t>
        </is>
      </c>
      <c r="I21" s="14" t="inlineStr">
        <is>
          <t>08/2026</t>
        </is>
      </c>
      <c r="J21" s="17" t="n"/>
      <c r="K21" s="17" t="n"/>
      <c r="L21" s="15" t="inlineStr"/>
      <c r="M21" s="15" t="inlineStr"/>
      <c r="N21" s="15" t="inlineStr">
        <is>
          <t>KJ4fY1KVe</t>
        </is>
      </c>
      <c r="O21" s="15" t="inlineStr"/>
      <c r="P21" s="15" t="inlineStr"/>
      <c r="Q21" s="18" t="inlineStr">
        <is>
          <t>K F DA S B LEMOS - ME</t>
        </is>
      </c>
      <c r="R21" s="14" t="inlineStr"/>
      <c r="S21" s="15" t="inlineStr">
        <is>
          <t>08.877.746/0001-90</t>
        </is>
      </c>
      <c r="T21" s="15" t="inlineStr"/>
      <c r="U21" s="15" t="inlineStr">
        <is>
          <t>097610-5</t>
        </is>
      </c>
      <c r="V21" s="14" t="inlineStr">
        <is>
          <t>Teresina</t>
        </is>
      </c>
      <c r="W21" s="14" t="inlineStr">
        <is>
          <t>PI</t>
        </is>
      </c>
      <c r="X21" s="18" t="inlineStr">
        <is>
          <t>ME ou EPP optante pelo Simples Nacional</t>
        </is>
      </c>
      <c r="Y21" s="18" t="inlineStr">
        <is>
          <t>SKAL ENGENHARIA INDUSTRIA E COMERCIO LTDA.</t>
        </is>
      </c>
      <c r="Z21" s="15" t="inlineStr">
        <is>
          <t>23.655.038/0002-89</t>
        </is>
      </c>
      <c r="AA21" s="15" t="inlineStr"/>
      <c r="AB21" s="15" t="inlineStr">
        <is>
          <t>080315-4</t>
        </is>
      </c>
      <c r="AC21" s="14" t="inlineStr">
        <is>
          <t>Teresina</t>
        </is>
      </c>
      <c r="AD21" s="14" t="inlineStr">
        <is>
          <t>PI</t>
        </is>
      </c>
      <c r="AE21" s="14" t="inlineStr">
        <is>
          <t>SKAL /0002</t>
        </is>
      </c>
      <c r="AF21" s="18" t="inlineStr">
        <is>
          <t>Monitoramento de sistemas de segurança eletrônico</t>
        </is>
      </c>
      <c r="AG21" s="14" t="inlineStr">
        <is>
          <t>Serviços</t>
        </is>
      </c>
      <c r="AH21" s="18" t="inlineStr">
        <is>
          <t>Monitoramento e locação de materiais</t>
        </is>
      </c>
      <c r="AI21" s="18" t="inlineStr">
        <is>
          <t>Teresina/PI</t>
        </is>
      </c>
      <c r="AJ21" s="15" t="inlineStr"/>
      <c r="AK21" s="15" t="inlineStr">
        <is>
          <t>8020-0/01-01</t>
        </is>
      </c>
      <c r="AL21" s="19" t="inlineStr">
        <is>
          <t>11.02 - VIGILÂNCIA, SEGURANÇA OU MONITORAMENTO DE BENS, PESSOAS E SEMOVENTES</t>
        </is>
      </c>
      <c r="AM21" s="15" t="inlineStr"/>
      <c r="AN21" s="20" t="n">
        <v>0</v>
      </c>
      <c r="AO21" s="20" t="n">
        <v>756.27</v>
      </c>
      <c r="AP21" s="20" t="n">
        <v>0</v>
      </c>
      <c r="AQ21" s="20" t="n">
        <v>0</v>
      </c>
      <c r="AR21" s="20" t="n">
        <v>0</v>
      </c>
      <c r="AS21" s="20" t="n">
        <v>756.27</v>
      </c>
      <c r="AT21" s="20" t="n">
        <v>756.27</v>
      </c>
      <c r="AU21" s="20" t="n">
        <v>0</v>
      </c>
      <c r="AV21" s="21" t="n"/>
      <c r="AW21" s="20" t="n">
        <v>0</v>
      </c>
      <c r="AX21" s="20" t="n">
        <v>0</v>
      </c>
      <c r="AY21" s="20" t="n">
        <v>0</v>
      </c>
      <c r="AZ21" s="20" t="n">
        <v>0</v>
      </c>
      <c r="BA21" s="20" t="n">
        <v>0</v>
      </c>
      <c r="BB21" s="20" t="n">
        <v>0</v>
      </c>
      <c r="BC21" s="20" t="n">
        <v>756.27</v>
      </c>
      <c r="BD21" s="21" t="n"/>
      <c r="BE21" s="32" t="n"/>
      <c r="BF21" s="20" t="n">
        <v>0</v>
      </c>
      <c r="BG21" s="20" t="n">
        <v>0</v>
      </c>
      <c r="BH21" s="20" t="n">
        <v>0</v>
      </c>
      <c r="BI21" s="20" t="n">
        <v>0</v>
      </c>
      <c r="BJ21" s="20" t="n">
        <v>0</v>
      </c>
      <c r="BK21" s="20" t="n">
        <v>0</v>
      </c>
      <c r="BL21" s="20" t="n">
        <v>0</v>
      </c>
      <c r="BM21" s="20" t="n">
        <v>0</v>
      </c>
      <c r="BN21" s="20" t="n">
        <v>0</v>
      </c>
      <c r="BO21" s="20" t="n">
        <v>0</v>
      </c>
      <c r="BP21" s="20" t="n">
        <v>0</v>
      </c>
      <c r="BQ21" s="14" t="inlineStr">
        <is>
          <t>Sim</t>
        </is>
      </c>
      <c r="BR21" s="14" t="inlineStr">
        <is>
          <t>Sim</t>
        </is>
      </c>
      <c r="BS21" s="14" t="inlineStr"/>
      <c r="BT21" s="14" t="inlineStr">
        <is>
          <t>Alta</t>
        </is>
      </c>
      <c r="BU21" s="18" t="inlineStr">
        <is>
          <t>Descrição: Serviço de Monitoramento mês 07/2026 - R$ 484,80; Locação de Materiais 01 - R$ 271,47.</t>
        </is>
      </c>
      <c r="BV21" s="18" t="inlineStr">
        <is>
          <t>NOTAS FISCAIS DE COMPRA AGOSTO 2026.pdf - p. 24</t>
        </is>
      </c>
    </row>
    <row r="22">
      <c r="A22" s="14" t="inlineStr">
        <is>
          <t>D021</t>
        </is>
      </c>
      <c r="B22" s="14" t="inlineStr">
        <is>
          <t>25</t>
        </is>
      </c>
      <c r="C22" s="14" t="inlineStr">
        <is>
          <t>NFS-e</t>
        </is>
      </c>
      <c r="D22" s="14" t="inlineStr">
        <is>
          <t>DANFSe v1.0</t>
        </is>
      </c>
      <c r="E22" s="15" t="inlineStr">
        <is>
          <t>41</t>
        </is>
      </c>
      <c r="F22" s="15" t="inlineStr">
        <is>
          <t>50002 (DPS)</t>
        </is>
      </c>
      <c r="G22" s="16" t="n">
        <v>46237</v>
      </c>
      <c r="H22" s="14" t="inlineStr">
        <is>
          <t>10:44:29</t>
        </is>
      </c>
      <c r="I22" s="14" t="inlineStr">
        <is>
          <t>03/08/2026</t>
        </is>
      </c>
      <c r="J22" s="17" t="n"/>
      <c r="K22" s="17" t="n"/>
      <c r="L22" s="15" t="inlineStr">
        <is>
          <t>22110012248714053000109000000000004126087279544455</t>
        </is>
      </c>
      <c r="M22" s="15" t="inlineStr"/>
      <c r="N22" s="15" t="inlineStr"/>
      <c r="O22" s="15" t="inlineStr">
        <is>
          <t>4 (DPS)</t>
        </is>
      </c>
      <c r="P22" s="15" t="inlineStr">
        <is>
          <t>50002</t>
        </is>
      </c>
      <c r="Q22" s="18" t="inlineStr">
        <is>
          <t>48.714.053 MOACIR GONCALVES PALMEIRA JUNIOR</t>
        </is>
      </c>
      <c r="R22" s="14" t="inlineStr"/>
      <c r="S22" s="15" t="inlineStr">
        <is>
          <t>48.714.053/0001-09</t>
        </is>
      </c>
      <c r="T22" s="15" t="inlineStr"/>
      <c r="U22" s="15" t="inlineStr"/>
      <c r="V22" s="14" t="inlineStr">
        <is>
          <t>Teresina</t>
        </is>
      </c>
      <c r="W22" s="14" t="inlineStr">
        <is>
          <t>PI</t>
        </is>
      </c>
      <c r="X22" s="18" t="inlineStr">
        <is>
          <t>MEI / Simples Nacional</t>
        </is>
      </c>
      <c r="Y22" s="18" t="inlineStr">
        <is>
          <t>SKAL ENGENHARIA INDUSTRIA E COMERCIO LTDA.</t>
        </is>
      </c>
      <c r="Z22" s="15" t="inlineStr">
        <is>
          <t>23.655.038/0002-89</t>
        </is>
      </c>
      <c r="AA22" s="15" t="inlineStr"/>
      <c r="AB22" s="15" t="inlineStr"/>
      <c r="AC22" s="14" t="inlineStr">
        <is>
          <t>Teresina</t>
        </is>
      </c>
      <c r="AD22" s="14" t="inlineStr">
        <is>
          <t>PI</t>
        </is>
      </c>
      <c r="AE22" s="14" t="inlineStr">
        <is>
          <t>SKAL /0002</t>
        </is>
      </c>
      <c r="AF22" s="18" t="inlineStr">
        <is>
          <t>Suporte técnico em informática</t>
        </is>
      </c>
      <c r="AG22" s="14" t="inlineStr">
        <is>
          <t>Serviços</t>
        </is>
      </c>
      <c r="AH22" s="18" t="inlineStr">
        <is>
          <t>TI / manutenção / análise de dados / rede</t>
        </is>
      </c>
      <c r="AI22" s="18" t="inlineStr">
        <is>
          <t>Teresina/PI</t>
        </is>
      </c>
      <c r="AJ22" s="15" t="inlineStr"/>
      <c r="AK22" s="15" t="inlineStr"/>
      <c r="AL22" s="19" t="inlineStr">
        <is>
          <t>01.07.01 - Suporte técnico em informática, inclusive instalação...</t>
        </is>
      </c>
      <c r="AM22" s="15" t="inlineStr">
        <is>
          <t>120012000</t>
        </is>
      </c>
      <c r="AN22" s="20" t="n">
        <v>0</v>
      </c>
      <c r="AO22" s="20" t="n">
        <v>3681</v>
      </c>
      <c r="AP22" s="20" t="n">
        <v>0</v>
      </c>
      <c r="AQ22" s="20" t="n">
        <v>0</v>
      </c>
      <c r="AR22" s="20" t="n">
        <v>0</v>
      </c>
      <c r="AS22" s="20" t="n">
        <v>3681</v>
      </c>
      <c r="AT22" s="20" t="n">
        <v>3681</v>
      </c>
      <c r="AU22" s="20" t="n">
        <v>0</v>
      </c>
      <c r="AV22" s="21" t="n"/>
      <c r="AW22" s="20" t="n">
        <v>0</v>
      </c>
      <c r="AX22" s="20" t="n">
        <v>0</v>
      </c>
      <c r="AY22" s="20" t="n">
        <v>0</v>
      </c>
      <c r="AZ22" s="20" t="n">
        <v>0</v>
      </c>
      <c r="BA22" s="32" t="n"/>
      <c r="BB22" s="32" t="n"/>
      <c r="BC22" s="32" t="n"/>
      <c r="BD22" s="21" t="n"/>
      <c r="BE22" s="32" t="n"/>
      <c r="BF22" s="20" t="n">
        <v>0</v>
      </c>
      <c r="BG22" s="20" t="n">
        <v>0</v>
      </c>
      <c r="BH22" s="20" t="n">
        <v>0</v>
      </c>
      <c r="BI22" s="20" t="n">
        <v>0</v>
      </c>
      <c r="BJ22" s="20" t="n">
        <v>0</v>
      </c>
      <c r="BK22" s="20" t="n">
        <v>0</v>
      </c>
      <c r="BL22" s="20" t="n">
        <v>0</v>
      </c>
      <c r="BM22" s="20" t="n">
        <v>0</v>
      </c>
      <c r="BN22" s="20" t="n">
        <v>0</v>
      </c>
      <c r="BO22" s="20" t="n">
        <v>0</v>
      </c>
      <c r="BP22" s="20" t="n">
        <v>0</v>
      </c>
      <c r="BQ22" s="14" t="inlineStr">
        <is>
          <t>Sim</t>
        </is>
      </c>
      <c r="BR22" s="14" t="inlineStr">
        <is>
          <t>Sim</t>
        </is>
      </c>
      <c r="BS22" s="14" t="inlineStr"/>
      <c r="BT22" s="14" t="inlineStr">
        <is>
          <t>Alta</t>
        </is>
      </c>
      <c r="BU22" s="18" t="inlineStr">
        <is>
          <t>Descrição: Serviços de manutenção em desktop e notebooks, análise de dados e gerenciamento de rede.</t>
        </is>
      </c>
      <c r="BV22" s="18" t="inlineStr">
        <is>
          <t>NOTAS FISCAIS DE COMPRA AGOSTO 2026.pdf - p. 25</t>
        </is>
      </c>
    </row>
    <row r="23">
      <c r="A23" s="23" t="inlineStr">
        <is>
          <t>D022</t>
        </is>
      </c>
      <c r="B23" s="23" t="inlineStr">
        <is>
          <t>26</t>
        </is>
      </c>
      <c r="C23" s="23" t="inlineStr">
        <is>
          <t>NFS-e</t>
        </is>
      </c>
      <c r="D23" s="23" t="inlineStr">
        <is>
          <t>DANFSe v1.0</t>
        </is>
      </c>
      <c r="E23" s="24" t="inlineStr">
        <is>
          <t>41</t>
        </is>
      </c>
      <c r="F23" s="24" t="inlineStr">
        <is>
          <t>50002 (DPS)</t>
        </is>
      </c>
      <c r="G23" s="25" t="n">
        <v>46237</v>
      </c>
      <c r="H23" s="23" t="inlineStr">
        <is>
          <t>11:03:33</t>
        </is>
      </c>
      <c r="I23" s="23" t="inlineStr">
        <is>
          <t>03/08/2026</t>
        </is>
      </c>
      <c r="J23" s="26" t="n"/>
      <c r="K23" s="26" t="n"/>
      <c r="L23" s="24" t="inlineStr">
        <is>
          <t>22110012249765012000104000000000004126082247961868</t>
        </is>
      </c>
      <c r="M23" s="24" t="inlineStr"/>
      <c r="N23" s="24" t="inlineStr"/>
      <c r="O23" s="24" t="inlineStr">
        <is>
          <t>1 (DPS)</t>
        </is>
      </c>
      <c r="P23" s="24" t="inlineStr">
        <is>
          <t>50002</t>
        </is>
      </c>
      <c r="Q23" s="27" t="inlineStr">
        <is>
          <t>49.765.012 CLAUDIANE DE ARAUJO MENDES CIPRIANO</t>
        </is>
      </c>
      <c r="R23" s="23" t="inlineStr"/>
      <c r="S23" s="24" t="inlineStr">
        <is>
          <t>49.765.012/0001-04</t>
        </is>
      </c>
      <c r="T23" s="24" t="inlineStr"/>
      <c r="U23" s="24" t="inlineStr"/>
      <c r="V23" s="23" t="inlineStr">
        <is>
          <t>Teresina</t>
        </is>
      </c>
      <c r="W23" s="23" t="inlineStr">
        <is>
          <t>PI</t>
        </is>
      </c>
      <c r="X23" s="27" t="inlineStr">
        <is>
          <t>MEI / Simples Nacional</t>
        </is>
      </c>
      <c r="Y23" s="27" t="inlineStr">
        <is>
          <t>KALFIX INDUSTRIA COMERCIO E ENGENHARIA LTDA</t>
        </is>
      </c>
      <c r="Z23" s="24" t="inlineStr">
        <is>
          <t>73.726.192/0001-91</t>
        </is>
      </c>
      <c r="AA23" s="24" t="inlineStr"/>
      <c r="AB23" s="24" t="inlineStr"/>
      <c r="AC23" s="23" t="inlineStr">
        <is>
          <t>Teresina</t>
        </is>
      </c>
      <c r="AD23" s="23" t="inlineStr">
        <is>
          <t>PI</t>
        </is>
      </c>
      <c r="AE23" s="23" t="inlineStr">
        <is>
          <t>KALFIX /0001</t>
        </is>
      </c>
      <c r="AF23" s="27" t="inlineStr">
        <is>
          <t>Instrução/treinamento/orientação pedagógica e educacional</t>
        </is>
      </c>
      <c r="AG23" s="23" t="inlineStr">
        <is>
          <t>Serviços</t>
        </is>
      </c>
      <c r="AH23" s="27" t="inlineStr">
        <is>
          <t>Treinamento / prestação de serviço</t>
        </is>
      </c>
      <c r="AI23" s="27" t="inlineStr">
        <is>
          <t>Teresina/PI</t>
        </is>
      </c>
      <c r="AJ23" s="24" t="inlineStr"/>
      <c r="AK23" s="24" t="inlineStr"/>
      <c r="AL23" s="28" t="inlineStr">
        <is>
          <t>08.02.01 - Instrução, treinamento, orientação pedagógica e educacional...</t>
        </is>
      </c>
      <c r="AM23" s="24" t="inlineStr"/>
      <c r="AN23" s="29" t="n">
        <v>0</v>
      </c>
      <c r="AO23" s="29" t="n">
        <v>3675.13</v>
      </c>
      <c r="AP23" s="29" t="n">
        <v>0</v>
      </c>
      <c r="AQ23" s="29" t="n">
        <v>0</v>
      </c>
      <c r="AR23" s="29" t="n">
        <v>0</v>
      </c>
      <c r="AS23" s="29" t="n">
        <v>3675.13</v>
      </c>
      <c r="AT23" s="29" t="n">
        <v>3675.13</v>
      </c>
      <c r="AU23" s="29" t="n">
        <v>0</v>
      </c>
      <c r="AV23" s="30" t="n"/>
      <c r="AW23" s="29" t="n">
        <v>0</v>
      </c>
      <c r="AX23" s="29" t="n">
        <v>0</v>
      </c>
      <c r="AY23" s="29" t="n">
        <v>0</v>
      </c>
      <c r="AZ23" s="29" t="n">
        <v>0</v>
      </c>
      <c r="BA23" s="34" t="n"/>
      <c r="BB23" s="34" t="n"/>
      <c r="BC23" s="34" t="n"/>
      <c r="BD23" s="30" t="n"/>
      <c r="BE23" s="34" t="n"/>
      <c r="BF23" s="29" t="n">
        <v>0</v>
      </c>
      <c r="BG23" s="29" t="n">
        <v>0</v>
      </c>
      <c r="BH23" s="29" t="n">
        <v>0</v>
      </c>
      <c r="BI23" s="29" t="n">
        <v>0</v>
      </c>
      <c r="BJ23" s="29" t="n">
        <v>0</v>
      </c>
      <c r="BK23" s="29" t="n">
        <v>0</v>
      </c>
      <c r="BL23" s="29" t="n">
        <v>0</v>
      </c>
      <c r="BM23" s="29" t="n">
        <v>0</v>
      </c>
      <c r="BN23" s="29" t="n">
        <v>0</v>
      </c>
      <c r="BO23" s="29" t="n">
        <v>0</v>
      </c>
      <c r="BP23" s="29" t="n">
        <v>0</v>
      </c>
      <c r="BQ23" s="23" t="inlineStr">
        <is>
          <t>Sim</t>
        </is>
      </c>
      <c r="BR23" s="23" t="inlineStr">
        <is>
          <t>Sim</t>
        </is>
      </c>
      <c r="BS23" s="23" t="inlineStr"/>
      <c r="BT23" s="23" t="inlineStr">
        <is>
          <t>Alta</t>
        </is>
      </c>
      <c r="BU23" s="27" t="inlineStr">
        <is>
          <t>Documento do CNPJ da KALFIX, não da SKAL. Descrição: NOTA DE PRESTAÇÃO DE SERVIÇO CLAUDIANE DE ARAUJO MENDES CIPRIANO. PIX impresso: 86998273584.</t>
        </is>
      </c>
      <c r="BV23" s="27" t="inlineStr">
        <is>
          <t>NOTAS FISCAIS DE COMPRA AGOSTO 2026.pdf - p. 26</t>
        </is>
      </c>
    </row>
    <row r="24">
      <c r="A24" s="14" t="inlineStr">
        <is>
          <t>D023</t>
        </is>
      </c>
      <c r="B24" s="14" t="inlineStr">
        <is>
          <t>27</t>
        </is>
      </c>
      <c r="C24" s="14" t="inlineStr">
        <is>
          <t>NFS-e</t>
        </is>
      </c>
      <c r="D24" s="14" t="inlineStr">
        <is>
          <t>NFS-e Teresina</t>
        </is>
      </c>
      <c r="E24" s="15" t="inlineStr">
        <is>
          <t>219</t>
        </is>
      </c>
      <c r="F24" s="15" t="inlineStr">
        <is>
          <t>U</t>
        </is>
      </c>
      <c r="G24" s="16" t="n">
        <v>46238</v>
      </c>
      <c r="H24" s="14" t="inlineStr">
        <is>
          <t>15:56:06</t>
        </is>
      </c>
      <c r="I24" s="14" t="inlineStr">
        <is>
          <t>08/2026</t>
        </is>
      </c>
      <c r="J24" s="17" t="n"/>
      <c r="K24" s="17" t="n"/>
      <c r="L24" s="15" t="inlineStr"/>
      <c r="M24" s="15" t="inlineStr"/>
      <c r="N24" s="15" t="inlineStr"/>
      <c r="O24" s="15" t="inlineStr"/>
      <c r="P24" s="15" t="inlineStr"/>
      <c r="Q24" s="18" t="inlineStr">
        <is>
          <t>FENIX PRESTADORA DE SERVICOS LTDA</t>
        </is>
      </c>
      <c r="R24" s="14" t="inlineStr"/>
      <c r="S24" s="15" t="inlineStr">
        <is>
          <t>51.998.593/0001-68</t>
        </is>
      </c>
      <c r="T24" s="15" t="inlineStr"/>
      <c r="U24" s="15" t="inlineStr">
        <is>
          <t>677497-0</t>
        </is>
      </c>
      <c r="V24" s="14" t="inlineStr">
        <is>
          <t>Teresina</t>
        </is>
      </c>
      <c r="W24" s="14" t="inlineStr">
        <is>
          <t>PI</t>
        </is>
      </c>
      <c r="X24" s="18" t="inlineStr">
        <is>
          <t>ME ou EPP optante pelo Simples Nacional</t>
        </is>
      </c>
      <c r="Y24" s="18" t="inlineStr">
        <is>
          <t>SKAL ENGENHARIA INDUSTRIA E COMERCIO LTDA.</t>
        </is>
      </c>
      <c r="Z24" s="15" t="inlineStr">
        <is>
          <t>23.655.038/0002-89</t>
        </is>
      </c>
      <c r="AA24" s="15" t="inlineStr"/>
      <c r="AB24" s="15" t="inlineStr">
        <is>
          <t>080315-4</t>
        </is>
      </c>
      <c r="AC24" s="14" t="inlineStr">
        <is>
          <t>Teresina</t>
        </is>
      </c>
      <c r="AD24" s="14" t="inlineStr">
        <is>
          <t>PI</t>
        </is>
      </c>
      <c r="AE24" s="14" t="inlineStr">
        <is>
          <t>SKAL /0002</t>
        </is>
      </c>
      <c r="AF24" s="18" t="inlineStr">
        <is>
          <t>Serviços de segurança</t>
        </is>
      </c>
      <c r="AG24" s="14" t="inlineStr">
        <is>
          <t>Serviços</t>
        </is>
      </c>
      <c r="AH24" s="18" t="inlineStr">
        <is>
          <t>Agente de portaria - KALFIX</t>
        </is>
      </c>
      <c r="AI24" s="18" t="inlineStr">
        <is>
          <t>Teresina/PI</t>
        </is>
      </c>
      <c r="AJ24" s="15" t="inlineStr"/>
      <c r="AK24" s="15" t="inlineStr">
        <is>
          <t>8020-0/02-00 - OUTRAS ATIVIDADES DE SERVIÇOS DE SEGURANÇA</t>
        </is>
      </c>
      <c r="AL24" s="19" t="inlineStr">
        <is>
          <t>11.02 - VIGILÂNCIA, SEGURANÇA OU MONITORAMENTO DE BENS, PESSOAS E SEMOVENTES</t>
        </is>
      </c>
      <c r="AM24" s="15" t="inlineStr"/>
      <c r="AN24" s="20" t="n">
        <v>0</v>
      </c>
      <c r="AO24" s="20" t="n">
        <v>9000</v>
      </c>
      <c r="AP24" s="20" t="n">
        <v>0</v>
      </c>
      <c r="AQ24" s="20" t="n">
        <v>0</v>
      </c>
      <c r="AR24" s="20" t="n">
        <v>0</v>
      </c>
      <c r="AS24" s="20" t="n">
        <v>9000</v>
      </c>
      <c r="AT24" s="20" t="n">
        <v>9000</v>
      </c>
      <c r="AU24" s="20" t="n">
        <v>0</v>
      </c>
      <c r="AV24" s="21" t="n"/>
      <c r="AW24" s="20" t="n">
        <v>0</v>
      </c>
      <c r="AX24" s="20" t="n">
        <v>0</v>
      </c>
      <c r="AY24" s="20" t="n">
        <v>0</v>
      </c>
      <c r="AZ24" s="20" t="n">
        <v>0</v>
      </c>
      <c r="BA24" s="20" t="n">
        <v>0</v>
      </c>
      <c r="BB24" s="20" t="n">
        <v>0</v>
      </c>
      <c r="BC24" s="20" t="n">
        <v>9000</v>
      </c>
      <c r="BD24" s="21" t="n"/>
      <c r="BE24" s="32" t="n"/>
      <c r="BF24" s="20" t="n">
        <v>0</v>
      </c>
      <c r="BG24" s="20" t="n">
        <v>0</v>
      </c>
      <c r="BH24" s="20" t="n">
        <v>0</v>
      </c>
      <c r="BI24" s="20" t="n">
        <v>0</v>
      </c>
      <c r="BJ24" s="20" t="n">
        <v>0</v>
      </c>
      <c r="BK24" s="20" t="n">
        <v>0</v>
      </c>
      <c r="BL24" s="20" t="n">
        <v>0</v>
      </c>
      <c r="BM24" s="20" t="n">
        <v>0</v>
      </c>
      <c r="BN24" s="20" t="n">
        <v>0</v>
      </c>
      <c r="BO24" s="20" t="n">
        <v>0</v>
      </c>
      <c r="BP24" s="20" t="n">
        <v>0</v>
      </c>
      <c r="BQ24" s="14" t="inlineStr">
        <is>
          <t>Sim</t>
        </is>
      </c>
      <c r="BR24" s="14" t="inlineStr">
        <is>
          <t>Sim</t>
        </is>
      </c>
      <c r="BS24" s="14" t="inlineStr"/>
      <c r="BT24" s="14" t="inlineStr">
        <is>
          <t>Alta</t>
        </is>
      </c>
      <c r="BU24" s="18" t="inlineStr">
        <is>
          <t>Descrição: PRESTAÇÃO DE SERVIÇO LOCADO NA KALFIX EM TERESINA-PI. PRESTAÇÃO DE SERVIÇO DE AGENTE DE PORTARIA REFERENTE AO MÊS DE JULHO DE 2026.</t>
        </is>
      </c>
      <c r="BV24" s="18" t="inlineStr">
        <is>
          <t>NOTAS FISCAIS DE COMPRA AGOSTO 2026.pdf - p. 27</t>
        </is>
      </c>
    </row>
    <row r="25">
      <c r="A25" s="14" t="inlineStr">
        <is>
          <t>D024</t>
        </is>
      </c>
      <c r="B25" s="14" t="inlineStr">
        <is>
          <t>28</t>
        </is>
      </c>
      <c r="C25" s="14" t="inlineStr">
        <is>
          <t>NFS-e</t>
        </is>
      </c>
      <c r="D25" s="14" t="inlineStr">
        <is>
          <t>NFS-e Teresina</t>
        </is>
      </c>
      <c r="E25" s="15" t="inlineStr">
        <is>
          <t>218</t>
        </is>
      </c>
      <c r="F25" s="15" t="inlineStr">
        <is>
          <t>U</t>
        </is>
      </c>
      <c r="G25" s="16" t="n">
        <v>46238</v>
      </c>
      <c r="H25" s="14" t="inlineStr">
        <is>
          <t>15:46:32</t>
        </is>
      </c>
      <c r="I25" s="14" t="inlineStr">
        <is>
          <t>08/2026</t>
        </is>
      </c>
      <c r="J25" s="17" t="n"/>
      <c r="K25" s="17" t="n"/>
      <c r="L25" s="15" t="inlineStr"/>
      <c r="M25" s="15" t="inlineStr"/>
      <c r="N25" s="15" t="inlineStr"/>
      <c r="O25" s="15" t="inlineStr"/>
      <c r="P25" s="15" t="inlineStr"/>
      <c r="Q25" s="18" t="inlineStr">
        <is>
          <t>FENIX PRESTADORA DE SERVICOS LTDA</t>
        </is>
      </c>
      <c r="R25" s="14" t="inlineStr"/>
      <c r="S25" s="15" t="inlineStr">
        <is>
          <t>51.998.593/0001-68</t>
        </is>
      </c>
      <c r="T25" s="15" t="inlineStr"/>
      <c r="U25" s="15" t="inlineStr">
        <is>
          <t>677497-0</t>
        </is>
      </c>
      <c r="V25" s="14" t="inlineStr">
        <is>
          <t>Teresina</t>
        </is>
      </c>
      <c r="W25" s="14" t="inlineStr">
        <is>
          <t>PI</t>
        </is>
      </c>
      <c r="X25" s="18" t="inlineStr">
        <is>
          <t>ME ou EPP optante pelo Simples Nacional</t>
        </is>
      </c>
      <c r="Y25" s="18" t="inlineStr">
        <is>
          <t>SKAL ENGENHARIA INDUSTRIA E COMERCIO LTDA.</t>
        </is>
      </c>
      <c r="Z25" s="15" t="inlineStr">
        <is>
          <t>23.655.038/0002-89</t>
        </is>
      </c>
      <c r="AA25" s="15" t="inlineStr"/>
      <c r="AB25" s="15" t="inlineStr">
        <is>
          <t>080315-4</t>
        </is>
      </c>
      <c r="AC25" s="14" t="inlineStr">
        <is>
          <t>Teresina</t>
        </is>
      </c>
      <c r="AD25" s="14" t="inlineStr">
        <is>
          <t>PI</t>
        </is>
      </c>
      <c r="AE25" s="14" t="inlineStr">
        <is>
          <t>SKAL /0002</t>
        </is>
      </c>
      <c r="AF25" s="18" t="inlineStr">
        <is>
          <t>Serviços de segurança</t>
        </is>
      </c>
      <c r="AG25" s="14" t="inlineStr">
        <is>
          <t>Serviços</t>
        </is>
      </c>
      <c r="AH25" s="18" t="inlineStr">
        <is>
          <t>Agente de portaria - CIMEX</t>
        </is>
      </c>
      <c r="AI25" s="18" t="inlineStr">
        <is>
          <t>Teresina/PI</t>
        </is>
      </c>
      <c r="AJ25" s="15" t="inlineStr"/>
      <c r="AK25" s="15" t="inlineStr">
        <is>
          <t>8020-0/02-00 - OUTRAS ATIVIDADES DE SERVIÇOS DE SEGURANÇA</t>
        </is>
      </c>
      <c r="AL25" s="19" t="inlineStr">
        <is>
          <t>11.02 - VIGILÂNCIA, SEGURANÇA OU MONITORAMENTO DE BENS, PESSOAS E SEMOVENTES</t>
        </is>
      </c>
      <c r="AM25" s="15" t="inlineStr"/>
      <c r="AN25" s="20" t="n">
        <v>0</v>
      </c>
      <c r="AO25" s="20" t="n">
        <v>9000</v>
      </c>
      <c r="AP25" s="20" t="n">
        <v>0</v>
      </c>
      <c r="AQ25" s="20" t="n">
        <v>0</v>
      </c>
      <c r="AR25" s="20" t="n">
        <v>0</v>
      </c>
      <c r="AS25" s="20" t="n">
        <v>9000</v>
      </c>
      <c r="AT25" s="20" t="n">
        <v>9000</v>
      </c>
      <c r="AU25" s="20" t="n">
        <v>0</v>
      </c>
      <c r="AV25" s="21" t="n"/>
      <c r="AW25" s="20" t="n">
        <v>0</v>
      </c>
      <c r="AX25" s="20" t="n">
        <v>0</v>
      </c>
      <c r="AY25" s="20" t="n">
        <v>0</v>
      </c>
      <c r="AZ25" s="20" t="n">
        <v>0</v>
      </c>
      <c r="BA25" s="20" t="n">
        <v>0</v>
      </c>
      <c r="BB25" s="20" t="n">
        <v>0</v>
      </c>
      <c r="BC25" s="20" t="n">
        <v>9000</v>
      </c>
      <c r="BD25" s="21" t="n"/>
      <c r="BE25" s="32" t="n"/>
      <c r="BF25" s="20" t="n">
        <v>0</v>
      </c>
      <c r="BG25" s="20" t="n">
        <v>0</v>
      </c>
      <c r="BH25" s="20" t="n">
        <v>0</v>
      </c>
      <c r="BI25" s="20" t="n">
        <v>0</v>
      </c>
      <c r="BJ25" s="20" t="n">
        <v>0</v>
      </c>
      <c r="BK25" s="20" t="n">
        <v>0</v>
      </c>
      <c r="BL25" s="20" t="n">
        <v>0</v>
      </c>
      <c r="BM25" s="20" t="n">
        <v>0</v>
      </c>
      <c r="BN25" s="20" t="n">
        <v>0</v>
      </c>
      <c r="BO25" s="20" t="n">
        <v>0</v>
      </c>
      <c r="BP25" s="20" t="n">
        <v>0</v>
      </c>
      <c r="BQ25" s="14" t="inlineStr">
        <is>
          <t>Sim</t>
        </is>
      </c>
      <c r="BR25" s="14" t="inlineStr">
        <is>
          <t>Sim</t>
        </is>
      </c>
      <c r="BS25" s="14" t="inlineStr"/>
      <c r="BT25" s="14" t="inlineStr">
        <is>
          <t>Alta</t>
        </is>
      </c>
      <c r="BU25" s="18" t="inlineStr">
        <is>
          <t>Descrição: PRESTAÇÃO DE SERVIÇO LOCADO NA CIMEX EM TERESINA-PI. PRESTAÇÃO DE SERVIÇO DE AGENTE DE PORTARIA REFERENTE AO MÊS DE JULHO DE 2026.</t>
        </is>
      </c>
      <c r="BV25" s="18" t="inlineStr">
        <is>
          <t>NOTAS FISCAIS DE COMPRA AGOSTO 2026.pdf - p. 28</t>
        </is>
      </c>
    </row>
  </sheetData>
  <autoFilter ref="A1:BV2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36" customWidth="1" min="4" max="4"/>
    <col width="13" customWidth="1" min="5" max="5"/>
    <col width="42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6" customWidth="1" min="12" max="12"/>
    <col width="13" customWidth="1" min="13" max="13"/>
    <col width="10" customWidth="1" min="14" max="14"/>
    <col width="11" customWidth="1" min="15" max="15"/>
    <col width="10" customWidth="1" min="16" max="16"/>
    <col width="10" customWidth="1" min="17" max="17"/>
    <col width="52" customWidth="1" min="18" max="18"/>
    <col width="38" customWidth="1" min="19" max="19"/>
  </cols>
  <sheetData>
    <row r="1" ht="36" customHeight="1">
      <c r="A1" s="12" t="inlineStr">
        <is>
          <t>Doc_ID</t>
        </is>
      </c>
      <c r="B1" s="12" t="inlineStr">
        <is>
          <t>Pagina</t>
        </is>
      </c>
      <c r="C1" s="12" t="inlineStr">
        <is>
          <t>Documento</t>
        </is>
      </c>
      <c r="D1" s="12" t="inlineStr">
        <is>
          <t>Emitente</t>
        </is>
      </c>
      <c r="E1" s="12" t="inlineStr">
        <is>
          <t>Codigo_Item</t>
        </is>
      </c>
      <c r="F1" s="13" t="inlineStr">
        <is>
          <t>Descricao</t>
        </is>
      </c>
      <c r="G1" s="12" t="inlineStr">
        <is>
          <t>NCM_SH</t>
        </is>
      </c>
      <c r="H1" s="12" t="inlineStr">
        <is>
          <t>CST</t>
        </is>
      </c>
      <c r="I1" s="12" t="inlineStr">
        <is>
          <t>CFOP</t>
        </is>
      </c>
      <c r="J1" s="12" t="inlineStr">
        <is>
          <t>Unidade</t>
        </is>
      </c>
      <c r="K1" s="12" t="inlineStr">
        <is>
          <t>Quantidade</t>
        </is>
      </c>
      <c r="L1" s="12" t="inlineStr">
        <is>
          <t>Valor_Unitario</t>
        </is>
      </c>
      <c r="M1" s="12" t="inlineStr">
        <is>
          <t>Valor_Total</t>
        </is>
      </c>
      <c r="N1" s="12" t="inlineStr">
        <is>
          <t>BC_ICMS</t>
        </is>
      </c>
      <c r="O1" s="12" t="inlineStr">
        <is>
          <t>Aliq_ICMS</t>
        </is>
      </c>
      <c r="P1" s="12" t="inlineStr">
        <is>
          <t>ICMS</t>
        </is>
      </c>
      <c r="Q1" s="12" t="inlineStr">
        <is>
          <t>IPI</t>
        </is>
      </c>
      <c r="R1" s="13" t="inlineStr">
        <is>
          <t>Observacoes</t>
        </is>
      </c>
      <c r="S1" s="13" t="inlineStr">
        <is>
          <t>Fonte</t>
        </is>
      </c>
    </row>
    <row r="2">
      <c r="A2" s="14" t="inlineStr">
        <is>
          <t>D005</t>
        </is>
      </c>
      <c r="B2" s="14" t="n">
        <v>7</v>
      </c>
      <c r="C2" s="15" t="inlineStr">
        <is>
          <t>NF-e 161081</t>
        </is>
      </c>
      <c r="D2" s="14" t="inlineStr">
        <is>
          <t>MATRIX COMERCIALIZADORA DE ENERGIA ELETRICA S/A</t>
        </is>
      </c>
      <c r="E2" s="15" t="inlineStr">
        <is>
          <t>1</t>
        </is>
      </c>
      <c r="F2" s="18" t="inlineStr">
        <is>
          <t>ENERGIA ELETRICA</t>
        </is>
      </c>
      <c r="G2" s="15" t="inlineStr">
        <is>
          <t>27160000</t>
        </is>
      </c>
      <c r="H2" s="15" t="inlineStr">
        <is>
          <t>030</t>
        </is>
      </c>
      <c r="I2" s="15" t="inlineStr">
        <is>
          <t>6123</t>
        </is>
      </c>
      <c r="J2" s="14" t="inlineStr">
        <is>
          <t>MWH</t>
        </is>
      </c>
      <c r="K2" s="35" t="n">
        <v>27.59</v>
      </c>
      <c r="L2" s="20" t="n">
        <v>280.31</v>
      </c>
      <c r="M2" s="20" t="n">
        <v>7733.75</v>
      </c>
      <c r="N2" s="20" t="n">
        <v>0</v>
      </c>
      <c r="O2" s="22" t="n">
        <v>0</v>
      </c>
      <c r="P2" s="20" t="n">
        <v>0</v>
      </c>
      <c r="Q2" s="20" t="n">
        <v>0</v>
      </c>
      <c r="R2" s="18" t="inlineStr">
        <is>
          <t>ICMS consta como substituição no total do documento: BC ICMS ST R$ 9.979,03; ICMS ST R$ 2.245,28.</t>
        </is>
      </c>
      <c r="S2" s="18" t="inlineStr">
        <is>
          <t>NOTAS FISCAIS DE COMPRA AGOSTO 2026.pdf - p. 7</t>
        </is>
      </c>
    </row>
    <row r="3">
      <c r="A3" s="14" t="inlineStr">
        <is>
          <t>D011</t>
        </is>
      </c>
      <c r="B3" s="14" t="n">
        <v>15</v>
      </c>
      <c r="C3" s="15" t="inlineStr">
        <is>
          <t>NF-e 0557315</t>
        </is>
      </c>
      <c r="D3" s="14" t="inlineStr">
        <is>
          <t>COMPANHIA INDUSTRIAL DE CIMENTO APODI</t>
        </is>
      </c>
      <c r="E3" s="15" t="inlineStr">
        <is>
          <t>10010022</t>
        </is>
      </c>
      <c r="F3" s="18" t="inlineStr">
        <is>
          <t>CIMENTO PORTLAND - CP V ARI</t>
        </is>
      </c>
      <c r="G3" s="15" t="inlineStr">
        <is>
          <t>25232910</t>
        </is>
      </c>
      <c r="H3" s="15" t="inlineStr">
        <is>
          <t>500</t>
        </is>
      </c>
      <c r="I3" s="15" t="inlineStr">
        <is>
          <t>6101</t>
        </is>
      </c>
      <c r="J3" s="14" t="inlineStr">
        <is>
          <t>T</t>
        </is>
      </c>
      <c r="K3" s="35" t="n">
        <v>37.97</v>
      </c>
      <c r="L3" s="20" t="n">
        <v>505</v>
      </c>
      <c r="M3" s="20" t="n">
        <v>19174.85</v>
      </c>
      <c r="N3" s="20" t="n">
        <v>19174.85</v>
      </c>
      <c r="O3" s="22" t="n">
        <v>0.12</v>
      </c>
      <c r="P3" s="20" t="n">
        <v>2300.98</v>
      </c>
      <c r="Q3" s="20" t="n">
        <v>0</v>
      </c>
      <c r="R3" s="18" t="inlineStr">
        <is>
          <t>Peso líquido 37.970 kg.</t>
        </is>
      </c>
      <c r="S3" s="18" t="inlineStr">
        <is>
          <t>NOTAS FISCAIS DE COMPRA AGOSTO 2026.pdf - p. 15</t>
        </is>
      </c>
    </row>
    <row r="4">
      <c r="A4" s="14" t="inlineStr">
        <is>
          <t>D012</t>
        </is>
      </c>
      <c r="B4" s="14" t="n">
        <v>16</v>
      </c>
      <c r="C4" s="15" t="inlineStr">
        <is>
          <t>NF-e 0557177</t>
        </is>
      </c>
      <c r="D4" s="14" t="inlineStr">
        <is>
          <t>COMPANHIA INDUSTRIAL DE CIMENTO APODI</t>
        </is>
      </c>
      <c r="E4" s="15" t="inlineStr">
        <is>
          <t>10010022</t>
        </is>
      </c>
      <c r="F4" s="18" t="inlineStr">
        <is>
          <t>CIMENTO PORTLAND - CP V ARI</t>
        </is>
      </c>
      <c r="G4" s="15" t="inlineStr">
        <is>
          <t>25232910</t>
        </is>
      </c>
      <c r="H4" s="15" t="inlineStr">
        <is>
          <t>500</t>
        </is>
      </c>
      <c r="I4" s="15" t="inlineStr">
        <is>
          <t>6101</t>
        </is>
      </c>
      <c r="J4" s="14" t="inlineStr">
        <is>
          <t>T</t>
        </is>
      </c>
      <c r="K4" s="35" t="n">
        <v>37.69</v>
      </c>
      <c r="L4" s="20" t="n">
        <v>505</v>
      </c>
      <c r="M4" s="20" t="n">
        <v>19033.45</v>
      </c>
      <c r="N4" s="20" t="n">
        <v>19033.45</v>
      </c>
      <c r="O4" s="22" t="n">
        <v>0.12</v>
      </c>
      <c r="P4" s="20" t="n">
        <v>2284.01</v>
      </c>
      <c r="Q4" s="20" t="n">
        <v>0</v>
      </c>
      <c r="R4" s="18" t="inlineStr">
        <is>
          <t>Peso líquido 37.690 kg.</t>
        </is>
      </c>
      <c r="S4" s="18" t="inlineStr">
        <is>
          <t>NOTAS FISCAIS DE COMPRA AGOSTO 2026.pdf - p. 16</t>
        </is>
      </c>
    </row>
    <row r="5">
      <c r="A5" s="14" t="inlineStr">
        <is>
          <t>D017</t>
        </is>
      </c>
      <c r="B5" s="14" t="n">
        <v>21</v>
      </c>
      <c r="C5" s="15" t="inlineStr">
        <is>
          <t>NF-e 0557009</t>
        </is>
      </c>
      <c r="D5" s="14" t="inlineStr">
        <is>
          <t>COMPANHIA INDUSTRIAL DE CIMENTO APODI</t>
        </is>
      </c>
      <c r="E5" s="15" t="inlineStr">
        <is>
          <t>10010022</t>
        </is>
      </c>
      <c r="F5" s="18" t="inlineStr">
        <is>
          <t>CIMENTO PORTLAND - CP V ARI</t>
        </is>
      </c>
      <c r="G5" s="15" t="inlineStr">
        <is>
          <t>25232910</t>
        </is>
      </c>
      <c r="H5" s="15" t="inlineStr">
        <is>
          <t>500</t>
        </is>
      </c>
      <c r="I5" s="15" t="inlineStr">
        <is>
          <t>6101</t>
        </is>
      </c>
      <c r="J5" s="14" t="inlineStr">
        <is>
          <t>T</t>
        </is>
      </c>
      <c r="K5" s="35" t="n">
        <v>0.08</v>
      </c>
      <c r="L5" s="20" t="n">
        <v>505</v>
      </c>
      <c r="M5" s="20" t="n">
        <v>40.4</v>
      </c>
      <c r="N5" s="20" t="n">
        <v>40.4</v>
      </c>
      <c r="O5" s="22" t="n">
        <v>0.12</v>
      </c>
      <c r="P5" s="20" t="n">
        <v>4.85</v>
      </c>
      <c r="Q5" s="20" t="n">
        <v>0</v>
      </c>
      <c r="R5" s="18" t="inlineStr">
        <is>
          <t>Primeira linha do documento.</t>
        </is>
      </c>
      <c r="S5" s="18" t="inlineStr">
        <is>
          <t>NOTAS FISCAIS DE COMPRA AGOSTO 2026.pdf - p. 21</t>
        </is>
      </c>
    </row>
    <row r="6">
      <c r="A6" s="14" t="inlineStr">
        <is>
          <t>D017</t>
        </is>
      </c>
      <c r="B6" s="14" t="n">
        <v>21</v>
      </c>
      <c r="C6" s="15" t="inlineStr">
        <is>
          <t>NF-e 0557009</t>
        </is>
      </c>
      <c r="D6" s="14" t="inlineStr">
        <is>
          <t>COMPANHIA INDUSTRIAL DE CIMENTO APODI</t>
        </is>
      </c>
      <c r="E6" s="15" t="inlineStr">
        <is>
          <t>10010022</t>
        </is>
      </c>
      <c r="F6" s="18" t="inlineStr">
        <is>
          <t>CIMENTO PORTLAND - CP V ARI</t>
        </is>
      </c>
      <c r="G6" s="15" t="inlineStr">
        <is>
          <t>25232910</t>
        </is>
      </c>
      <c r="H6" s="15" t="inlineStr">
        <is>
          <t>500</t>
        </is>
      </c>
      <c r="I6" s="15" t="inlineStr">
        <is>
          <t>6101</t>
        </is>
      </c>
      <c r="J6" s="14" t="inlineStr">
        <is>
          <t>T</t>
        </is>
      </c>
      <c r="K6" s="35" t="n">
        <v>38</v>
      </c>
      <c r="L6" s="20" t="n">
        <v>505</v>
      </c>
      <c r="M6" s="20" t="n">
        <v>19190</v>
      </c>
      <c r="N6" s="20" t="n">
        <v>19190</v>
      </c>
      <c r="O6" s="22" t="n">
        <v>0.12</v>
      </c>
      <c r="P6" s="20" t="n">
        <v>2302.8</v>
      </c>
      <c r="Q6" s="20" t="n">
        <v>0</v>
      </c>
      <c r="R6" s="18" t="inlineStr">
        <is>
          <t>Segunda linha do documento.</t>
        </is>
      </c>
      <c r="S6" s="18" t="inlineStr">
        <is>
          <t>NOTAS FISCAIS DE COMPRA AGOSTO 2026.pdf - p. 21</t>
        </is>
      </c>
    </row>
    <row r="7">
      <c r="A7" s="14" t="inlineStr">
        <is>
          <t>D018</t>
        </is>
      </c>
      <c r="B7" s="14" t="n">
        <v>22</v>
      </c>
      <c r="C7" s="15" t="inlineStr">
        <is>
          <t>NF-e 000.004.462</t>
        </is>
      </c>
      <c r="D7" s="14" t="inlineStr">
        <is>
          <t>CALCARIO CANTA GALO EXTRACAO E COMERCIO DE CALCARIO LTDA</t>
        </is>
      </c>
      <c r="E7" s="15" t="inlineStr">
        <is>
          <t>10</t>
        </is>
      </c>
      <c r="F7" s="18" t="inlineStr">
        <is>
          <t>CALCARIO DOLOMITICO #170 (SACOS 25 KG)</t>
        </is>
      </c>
      <c r="G7" s="15" t="inlineStr">
        <is>
          <t>25181000</t>
        </is>
      </c>
      <c r="H7" s="15" t="inlineStr">
        <is>
          <t>020</t>
        </is>
      </c>
      <c r="I7" s="15" t="inlineStr">
        <is>
          <t>6101</t>
        </is>
      </c>
      <c r="J7" s="14" t="inlineStr">
        <is>
          <t>T</t>
        </is>
      </c>
      <c r="K7" s="35" t="n">
        <v>15</v>
      </c>
      <c r="L7" s="20" t="n">
        <v>269</v>
      </c>
      <c r="M7" s="20" t="n">
        <v>4035</v>
      </c>
      <c r="N7" s="20" t="n">
        <v>1781.86</v>
      </c>
      <c r="O7" s="22" t="n">
        <v>0.12</v>
      </c>
      <c r="P7" s="20" t="n">
        <v>213.82</v>
      </c>
      <c r="Q7" s="20" t="n">
        <v>0</v>
      </c>
      <c r="R7" s="18" t="inlineStr">
        <is>
          <t>Quantidade/peso líquido 15.000 kg.</t>
        </is>
      </c>
      <c r="S7" s="18" t="inlineStr">
        <is>
          <t>NOTAS FISCAIS DE COMPRA AGOSTO 2026.pdf - p. 22</t>
        </is>
      </c>
    </row>
  </sheetData>
  <autoFilter ref="A1:S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38" customWidth="1" min="4" max="4"/>
    <col width="13" customWidth="1" min="5" max="5"/>
    <col width="23" customWidth="1" min="6" max="6"/>
    <col width="14" customWidth="1" min="7" max="7"/>
    <col width="20" customWidth="1" min="8" max="8"/>
    <col width="62" customWidth="1" min="9" max="9"/>
    <col width="12" customWidth="1" min="10" max="10"/>
    <col width="11" customWidth="1" min="11" max="11"/>
    <col width="16" customWidth="1" min="12" max="12"/>
    <col width="13" customWidth="1" min="13" max="13"/>
    <col width="10" customWidth="1" min="14" max="14"/>
    <col width="10" customWidth="1" min="15" max="15"/>
    <col width="10" customWidth="1" min="16" max="16"/>
    <col width="12" customWidth="1" min="17" max="17"/>
    <col width="38" customWidth="1" min="18" max="18"/>
  </cols>
  <sheetData>
    <row r="1" ht="36" customHeight="1">
      <c r="A1" s="12" t="inlineStr">
        <is>
          <t>Doc_ID</t>
        </is>
      </c>
      <c r="B1" s="12" t="inlineStr">
        <is>
          <t>Pagina</t>
        </is>
      </c>
      <c r="C1" s="12" t="inlineStr">
        <is>
          <t>Documento</t>
        </is>
      </c>
      <c r="D1" s="12" t="inlineStr">
        <is>
          <t>Emitente</t>
        </is>
      </c>
      <c r="E1" s="12" t="inlineStr">
        <is>
          <t>Tipo</t>
        </is>
      </c>
      <c r="F1" s="12" t="inlineStr">
        <is>
          <t>Codigo</t>
        </is>
      </c>
      <c r="G1" s="12" t="inlineStr">
        <is>
          <t>CNAE_CBO</t>
        </is>
      </c>
      <c r="H1" s="12" t="inlineStr">
        <is>
          <t>NBS</t>
        </is>
      </c>
      <c r="I1" s="13" t="inlineStr">
        <is>
          <t>Descricao</t>
        </is>
      </c>
      <c r="J1" s="12" t="inlineStr">
        <is>
          <t>Quantidade</t>
        </is>
      </c>
      <c r="K1" s="12" t="inlineStr">
        <is>
          <t>Unidade</t>
        </is>
      </c>
      <c r="L1" s="12" t="inlineStr">
        <is>
          <t>Valor_Unitario</t>
        </is>
      </c>
      <c r="M1" s="12" t="inlineStr">
        <is>
          <t>Valor_Total</t>
        </is>
      </c>
      <c r="N1" s="12" t="inlineStr">
        <is>
          <t>BC_ISS</t>
        </is>
      </c>
      <c r="O1" s="12" t="inlineStr">
        <is>
          <t>Aliq_ISS</t>
        </is>
      </c>
      <c r="P1" s="12" t="inlineStr">
        <is>
          <t>ISS</t>
        </is>
      </c>
      <c r="Q1" s="12" t="inlineStr">
        <is>
          <t>ISS_Retido</t>
        </is>
      </c>
      <c r="R1" s="13" t="inlineStr">
        <is>
          <t>Fonte</t>
        </is>
      </c>
    </row>
    <row r="2">
      <c r="A2" s="14" t="inlineStr">
        <is>
          <t>D001</t>
        </is>
      </c>
      <c r="B2" s="14" t="n">
        <v>1</v>
      </c>
      <c r="C2" s="15" t="inlineStr">
        <is>
          <t>NFS-e 626733</t>
        </is>
      </c>
      <c r="D2" s="14" t="inlineStr">
        <is>
          <t>CONNECT INFORMACOES E TECNOLOGIA SA</t>
        </is>
      </c>
      <c r="E2" s="14" t="inlineStr">
        <is>
          <t>Serviço</t>
        </is>
      </c>
      <c r="F2" s="15" t="inlineStr">
        <is>
          <t>01.03 / LC 103</t>
        </is>
      </c>
      <c r="G2" s="15" t="inlineStr">
        <is>
          <t>6209100</t>
        </is>
      </c>
      <c r="H2" s="15" t="inlineStr">
        <is>
          <t>115090000</t>
        </is>
      </c>
      <c r="I2" s="18" t="inlineStr">
        <is>
          <t>PROCESSAMENTO E GERENCIAMENTO DE COMUNICACAO DE DADOS PLATAFORMA CONNECTSA</t>
        </is>
      </c>
      <c r="J2" s="36" t="n"/>
      <c r="K2" s="14" t="inlineStr"/>
      <c r="L2" s="32" t="n"/>
      <c r="M2" s="20" t="n">
        <v>2318.69</v>
      </c>
      <c r="N2" s="20" t="n">
        <v>2318.69</v>
      </c>
      <c r="O2" s="22" t="n">
        <v>0.02</v>
      </c>
      <c r="P2" s="20" t="n">
        <v>46.37</v>
      </c>
      <c r="Q2" s="20" t="n">
        <v>0</v>
      </c>
      <c r="R2" s="18" t="inlineStr">
        <is>
          <t>NOTAS FISCAIS DE COMPRA AGOSTO 2026.pdf - p. 1</t>
        </is>
      </c>
    </row>
    <row r="3">
      <c r="A3" s="14" t="inlineStr">
        <is>
          <t>D002</t>
        </is>
      </c>
      <c r="B3" s="14" t="n">
        <v>2</v>
      </c>
      <c r="C3" s="15" t="inlineStr">
        <is>
          <t>DPS 9</t>
        </is>
      </c>
      <c r="D3" s="14" t="inlineStr">
        <is>
          <t>JOSIMAR INOCENCIO DE MORAIS - ME</t>
        </is>
      </c>
      <c r="E3" s="14" t="inlineStr">
        <is>
          <t>Serviço</t>
        </is>
      </c>
      <c r="F3" s="15" t="inlineStr">
        <is>
          <t>304 / 303 / 773220104</t>
        </is>
      </c>
      <c r="G3" s="15" t="inlineStr"/>
      <c r="H3" s="15" t="inlineStr"/>
      <c r="I3" s="18" t="inlineStr">
        <is>
          <t>SERVIÇO CONCRETAGEM - OBRA: DISTRITO INDUSTRIAL II, KM 21 DA BR-343, PARNAÍBA-PI</t>
        </is>
      </c>
      <c r="J3" s="36" t="n"/>
      <c r="K3" s="14" t="inlineStr"/>
      <c r="L3" s="32" t="n"/>
      <c r="M3" s="20" t="n">
        <v>16600</v>
      </c>
      <c r="N3" s="20" t="n">
        <v>16600</v>
      </c>
      <c r="O3" s="22" t="n">
        <v>0.05</v>
      </c>
      <c r="P3" s="20" t="n">
        <v>830</v>
      </c>
      <c r="Q3" s="20" t="n">
        <v>0</v>
      </c>
      <c r="R3" s="18" t="inlineStr">
        <is>
          <t>NOTAS FISCAIS DE COMPRA AGOSTO 2026.pdf - p. 2</t>
        </is>
      </c>
    </row>
    <row r="4">
      <c r="A4" s="14" t="inlineStr">
        <is>
          <t>D003</t>
        </is>
      </c>
      <c r="B4" s="14" t="n">
        <v>3</v>
      </c>
      <c r="C4" s="15" t="inlineStr">
        <is>
          <t>NFS-e 626731</t>
        </is>
      </c>
      <c r="D4" s="14" t="inlineStr">
        <is>
          <t>CONNECT INFORMACOES E TECNOLOGIA SA</t>
        </is>
      </c>
      <c r="E4" s="14" t="inlineStr">
        <is>
          <t>Serviço</t>
        </is>
      </c>
      <c r="F4" s="15" t="inlineStr">
        <is>
          <t>01.03 / LC 103</t>
        </is>
      </c>
      <c r="G4" s="15" t="inlineStr">
        <is>
          <t>6209100</t>
        </is>
      </c>
      <c r="H4" s="15" t="inlineStr">
        <is>
          <t>115090000</t>
        </is>
      </c>
      <c r="I4" s="18" t="inlineStr">
        <is>
          <t>PROCESSAMENTO E GERENCIAMENTO DE COMUNICACAO DE DADOS PLATAFORMA CONNECTSA</t>
        </is>
      </c>
      <c r="J4" s="36" t="n"/>
      <c r="K4" s="14" t="inlineStr"/>
      <c r="L4" s="32" t="n"/>
      <c r="M4" s="20" t="n">
        <v>183.19</v>
      </c>
      <c r="N4" s="20" t="n">
        <v>183.19</v>
      </c>
      <c r="O4" s="22" t="n">
        <v>0.02</v>
      </c>
      <c r="P4" s="20" t="n">
        <v>3.66</v>
      </c>
      <c r="Q4" s="20" t="n">
        <v>0</v>
      </c>
      <c r="R4" s="18" t="inlineStr">
        <is>
          <t>NOTAS FISCAIS DE COMPRA AGOSTO 2026.pdf - p. 3</t>
        </is>
      </c>
    </row>
    <row r="5">
      <c r="A5" s="14" t="inlineStr">
        <is>
          <t>D004</t>
        </is>
      </c>
      <c r="B5" s="14" t="n">
        <v>4</v>
      </c>
      <c r="C5" s="15" t="inlineStr">
        <is>
          <t>NFS-e 787/U</t>
        </is>
      </c>
      <c r="D5" s="14" t="inlineStr">
        <is>
          <t>EDWARD MOURA SOCIEDADE INDIVIDUAL DE ADVOCACIA</t>
        </is>
      </c>
      <c r="E5" s="14" t="inlineStr">
        <is>
          <t>Serviço</t>
        </is>
      </c>
      <c r="F5" s="15" t="inlineStr">
        <is>
          <t>17.13</t>
        </is>
      </c>
      <c r="G5" s="15" t="inlineStr">
        <is>
          <t>6911-7/01-01</t>
        </is>
      </c>
      <c r="H5" s="15" t="inlineStr"/>
      <c r="I5" s="18" t="inlineStr">
        <is>
          <t>honorários advocatícios</t>
        </is>
      </c>
      <c r="J5" s="36" t="n"/>
      <c r="K5" s="14" t="inlineStr"/>
      <c r="L5" s="32" t="n"/>
      <c r="M5" s="20" t="n">
        <v>4075</v>
      </c>
      <c r="N5" s="20" t="n">
        <v>4075</v>
      </c>
      <c r="O5" s="21" t="n"/>
      <c r="P5" s="32" t="n"/>
      <c r="Q5" s="20" t="n">
        <v>0</v>
      </c>
      <c r="R5" s="18" t="inlineStr">
        <is>
          <t>NOTAS FISCAIS DE COMPRA AGOSTO 2026.pdf - p. 4</t>
        </is>
      </c>
    </row>
    <row r="6">
      <c r="A6" s="14" t="inlineStr">
        <is>
          <t>D007</t>
        </is>
      </c>
      <c r="B6" s="14" t="n">
        <v>11</v>
      </c>
      <c r="C6" s="15" t="inlineStr">
        <is>
          <t>NFS-e 472</t>
        </is>
      </c>
      <c r="D6" s="14" t="inlineStr">
        <is>
          <t>AGUIA EXPRESS RH PRESTADORA DE SERVICOS EIRELI EPP</t>
        </is>
      </c>
      <c r="E6" s="14" t="inlineStr">
        <is>
          <t>Serviço</t>
        </is>
      </c>
      <c r="F6" s="15" t="inlineStr">
        <is>
          <t>170501/005</t>
        </is>
      </c>
      <c r="G6" s="15" t="inlineStr"/>
      <c r="H6" s="15" t="inlineStr">
        <is>
          <t>118012900 (visual)</t>
        </is>
      </c>
      <c r="I6" s="18" t="inlineStr">
        <is>
          <t>LOCAÇÃO DE MÃO-DE-OBRA TEMPORÁRIA - VIGIA - HORAS EXTRA, FALTAS, ATRASOS E SAÍDAS MAIS CEDO</t>
        </is>
      </c>
      <c r="J6" s="36" t="n"/>
      <c r="K6" s="14" t="inlineStr"/>
      <c r="L6" s="32" t="n"/>
      <c r="M6" s="20" t="n">
        <v>450</v>
      </c>
      <c r="N6" s="20" t="n">
        <v>450</v>
      </c>
      <c r="O6" s="22" t="n">
        <v>0.05</v>
      </c>
      <c r="P6" s="20" t="n">
        <v>22.5</v>
      </c>
      <c r="Q6" s="20" t="n">
        <v>0</v>
      </c>
      <c r="R6" s="18" t="inlineStr">
        <is>
          <t>NOTAS FISCAIS DE COMPRA AGOSTO 2026.pdf - p. 11</t>
        </is>
      </c>
    </row>
    <row r="7">
      <c r="A7" s="14" t="inlineStr">
        <is>
          <t>D008</t>
        </is>
      </c>
      <c r="B7" s="14" t="n">
        <v>12</v>
      </c>
      <c r="C7" s="15" t="inlineStr">
        <is>
          <t>NFS-e 220/U</t>
        </is>
      </c>
      <c r="D7" s="14" t="inlineStr">
        <is>
          <t>FENIX PRESTADORA DE SERVICOS LTDA</t>
        </is>
      </c>
      <c r="E7" s="14" t="inlineStr">
        <is>
          <t>Serviço</t>
        </is>
      </c>
      <c r="F7" s="15" t="inlineStr">
        <is>
          <t>11.04</t>
        </is>
      </c>
      <c r="G7" s="15" t="inlineStr">
        <is>
          <t>5212-5/00-01</t>
        </is>
      </c>
      <c r="H7" s="15" t="inlineStr"/>
      <c r="I7" s="18" t="inlineStr">
        <is>
          <t>10 AJUDANTES DE CARGA E DESCARGA</t>
        </is>
      </c>
      <c r="J7" s="35" t="n">
        <v>10</v>
      </c>
      <c r="K7" s="14" t="inlineStr">
        <is>
          <t>ajudantes</t>
        </is>
      </c>
      <c r="L7" s="32" t="n"/>
      <c r="M7" s="20" t="n">
        <v>35000</v>
      </c>
      <c r="N7" s="20" t="n">
        <v>35000</v>
      </c>
      <c r="O7" s="21" t="n"/>
      <c r="P7" s="32" t="n"/>
      <c r="Q7" s="20" t="n">
        <v>0</v>
      </c>
      <c r="R7" s="18" t="inlineStr">
        <is>
          <t>NOTAS FISCAIS DE COMPRA AGOSTO 2026.pdf - p. 12</t>
        </is>
      </c>
    </row>
    <row r="8">
      <c r="A8" s="14" t="inlineStr">
        <is>
          <t>D013</t>
        </is>
      </c>
      <c r="B8" s="14" t="n">
        <v>17</v>
      </c>
      <c r="C8" s="15" t="inlineStr">
        <is>
          <t>NFCom 000000227</t>
        </is>
      </c>
      <c r="D8" s="14" t="inlineStr">
        <is>
          <t>DUO OPERACOES PROTOS LTDA</t>
        </is>
      </c>
      <c r="E8" s="14" t="inlineStr">
        <is>
          <t>Comunicação</t>
        </is>
      </c>
      <c r="F8" s="15" t="inlineStr">
        <is>
          <t>0100401</t>
        </is>
      </c>
      <c r="G8" s="15" t="inlineStr"/>
      <c r="H8" s="15" t="inlineStr"/>
      <c r="I8" s="18" t="inlineStr">
        <is>
          <t>INTERNET DEDICADA</t>
        </is>
      </c>
      <c r="J8" s="35" t="n">
        <v>1</v>
      </c>
      <c r="K8" s="14" t="inlineStr">
        <is>
          <t>UN</t>
        </is>
      </c>
      <c r="L8" s="20" t="n">
        <v>1000</v>
      </c>
      <c r="M8" s="20" t="n">
        <v>1000</v>
      </c>
      <c r="N8" s="20" t="n">
        <v>0</v>
      </c>
      <c r="O8" s="21" t="n"/>
      <c r="P8" s="20" t="n">
        <v>0</v>
      </c>
      <c r="Q8" s="20" t="n">
        <v>0</v>
      </c>
      <c r="R8" s="18" t="inlineStr">
        <is>
          <t>NOTAS FISCAIS DE COMPRA AGOSTO 2026.pdf - p. 17</t>
        </is>
      </c>
    </row>
    <row r="9">
      <c r="A9" s="14" t="inlineStr">
        <is>
          <t>D014</t>
        </is>
      </c>
      <c r="B9" s="14" t="n">
        <v>18</v>
      </c>
      <c r="C9" s="15" t="inlineStr">
        <is>
          <t>NFCom 000000226</t>
        </is>
      </c>
      <c r="D9" s="14" t="inlineStr">
        <is>
          <t>DUO OPERACOES PROTOS LTDA</t>
        </is>
      </c>
      <c r="E9" s="14" t="inlineStr">
        <is>
          <t>Comunicação</t>
        </is>
      </c>
      <c r="F9" s="15" t="inlineStr">
        <is>
          <t>0100201</t>
        </is>
      </c>
      <c r="G9" s="15" t="inlineStr"/>
      <c r="H9" s="15" t="inlineStr"/>
      <c r="I9" s="18" t="inlineStr">
        <is>
          <t>Serviço de linha fixa comutada STFC</t>
        </is>
      </c>
      <c r="J9" s="35" t="n">
        <v>1</v>
      </c>
      <c r="K9" s="14" t="inlineStr">
        <is>
          <t>UN</t>
        </is>
      </c>
      <c r="L9" s="20" t="n">
        <v>300</v>
      </c>
      <c r="M9" s="20" t="n">
        <v>300</v>
      </c>
      <c r="N9" s="20" t="n">
        <v>0</v>
      </c>
      <c r="O9" s="21" t="n"/>
      <c r="P9" s="20" t="n">
        <v>0</v>
      </c>
      <c r="Q9" s="20" t="n">
        <v>0</v>
      </c>
      <c r="R9" s="18" t="inlineStr">
        <is>
          <t>NOTAS FISCAIS DE COMPRA AGOSTO 2026.pdf - p. 18</t>
        </is>
      </c>
    </row>
    <row r="10">
      <c r="A10" s="14" t="inlineStr">
        <is>
          <t>D015</t>
        </is>
      </c>
      <c r="B10" s="14" t="n">
        <v>19</v>
      </c>
      <c r="C10" s="15" t="inlineStr">
        <is>
          <t>NFS-e 19/U</t>
        </is>
      </c>
      <c r="D10" s="14" t="inlineStr">
        <is>
          <t>VALDIR RIBEIRO DE MELO ME</t>
        </is>
      </c>
      <c r="E10" s="14" t="inlineStr">
        <is>
          <t>Serviço</t>
        </is>
      </c>
      <c r="F10" s="15" t="inlineStr">
        <is>
          <t>07.02</t>
        </is>
      </c>
      <c r="G10" s="15" t="inlineStr">
        <is>
          <t>4120-4/00-01</t>
        </is>
      </c>
      <c r="H10" s="15" t="inlineStr"/>
      <c r="I10" s="18" t="inlineStr">
        <is>
          <t>SERVIÇOS DE CONSTRUÇÃO - GALPÃO OFICINA</t>
        </is>
      </c>
      <c r="J10" s="36" t="n"/>
      <c r="K10" s="14" t="inlineStr"/>
      <c r="L10" s="32" t="n"/>
      <c r="M10" s="20" t="n">
        <v>3750</v>
      </c>
      <c r="N10" s="20" t="n">
        <v>3750</v>
      </c>
      <c r="O10" s="21" t="n"/>
      <c r="P10" s="32" t="n"/>
      <c r="Q10" s="20" t="n">
        <v>0</v>
      </c>
      <c r="R10" s="18" t="inlineStr">
        <is>
          <t>NOTAS FISCAIS DE COMPRA AGOSTO 2026.pdf - p. 19</t>
        </is>
      </c>
    </row>
    <row r="11">
      <c r="A11" s="14" t="inlineStr">
        <is>
          <t>D016</t>
        </is>
      </c>
      <c r="B11" s="14" t="n">
        <v>20</v>
      </c>
      <c r="C11" s="15" t="inlineStr">
        <is>
          <t>NFS-e 29</t>
        </is>
      </c>
      <c r="D11" s="14" t="inlineStr">
        <is>
          <t>24.870.571 JORGE GUILHERME COSTA FERREIRA</t>
        </is>
      </c>
      <c r="E11" s="14" t="inlineStr">
        <is>
          <t>Serviço</t>
        </is>
      </c>
      <c r="F11" s="15" t="inlineStr">
        <is>
          <t>17.23.01</t>
        </is>
      </c>
      <c r="G11" s="15" t="inlineStr"/>
      <c r="H11" s="15" t="inlineStr"/>
      <c r="I11" s="18" t="inlineStr">
        <is>
          <t>Gerenciamento Financeiro</t>
        </is>
      </c>
      <c r="J11" s="36" t="n"/>
      <c r="K11" s="14" t="inlineStr"/>
      <c r="L11" s="32" t="n"/>
      <c r="M11" s="20" t="n">
        <v>7000</v>
      </c>
      <c r="N11" s="32" t="n"/>
      <c r="O11" s="21" t="n"/>
      <c r="P11" s="32" t="n"/>
      <c r="Q11" s="20" t="n">
        <v>0</v>
      </c>
      <c r="R11" s="18" t="inlineStr">
        <is>
          <t>NOTAS FISCAIS DE COMPRA AGOSTO 2026.pdf - p. 20</t>
        </is>
      </c>
    </row>
    <row r="12">
      <c r="A12" s="14" t="inlineStr">
        <is>
          <t>D020</t>
        </is>
      </c>
      <c r="B12" s="14" t="n">
        <v>24</v>
      </c>
      <c r="C12" s="15" t="inlineStr">
        <is>
          <t>NFS-e 4591/U</t>
        </is>
      </c>
      <c r="D12" s="14" t="inlineStr">
        <is>
          <t>K F DA S B LEMOS - ME</t>
        </is>
      </c>
      <c r="E12" s="14" t="inlineStr">
        <is>
          <t>Serviço</t>
        </is>
      </c>
      <c r="F12" s="15" t="inlineStr">
        <is>
          <t>11.02</t>
        </is>
      </c>
      <c r="G12" s="15" t="inlineStr">
        <is>
          <t>8020-0/01-01</t>
        </is>
      </c>
      <c r="H12" s="15" t="inlineStr"/>
      <c r="I12" s="18" t="inlineStr">
        <is>
          <t>Serviço de Monitoramento mês 07/2026</t>
        </is>
      </c>
      <c r="J12" s="36" t="n"/>
      <c r="K12" s="14" t="inlineStr"/>
      <c r="L12" s="32" t="n"/>
      <c r="M12" s="20" t="n">
        <v>484.8</v>
      </c>
      <c r="N12" s="32" t="n"/>
      <c r="O12" s="21" t="n"/>
      <c r="P12" s="32" t="n"/>
      <c r="Q12" s="20" t="n">
        <v>0</v>
      </c>
      <c r="R12" s="18" t="inlineStr">
        <is>
          <t>NOTAS FISCAIS DE COMPRA AGOSTO 2026.pdf - p. 24</t>
        </is>
      </c>
    </row>
    <row r="13">
      <c r="A13" s="14" t="inlineStr">
        <is>
          <t>D020</t>
        </is>
      </c>
      <c r="B13" s="14" t="n">
        <v>24</v>
      </c>
      <c r="C13" s="15" t="inlineStr">
        <is>
          <t>NFS-e 4591/U</t>
        </is>
      </c>
      <c r="D13" s="14" t="inlineStr">
        <is>
          <t>K F DA S B LEMOS - ME</t>
        </is>
      </c>
      <c r="E13" s="14" t="inlineStr">
        <is>
          <t>Locação</t>
        </is>
      </c>
      <c r="F13" s="15" t="inlineStr">
        <is>
          <t>11.02</t>
        </is>
      </c>
      <c r="G13" s="15" t="inlineStr">
        <is>
          <t>8020-0/01-01</t>
        </is>
      </c>
      <c r="H13" s="15" t="inlineStr"/>
      <c r="I13" s="18" t="inlineStr">
        <is>
          <t>Locação de Materiais 01</t>
        </is>
      </c>
      <c r="J13" s="36" t="n"/>
      <c r="K13" s="14" t="inlineStr"/>
      <c r="L13" s="32" t="n"/>
      <c r="M13" s="20" t="n">
        <v>271.47</v>
      </c>
      <c r="N13" s="32" t="n"/>
      <c r="O13" s="21" t="n"/>
      <c r="P13" s="32" t="n"/>
      <c r="Q13" s="20" t="n">
        <v>0</v>
      </c>
      <c r="R13" s="18" t="inlineStr">
        <is>
          <t>NOTAS FISCAIS DE COMPRA AGOSTO 2026.pdf - p. 24</t>
        </is>
      </c>
    </row>
    <row r="14">
      <c r="A14" s="14" t="inlineStr">
        <is>
          <t>D021</t>
        </is>
      </c>
      <c r="B14" s="14" t="n">
        <v>25</v>
      </c>
      <c r="C14" s="15" t="inlineStr">
        <is>
          <t>NFS-e 41</t>
        </is>
      </c>
      <c r="D14" s="14" t="inlineStr">
        <is>
          <t>48.714.053 MOACIR GONCALVES PALMEIRA JUNIOR</t>
        </is>
      </c>
      <c r="E14" s="14" t="inlineStr">
        <is>
          <t>Serviço</t>
        </is>
      </c>
      <c r="F14" s="15" t="inlineStr">
        <is>
          <t>01.07.01</t>
        </is>
      </c>
      <c r="G14" s="15" t="inlineStr"/>
      <c r="H14" s="15" t="inlineStr">
        <is>
          <t>120012000</t>
        </is>
      </c>
      <c r="I14" s="18" t="inlineStr">
        <is>
          <t>Serviços de manutenção em desktop e notebooks, análise de dados e gerenciamento de rede.</t>
        </is>
      </c>
      <c r="J14" s="36" t="n"/>
      <c r="K14" s="14" t="inlineStr"/>
      <c r="L14" s="32" t="n"/>
      <c r="M14" s="20" t="n">
        <v>3681</v>
      </c>
      <c r="N14" s="32" t="n"/>
      <c r="O14" s="21" t="n"/>
      <c r="P14" s="32" t="n"/>
      <c r="Q14" s="20" t="n">
        <v>0</v>
      </c>
      <c r="R14" s="18" t="inlineStr">
        <is>
          <t>NOTAS FISCAIS DE COMPRA AGOSTO 2026.pdf - p. 25</t>
        </is>
      </c>
    </row>
    <row r="15">
      <c r="A15" s="14" t="inlineStr">
        <is>
          <t>D022</t>
        </is>
      </c>
      <c r="B15" s="14" t="n">
        <v>26</v>
      </c>
      <c r="C15" s="15" t="inlineStr">
        <is>
          <t>NFS-e 41</t>
        </is>
      </c>
      <c r="D15" s="14" t="inlineStr">
        <is>
          <t>49.765.012 CLAUDIANE DE ARAUJO MENDES CIPRIANO</t>
        </is>
      </c>
      <c r="E15" s="14" t="inlineStr">
        <is>
          <t>Serviço</t>
        </is>
      </c>
      <c r="F15" s="15" t="inlineStr">
        <is>
          <t>08.02.01</t>
        </is>
      </c>
      <c r="G15" s="15" t="inlineStr"/>
      <c r="H15" s="15" t="inlineStr"/>
      <c r="I15" s="18" t="inlineStr">
        <is>
          <t>NOTA DE PRESTAÇÃO DE SERVIÇO CLAUDIANE DE ARAUJO MENDES CIPRIANO</t>
        </is>
      </c>
      <c r="J15" s="36" t="n"/>
      <c r="K15" s="14" t="inlineStr"/>
      <c r="L15" s="32" t="n"/>
      <c r="M15" s="20" t="n">
        <v>3675.13</v>
      </c>
      <c r="N15" s="32" t="n"/>
      <c r="O15" s="21" t="n"/>
      <c r="P15" s="32" t="n"/>
      <c r="Q15" s="20" t="n">
        <v>0</v>
      </c>
      <c r="R15" s="18" t="inlineStr">
        <is>
          <t>NOTAS FISCAIS DE COMPRA AGOSTO 2026.pdf - p. 26</t>
        </is>
      </c>
    </row>
    <row r="16">
      <c r="A16" s="14" t="inlineStr">
        <is>
          <t>D023</t>
        </is>
      </c>
      <c r="B16" s="14" t="n">
        <v>27</v>
      </c>
      <c r="C16" s="15" t="inlineStr">
        <is>
          <t>NFS-e 219/U</t>
        </is>
      </c>
      <c r="D16" s="14" t="inlineStr">
        <is>
          <t>FENIX PRESTADORA DE SERVICOS LTDA</t>
        </is>
      </c>
      <c r="E16" s="14" t="inlineStr">
        <is>
          <t>Serviço</t>
        </is>
      </c>
      <c r="F16" s="15" t="inlineStr">
        <is>
          <t>11.02</t>
        </is>
      </c>
      <c r="G16" s="15" t="inlineStr">
        <is>
          <t>8020-0/02-00</t>
        </is>
      </c>
      <c r="H16" s="15" t="inlineStr"/>
      <c r="I16" s="18" t="inlineStr">
        <is>
          <t>Prestação de serviço de agente de portaria referente ao mês de julho de 2026 - KALFIX em Teresina-PI.</t>
        </is>
      </c>
      <c r="J16" s="36" t="n"/>
      <c r="K16" s="14" t="inlineStr"/>
      <c r="L16" s="32" t="n"/>
      <c r="M16" s="20" t="n">
        <v>9000</v>
      </c>
      <c r="N16" s="20" t="n">
        <v>9000</v>
      </c>
      <c r="O16" s="21" t="n"/>
      <c r="P16" s="32" t="n"/>
      <c r="Q16" s="20" t="n">
        <v>0</v>
      </c>
      <c r="R16" s="18" t="inlineStr">
        <is>
          <t>NOTAS FISCAIS DE COMPRA AGOSTO 2026.pdf - p. 27</t>
        </is>
      </c>
    </row>
    <row r="17">
      <c r="A17" s="14" t="inlineStr">
        <is>
          <t>D024</t>
        </is>
      </c>
      <c r="B17" s="14" t="n">
        <v>28</v>
      </c>
      <c r="C17" s="15" t="inlineStr">
        <is>
          <t>NFS-e 218/U</t>
        </is>
      </c>
      <c r="D17" s="14" t="inlineStr">
        <is>
          <t>FENIX PRESTADORA DE SERVICOS LTDA</t>
        </is>
      </c>
      <c r="E17" s="14" t="inlineStr">
        <is>
          <t>Serviço</t>
        </is>
      </c>
      <c r="F17" s="15" t="inlineStr">
        <is>
          <t>11.02</t>
        </is>
      </c>
      <c r="G17" s="15" t="inlineStr">
        <is>
          <t>8020-0/02-00</t>
        </is>
      </c>
      <c r="H17" s="15" t="inlineStr"/>
      <c r="I17" s="18" t="inlineStr">
        <is>
          <t>Prestação de serviço de agente de portaria referente ao mês de julho de 2026 - CIMEX em Teresina-PI.</t>
        </is>
      </c>
      <c r="J17" s="36" t="n"/>
      <c r="K17" s="14" t="inlineStr"/>
      <c r="L17" s="32" t="n"/>
      <c r="M17" s="20" t="n">
        <v>9000</v>
      </c>
      <c r="N17" s="20" t="n">
        <v>9000</v>
      </c>
      <c r="O17" s="21" t="n"/>
      <c r="P17" s="32" t="n"/>
      <c r="Q17" s="20" t="n">
        <v>0</v>
      </c>
      <c r="R17" s="18" t="inlineStr">
        <is>
          <t>NOTAS FISCAIS DE COMPRA AGOSTO 2026.pdf - p. 28</t>
        </is>
      </c>
    </row>
  </sheetData>
  <autoFilter ref="A1:R1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38" customWidth="1" min="5" max="5"/>
    <col width="20" customWidth="1" min="6" max="6"/>
    <col width="10" customWidth="1" min="7" max="7"/>
    <col width="12" customWidth="1" min="8" max="8"/>
    <col width="13" customWidth="1" min="9" max="9"/>
    <col width="38" customWidth="1" min="10" max="10"/>
    <col width="20" customWidth="1" min="11" max="11"/>
    <col width="18" customWidth="1" min="12" max="12"/>
    <col width="10" customWidth="1" min="13" max="13"/>
    <col width="21" customWidth="1" min="14" max="14"/>
    <col width="35" customWidth="1" min="15" max="15"/>
    <col width="18" customWidth="1" min="16" max="16"/>
    <col width="12" customWidth="1" min="17" max="17"/>
    <col width="21" customWidth="1" min="18" max="18"/>
    <col width="15" customWidth="1" min="19" max="19"/>
    <col width="10" customWidth="1" min="20" max="20"/>
    <col width="11" customWidth="1" min="21" max="21"/>
    <col width="10" customWidth="1" min="22" max="22"/>
    <col width="10" customWidth="1" min="23" max="23"/>
    <col width="10" customWidth="1" min="24" max="24"/>
    <col width="38" customWidth="1" min="25" max="25"/>
  </cols>
  <sheetData>
    <row r="1" ht="36" customHeight="1">
      <c r="A1" s="12" t="inlineStr">
        <is>
          <t>Doc_ID</t>
        </is>
      </c>
      <c r="B1" s="12" t="inlineStr">
        <is>
          <t>Pagina</t>
        </is>
      </c>
      <c r="C1" s="12" t="inlineStr">
        <is>
          <t>CTe</t>
        </is>
      </c>
      <c r="D1" s="12" t="inlineStr">
        <is>
          <t>Data</t>
        </is>
      </c>
      <c r="E1" s="12" t="inlineStr">
        <is>
          <t>Transportadora</t>
        </is>
      </c>
      <c r="F1" s="12" t="inlineStr">
        <is>
          <t>CNPJ</t>
        </is>
      </c>
      <c r="G1" s="12" t="inlineStr">
        <is>
          <t>CFOP</t>
        </is>
      </c>
      <c r="H1" s="12" t="inlineStr">
        <is>
          <t>Origem</t>
        </is>
      </c>
      <c r="I1" s="12" t="inlineStr">
        <is>
          <t>Destino</t>
        </is>
      </c>
      <c r="J1" s="12" t="inlineStr">
        <is>
          <t>Remetente</t>
        </is>
      </c>
      <c r="K1" s="12" t="inlineStr">
        <is>
          <t>Remetente_CNPJ</t>
        </is>
      </c>
      <c r="L1" s="12" t="inlineStr">
        <is>
          <t>NF_e_Relacionada</t>
        </is>
      </c>
      <c r="M1" s="12" t="inlineStr">
        <is>
          <t>Peso_kg</t>
        </is>
      </c>
      <c r="N1" s="12" t="inlineStr">
        <is>
          <t>Quantidade_Unidades</t>
        </is>
      </c>
      <c r="O1" s="13" t="inlineStr">
        <is>
          <t>Produto</t>
        </is>
      </c>
      <c r="P1" s="12" t="inlineStr">
        <is>
          <t>Valor_Mercadoria</t>
        </is>
      </c>
      <c r="Q1" s="12" t="inlineStr">
        <is>
          <t>Frete_Peso</t>
        </is>
      </c>
      <c r="R1" s="12" t="inlineStr">
        <is>
          <t>Valor_Total_Servico</t>
        </is>
      </c>
      <c r="S1" s="12" t="inlineStr">
        <is>
          <t>Valor_Receber</t>
        </is>
      </c>
      <c r="T1" s="12" t="inlineStr">
        <is>
          <t>BC_ICMS</t>
        </is>
      </c>
      <c r="U1" s="12" t="inlineStr">
        <is>
          <t>Aliq_ICMS</t>
        </is>
      </c>
      <c r="V1" s="12" t="inlineStr">
        <is>
          <t>ICMS</t>
        </is>
      </c>
      <c r="W1" s="12" t="inlineStr">
        <is>
          <t>Red_BC</t>
        </is>
      </c>
      <c r="X1" s="12" t="inlineStr">
        <is>
          <t>Credito</t>
        </is>
      </c>
      <c r="Y1" s="13" t="inlineStr">
        <is>
          <t>Fonte</t>
        </is>
      </c>
    </row>
    <row r="2">
      <c r="A2" s="14" t="inlineStr">
        <is>
          <t>D019</t>
        </is>
      </c>
      <c r="B2" s="14" t="n">
        <v>23</v>
      </c>
      <c r="C2" s="15" t="inlineStr">
        <is>
          <t>839</t>
        </is>
      </c>
      <c r="D2" s="16" t="n">
        <v>46237</v>
      </c>
      <c r="E2" s="14" t="inlineStr">
        <is>
          <t>F G INTELIGENCIA EM LOGISTICA LTDA</t>
        </is>
      </c>
      <c r="F2" s="15" t="inlineStr">
        <is>
          <t>42.709.787/0003-77</t>
        </is>
      </c>
      <c r="G2" s="15" t="inlineStr">
        <is>
          <t>6353</t>
        </is>
      </c>
      <c r="H2" s="14" t="inlineStr">
        <is>
          <t>Quixeré/CE</t>
        </is>
      </c>
      <c r="I2" s="14" t="inlineStr">
        <is>
          <t>Teresina/PI</t>
        </is>
      </c>
      <c r="J2" s="14" t="inlineStr">
        <is>
          <t>COMPANHIA INDUSTRIAL DE CIMENTO APODI</t>
        </is>
      </c>
      <c r="K2" s="15" t="inlineStr">
        <is>
          <t>10.260.249/0003-51</t>
        </is>
      </c>
      <c r="L2" s="15" t="inlineStr">
        <is>
          <t>0557009</t>
        </is>
      </c>
      <c r="M2" s="35" t="n">
        <v>38080</v>
      </c>
      <c r="N2" s="35" t="n">
        <v>38080</v>
      </c>
      <c r="O2" s="18" t="inlineStr">
        <is>
          <t>CIMENTO PORTLAND - CP V ARI</t>
        </is>
      </c>
      <c r="P2" s="20" t="n">
        <v>19230.4</v>
      </c>
      <c r="Q2" s="20" t="n">
        <v>12566.4</v>
      </c>
      <c r="R2" s="20" t="n">
        <v>12566.4</v>
      </c>
      <c r="S2" s="20" t="n">
        <v>12566.4</v>
      </c>
      <c r="T2" s="20" t="n">
        <v>12566.4</v>
      </c>
      <c r="U2" s="22" t="n">
        <v>0.12</v>
      </c>
      <c r="V2" s="20" t="n">
        <v>1507.97</v>
      </c>
      <c r="W2" s="35" t="n">
        <v>0</v>
      </c>
      <c r="X2" s="20" t="n">
        <v>0</v>
      </c>
      <c r="Y2" s="18" t="inlineStr">
        <is>
          <t>NOTAS FISCAIS DE COMPRA AGOSTO 2026.pdf - p. 23</t>
        </is>
      </c>
    </row>
    <row r="3">
      <c r="A3" s="14" t="inlineStr">
        <is>
          <t>D010</t>
        </is>
      </c>
      <c r="B3" s="14" t="n">
        <v>14</v>
      </c>
      <c r="C3" s="15" t="inlineStr">
        <is>
          <t>842</t>
        </is>
      </c>
      <c r="D3" s="16" t="n">
        <v>46238</v>
      </c>
      <c r="E3" s="14" t="inlineStr">
        <is>
          <t>F G INTELIGENCIA EM LOGISTICA LTDA</t>
        </is>
      </c>
      <c r="F3" s="15" t="inlineStr">
        <is>
          <t>42.709.787/0003-77</t>
        </is>
      </c>
      <c r="G3" s="15" t="inlineStr">
        <is>
          <t>6353</t>
        </is>
      </c>
      <c r="H3" s="14" t="inlineStr">
        <is>
          <t>Quixeré/CE</t>
        </is>
      </c>
      <c r="I3" s="14" t="inlineStr">
        <is>
          <t>Teresina/PI</t>
        </is>
      </c>
      <c r="J3" s="14" t="inlineStr">
        <is>
          <t>COMPANHIA INDUSTRIAL DE CIMENTO APODI</t>
        </is>
      </c>
      <c r="K3" s="15" t="inlineStr">
        <is>
          <t>10.260.249/0003-51</t>
        </is>
      </c>
      <c r="L3" s="15" t="inlineStr">
        <is>
          <t>0557177</t>
        </is>
      </c>
      <c r="M3" s="35" t="n">
        <v>37690</v>
      </c>
      <c r="N3" s="35" t="n">
        <v>37690</v>
      </c>
      <c r="O3" s="18" t="inlineStr">
        <is>
          <t>CIMENTO PORTLAND - CP V ARI</t>
        </is>
      </c>
      <c r="P3" s="20" t="n">
        <v>19033.45</v>
      </c>
      <c r="Q3" s="20" t="n">
        <v>12437.7</v>
      </c>
      <c r="R3" s="20" t="n">
        <v>12437.7</v>
      </c>
      <c r="S3" s="20" t="n">
        <v>12437.7</v>
      </c>
      <c r="T3" s="20" t="n">
        <v>12437.7</v>
      </c>
      <c r="U3" s="22" t="n">
        <v>0.12</v>
      </c>
      <c r="V3" s="20" t="n">
        <v>1492.52</v>
      </c>
      <c r="W3" s="35" t="n">
        <v>0</v>
      </c>
      <c r="X3" s="20" t="n">
        <v>0</v>
      </c>
      <c r="Y3" s="18" t="inlineStr">
        <is>
          <t>NOTAS FISCAIS DE COMPRA AGOSTO 2026.pdf - p. 14</t>
        </is>
      </c>
    </row>
    <row r="4">
      <c r="A4" s="14" t="inlineStr">
        <is>
          <t>D009</t>
        </is>
      </c>
      <c r="B4" s="14" t="n">
        <v>13</v>
      </c>
      <c r="C4" s="15" t="inlineStr">
        <is>
          <t>845</t>
        </is>
      </c>
      <c r="D4" s="16" t="n">
        <v>46239</v>
      </c>
      <c r="E4" s="14" t="inlineStr">
        <is>
          <t>F G INTELIGENCIA EM LOGISTICA LTDA</t>
        </is>
      </c>
      <c r="F4" s="15" t="inlineStr">
        <is>
          <t>42.709.787/0003-77</t>
        </is>
      </c>
      <c r="G4" s="15" t="inlineStr">
        <is>
          <t>6353</t>
        </is>
      </c>
      <c r="H4" s="14" t="inlineStr">
        <is>
          <t>Quixeré/CE</t>
        </is>
      </c>
      <c r="I4" s="14" t="inlineStr">
        <is>
          <t>Teresina/PI</t>
        </is>
      </c>
      <c r="J4" s="14" t="inlineStr">
        <is>
          <t>COMPANHIA INDUSTRIAL DE CIMENTO APODI</t>
        </is>
      </c>
      <c r="K4" s="15" t="inlineStr">
        <is>
          <t>10.260.249/0003-51</t>
        </is>
      </c>
      <c r="L4" s="15" t="inlineStr">
        <is>
          <t>0557315</t>
        </is>
      </c>
      <c r="M4" s="35" t="n">
        <v>37970</v>
      </c>
      <c r="N4" s="35" t="n">
        <v>37970</v>
      </c>
      <c r="O4" s="18" t="inlineStr">
        <is>
          <t>CIMENTO PORTLAND - CP V ARI</t>
        </is>
      </c>
      <c r="P4" s="20" t="n">
        <v>19174.85</v>
      </c>
      <c r="Q4" s="20" t="n">
        <v>12530.1</v>
      </c>
      <c r="R4" s="20" t="n">
        <v>12530.1</v>
      </c>
      <c r="S4" s="20" t="n">
        <v>12530.1</v>
      </c>
      <c r="T4" s="20" t="n">
        <v>12530.1</v>
      </c>
      <c r="U4" s="22" t="n">
        <v>0.12</v>
      </c>
      <c r="V4" s="20" t="n">
        <v>1503.61</v>
      </c>
      <c r="W4" s="35" t="n">
        <v>0</v>
      </c>
      <c r="X4" s="20" t="n">
        <v>0</v>
      </c>
      <c r="Y4" s="18" t="inlineStr">
        <is>
          <t>NOTAS FISCAIS DE COMPRA AGOSTO 2026.pdf - p. 13</t>
        </is>
      </c>
    </row>
  </sheetData>
  <autoFilter ref="A1:Y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0" customWidth="1" min="4" max="4"/>
    <col width="34" customWidth="1" min="5" max="5"/>
    <col width="28" customWidth="1" min="6" max="6"/>
    <col width="16" customWidth="1" min="7" max="7"/>
    <col width="22" customWidth="1" min="8" max="8"/>
    <col width="10" customWidth="1" min="9" max="9"/>
    <col width="12" customWidth="1" min="10" max="10"/>
    <col width="10" customWidth="1" min="11" max="11"/>
    <col width="70" customWidth="1" min="12" max="12"/>
    <col width="38" customWidth="1" min="13" max="13"/>
  </cols>
  <sheetData>
    <row r="1" ht="36" customHeight="1">
      <c r="A1" s="12" t="inlineStr">
        <is>
          <t>Registro</t>
        </is>
      </c>
      <c r="B1" s="12" t="inlineStr">
        <is>
          <t>Doc_ID</t>
        </is>
      </c>
      <c r="C1" s="12" t="inlineStr">
        <is>
          <t>Pagina</t>
        </is>
      </c>
      <c r="D1" s="12" t="inlineStr">
        <is>
          <t>Periodo</t>
        </is>
      </c>
      <c r="E1" s="12" t="inlineStr">
        <is>
          <t>Item</t>
        </is>
      </c>
      <c r="F1" s="12" t="inlineStr">
        <is>
          <t>Codigo</t>
        </is>
      </c>
      <c r="G1" s="12" t="inlineStr">
        <is>
          <t>Quantidade_MWh</t>
        </is>
      </c>
      <c r="H1" s="12" t="inlineStr">
        <is>
          <t>Valor_Unitario_R_MWh</t>
        </is>
      </c>
      <c r="I1" s="12" t="inlineStr">
        <is>
          <t>Valor</t>
        </is>
      </c>
      <c r="J1" s="12" t="inlineStr">
        <is>
          <t>BC_ICMS_ST</t>
        </is>
      </c>
      <c r="K1" s="12" t="inlineStr">
        <is>
          <t>ICMS_ST</t>
        </is>
      </c>
      <c r="L1" s="13" t="inlineStr">
        <is>
          <t>Observacoes</t>
        </is>
      </c>
      <c r="M1" s="13" t="inlineStr">
        <is>
          <t>Fonte</t>
        </is>
      </c>
    </row>
    <row r="2">
      <c r="A2" s="14" t="inlineStr">
        <is>
          <t>NF-e de energia</t>
        </is>
      </c>
      <c r="B2" s="14" t="inlineStr">
        <is>
          <t>D005</t>
        </is>
      </c>
      <c r="C2" s="14" t="inlineStr">
        <is>
          <t>7</t>
        </is>
      </c>
      <c r="D2" s="14" t="inlineStr">
        <is>
          <t>07/2026</t>
        </is>
      </c>
      <c r="E2" s="14" t="inlineStr">
        <is>
          <t>ENERGIA ELETRICA</t>
        </is>
      </c>
      <c r="F2" s="15" t="inlineStr">
        <is>
          <t>1</t>
        </is>
      </c>
      <c r="G2" s="35" t="n">
        <v>27.59</v>
      </c>
      <c r="H2" s="20" t="n">
        <v>280.31</v>
      </c>
      <c r="I2" s="20" t="n">
        <v>7733.75</v>
      </c>
      <c r="J2" s="20" t="n">
        <v>9979.030000000001</v>
      </c>
      <c r="K2" s="20" t="n">
        <v>2245.28</v>
      </c>
      <c r="L2" s="18" t="inlineStr">
        <is>
          <t>NF-e total R$ 9.979,03.</t>
        </is>
      </c>
      <c r="M2" s="18" t="inlineStr">
        <is>
          <t>NOTAS FISCAIS DE COMPRA AGOSTO 2026.pdf - p. 7</t>
        </is>
      </c>
    </row>
    <row r="3">
      <c r="A3" s="14" t="inlineStr">
        <is>
          <t>Nota de débito</t>
        </is>
      </c>
      <c r="B3" s="14" t="inlineStr">
        <is>
          <t>D006</t>
        </is>
      </c>
      <c r="C3" s="14" t="inlineStr">
        <is>
          <t>8</t>
        </is>
      </c>
      <c r="D3" s="14" t="inlineStr">
        <is>
          <t>07/2026</t>
        </is>
      </c>
      <c r="E3" s="14" t="inlineStr">
        <is>
          <t>ENCARGO EER</t>
        </is>
      </c>
      <c r="F3" s="15" t="inlineStr">
        <is>
          <t>E00001</t>
        </is>
      </c>
      <c r="G3" s="36" t="n"/>
      <c r="H3" s="32" t="n"/>
      <c r="I3" s="20" t="n">
        <v>81.86</v>
      </c>
      <c r="J3" s="20" t="n">
        <v>0</v>
      </c>
      <c r="K3" s="20" t="n">
        <v>0</v>
      </c>
      <c r="L3" s="18" t="inlineStr">
        <is>
          <t>Nota de débito nº 8697 / Fatura 139754.</t>
        </is>
      </c>
      <c r="M3" s="18" t="inlineStr">
        <is>
          <t>NOTAS FISCAIS DE COMPRA AGOSTO 2026.pdf - p. 8</t>
        </is>
      </c>
    </row>
    <row r="4">
      <c r="A4" s="14" t="inlineStr">
        <is>
          <t>Nota de débito</t>
        </is>
      </c>
      <c r="B4" s="14" t="inlineStr">
        <is>
          <t>D006</t>
        </is>
      </c>
      <c r="C4" s="14" t="inlineStr">
        <is>
          <t>8</t>
        </is>
      </c>
      <c r="D4" s="14" t="inlineStr">
        <is>
          <t>07/2026</t>
        </is>
      </c>
      <c r="E4" s="14" t="inlineStr">
        <is>
          <t>ENCARGO ERCAP</t>
        </is>
      </c>
      <c r="F4" s="15" t="inlineStr">
        <is>
          <t>E00003</t>
        </is>
      </c>
      <c r="G4" s="36" t="n"/>
      <c r="H4" s="32" t="n"/>
      <c r="I4" s="20" t="n">
        <v>17.77</v>
      </c>
      <c r="J4" s="20" t="n">
        <v>0</v>
      </c>
      <c r="K4" s="20" t="n">
        <v>0</v>
      </c>
      <c r="L4" s="18" t="inlineStr">
        <is>
          <t>Nota de débito nº 8697 / Fatura 139754.</t>
        </is>
      </c>
      <c r="M4" s="18" t="inlineStr">
        <is>
          <t>NOTAS FISCAIS DE COMPRA AGOSTO 2026.pdf - p. 8</t>
        </is>
      </c>
    </row>
    <row r="5">
      <c r="A5" s="14" t="inlineStr">
        <is>
          <t>Nota de débito</t>
        </is>
      </c>
      <c r="B5" s="14" t="inlineStr">
        <is>
          <t>D006</t>
        </is>
      </c>
      <c r="C5" s="14" t="inlineStr">
        <is>
          <t>8</t>
        </is>
      </c>
      <c r="D5" s="14" t="inlineStr">
        <is>
          <t>07/2026</t>
        </is>
      </c>
      <c r="E5" s="14" t="inlineStr">
        <is>
          <t>ENCARGO ANGRA</t>
        </is>
      </c>
      <c r="F5" s="15" t="inlineStr">
        <is>
          <t>E00008</t>
        </is>
      </c>
      <c r="G5" s="36" t="n"/>
      <c r="H5" s="32" t="n"/>
      <c r="I5" s="20" t="n">
        <v>49.42</v>
      </c>
      <c r="J5" s="20" t="n">
        <v>0</v>
      </c>
      <c r="K5" s="20" t="n">
        <v>0</v>
      </c>
      <c r="L5" s="18" t="inlineStr">
        <is>
          <t>Nota de débito nº 8697 / Fatura 139754.</t>
        </is>
      </c>
      <c r="M5" s="18" t="inlineStr">
        <is>
          <t>NOTAS FISCAIS DE COMPRA AGOSTO 2026.pdf - p. 8</t>
        </is>
      </c>
    </row>
    <row r="6">
      <c r="A6" s="14" t="inlineStr">
        <is>
          <t>Demonstrativo</t>
        </is>
      </c>
      <c r="B6" s="14" t="inlineStr">
        <is>
          <t>A003</t>
        </is>
      </c>
      <c r="C6" s="14" t="inlineStr">
        <is>
          <t>9</t>
        </is>
      </c>
      <c r="D6" s="14" t="inlineStr">
        <is>
          <t>07/2026</t>
        </is>
      </c>
      <c r="E6" s="14" t="inlineStr">
        <is>
          <t>Energia Medida Verificada</t>
        </is>
      </c>
      <c r="F6" s="15" t="inlineStr"/>
      <c r="G6" s="35" t="n">
        <v>0</v>
      </c>
      <c r="H6" s="32" t="n"/>
      <c r="I6" s="32" t="n"/>
      <c r="J6" s="32" t="n"/>
      <c r="K6" s="32" t="n"/>
      <c r="L6" s="18" t="inlineStr">
        <is>
          <t>Energia medida verificada: 0,000 MWh.</t>
        </is>
      </c>
      <c r="M6" s="18" t="inlineStr">
        <is>
          <t>NOTAS FISCAIS DE COMPRA AGOSTO 2026.pdf - p. 9</t>
        </is>
      </c>
    </row>
    <row r="7">
      <c r="A7" s="14" t="inlineStr">
        <is>
          <t>Demonstrativo</t>
        </is>
      </c>
      <c r="B7" s="14" t="inlineStr">
        <is>
          <t>A003</t>
        </is>
      </c>
      <c r="C7" s="14" t="inlineStr">
        <is>
          <t>9</t>
        </is>
      </c>
      <c r="D7" s="14" t="inlineStr">
        <is>
          <t>07/2026</t>
        </is>
      </c>
      <c r="E7" s="14" t="inlineStr">
        <is>
          <t>Energia Contratada Mensal</t>
        </is>
      </c>
      <c r="F7" s="15" t="inlineStr"/>
      <c r="G7" s="35" t="n">
        <v>0</v>
      </c>
      <c r="H7" s="32" t="n"/>
      <c r="I7" s="32" t="n"/>
      <c r="J7" s="32" t="n"/>
      <c r="K7" s="32" t="n"/>
      <c r="L7" s="18" t="inlineStr">
        <is>
          <t>Energia contratada mensal: 0,000 MWh.</t>
        </is>
      </c>
      <c r="M7" s="18" t="inlineStr">
        <is>
          <t>NOTAS FISCAIS DE COMPRA AGOSTO 2026.pdf - p. 9</t>
        </is>
      </c>
    </row>
    <row r="8">
      <c r="A8" s="14" t="inlineStr">
        <is>
          <t>Demonstrativo</t>
        </is>
      </c>
      <c r="B8" s="14" t="inlineStr">
        <is>
          <t>A003</t>
        </is>
      </c>
      <c r="C8" s="14" t="inlineStr">
        <is>
          <t>9</t>
        </is>
      </c>
      <c r="D8" s="14" t="inlineStr">
        <is>
          <t>07/2026</t>
        </is>
      </c>
      <c r="E8" s="14" t="inlineStr">
        <is>
          <t>Fatura sem ICMS</t>
        </is>
      </c>
      <c r="F8" s="15" t="inlineStr"/>
      <c r="G8" s="36" t="n"/>
      <c r="H8" s="32" t="n"/>
      <c r="I8" s="20" t="n">
        <v>-437.56</v>
      </c>
      <c r="J8" s="32" t="n"/>
      <c r="K8" s="32" t="n"/>
      <c r="L8" s="18" t="inlineStr">
        <is>
          <t>Preço sem ICMS informado: R$ 280,31/MWh. Tipo de energia: Incentivada Especial 50%.</t>
        </is>
      </c>
      <c r="M8" s="18" t="inlineStr">
        <is>
          <t>NOTAS FISCAIS DE COMPRA AGOSTO 2026.pdf - p. 9</t>
        </is>
      </c>
    </row>
    <row r="9">
      <c r="A9" s="14" t="inlineStr">
        <is>
          <t>Histórico consumo</t>
        </is>
      </c>
      <c r="B9" s="14" t="inlineStr">
        <is>
          <t>A003</t>
        </is>
      </c>
      <c r="C9" s="14" t="inlineStr">
        <is>
          <t>9</t>
        </is>
      </c>
      <c r="D9" s="14" t="inlineStr">
        <is>
          <t>mai/2026</t>
        </is>
      </c>
      <c r="E9" s="14" t="inlineStr">
        <is>
          <t>Consumo</t>
        </is>
      </c>
      <c r="F9" s="15" t="inlineStr"/>
      <c r="G9" s="35" t="n">
        <v>0</v>
      </c>
      <c r="H9" s="32" t="n"/>
      <c r="I9" s="32" t="n"/>
      <c r="J9" s="32" t="n"/>
      <c r="K9" s="32" t="n"/>
      <c r="L9" s="18" t="inlineStr"/>
      <c r="M9" s="18" t="inlineStr">
        <is>
          <t>NOTAS FISCAIS DE COMPRA AGOSTO 2026.pdf - p. 9</t>
        </is>
      </c>
    </row>
    <row r="10">
      <c r="A10" s="14" t="inlineStr">
        <is>
          <t>Histórico consumo</t>
        </is>
      </c>
      <c r="B10" s="14" t="inlineStr">
        <is>
          <t>A003</t>
        </is>
      </c>
      <c r="C10" s="14" t="inlineStr">
        <is>
          <t>9</t>
        </is>
      </c>
      <c r="D10" s="14" t="inlineStr">
        <is>
          <t>jun/2026</t>
        </is>
      </c>
      <c r="E10" s="14" t="inlineStr">
        <is>
          <t>Consumo</t>
        </is>
      </c>
      <c r="F10" s="15" t="inlineStr"/>
      <c r="G10" s="35" t="n">
        <v>27.756</v>
      </c>
      <c r="H10" s="32" t="n"/>
      <c r="I10" s="32" t="n"/>
      <c r="J10" s="32" t="n"/>
      <c r="K10" s="32" t="n"/>
      <c r="L10" s="18" t="inlineStr"/>
      <c r="M10" s="18" t="inlineStr">
        <is>
          <t>NOTAS FISCAIS DE COMPRA AGOSTO 2026.pdf - p. 9</t>
        </is>
      </c>
    </row>
    <row r="11">
      <c r="A11" s="14" t="inlineStr">
        <is>
          <t>Histórico consumo</t>
        </is>
      </c>
      <c r="B11" s="14" t="inlineStr">
        <is>
          <t>A003</t>
        </is>
      </c>
      <c r="C11" s="14" t="inlineStr">
        <is>
          <t>9</t>
        </is>
      </c>
      <c r="D11" s="14" t="inlineStr">
        <is>
          <t>jul/2026</t>
        </is>
      </c>
      <c r="E11" s="14" t="inlineStr">
        <is>
          <t>Consumo</t>
        </is>
      </c>
      <c r="F11" s="15" t="inlineStr"/>
      <c r="G11" s="35" t="n">
        <v>-1.561</v>
      </c>
      <c r="H11" s="32" t="n"/>
      <c r="I11" s="32" t="n"/>
      <c r="J11" s="32" t="n"/>
      <c r="K11" s="32" t="n"/>
      <c r="L11" s="18" t="inlineStr"/>
      <c r="M11" s="18" t="inlineStr">
        <is>
          <t>NOTAS FISCAIS DE COMPRA AGOSTO 2026.pdf - p. 9</t>
        </is>
      </c>
    </row>
    <row r="12">
      <c r="A12" s="14" t="inlineStr">
        <is>
          <t>Distribuição por unidades</t>
        </is>
      </c>
      <c r="B12" s="14" t="inlineStr">
        <is>
          <t>A003</t>
        </is>
      </c>
      <c r="C12" s="14" t="inlineStr">
        <is>
          <t>10</t>
        </is>
      </c>
      <c r="D12" s="14" t="inlineStr">
        <is>
          <t>07/2026</t>
        </is>
      </c>
      <c r="E12" s="14" t="inlineStr">
        <is>
          <t>Contrato 139754</t>
        </is>
      </c>
      <c r="F12" s="15" t="inlineStr">
        <is>
          <t>P. Medição 000198897901006</t>
        </is>
      </c>
      <c r="G12" s="35" t="n">
        <v>-1.561</v>
      </c>
      <c r="H12" s="32" t="n"/>
      <c r="I12" s="32" t="n"/>
      <c r="J12" s="32" t="n"/>
      <c r="K12" s="32" t="n"/>
      <c r="L12" s="18" t="inlineStr">
        <is>
          <t>CNPJ 23.655.038/0002-89; Submercado NORDESTE; Montante SCDE 0,000 MWh; perdas 3,00%; Proinfa 0,708 MWh; Angra 0,853 MWh; F. Atend. 100%; Cons. Apurado -1,561 MWh; Val. Faturar 0,000 MWh.</t>
        </is>
      </c>
      <c r="M12" s="18" t="inlineStr">
        <is>
          <t>NOTAS FISCAIS DE COMPRA AGOSTO 2026.pdf - p. 10</t>
        </is>
      </c>
    </row>
  </sheetData>
  <autoFilter ref="A1:M1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3" customWidth="1" min="4" max="4"/>
    <col width="14" customWidth="1" min="5" max="5"/>
    <col width="38" customWidth="1" min="6" max="6"/>
    <col width="20" customWidth="1" min="7" max="7"/>
    <col width="17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13" customWidth="1" min="21" max="21"/>
    <col width="13" customWidth="1" min="22" max="22"/>
    <col width="13" customWidth="1" min="23" max="23"/>
    <col width="18" customWidth="1" min="24" max="24"/>
    <col width="15" customWidth="1" min="25" max="25"/>
    <col width="14" customWidth="1" min="26" max="26"/>
    <col width="10" customWidth="1" min="27" max="27"/>
    <col width="15" customWidth="1" min="28" max="28"/>
    <col width="10" customWidth="1" min="29" max="29"/>
    <col width="10" customWidth="1" min="30" max="30"/>
    <col width="38" customWidth="1" min="31" max="31"/>
  </cols>
  <sheetData>
    <row r="1" ht="36" customHeight="1">
      <c r="A1" s="12" t="inlineStr">
        <is>
          <t>Doc_ID</t>
        </is>
      </c>
      <c r="B1" s="12" t="inlineStr">
        <is>
          <t>Pagina</t>
        </is>
      </c>
      <c r="C1" s="12" t="inlineStr">
        <is>
          <t>Tipo</t>
        </is>
      </c>
      <c r="D1" s="12" t="inlineStr">
        <is>
          <t>Numero</t>
        </is>
      </c>
      <c r="E1" s="12" t="inlineStr">
        <is>
          <t>Unidade</t>
        </is>
      </c>
      <c r="F1" s="13" t="inlineStr">
        <is>
          <t>Emitente</t>
        </is>
      </c>
      <c r="G1" s="12" t="inlineStr">
        <is>
          <t>CNPJ_Emitente</t>
        </is>
      </c>
      <c r="H1" s="12" t="inlineStr">
        <is>
          <t>Valor_Documento</t>
        </is>
      </c>
      <c r="I1" s="12" t="inlineStr">
        <is>
          <t>BC_ICMS</t>
        </is>
      </c>
      <c r="J1" s="12" t="inlineStr">
        <is>
          <t>Aliq_ICMS</t>
        </is>
      </c>
      <c r="K1" s="12" t="inlineStr">
        <is>
          <t>ICMS</t>
        </is>
      </c>
      <c r="L1" s="12" t="inlineStr">
        <is>
          <t>BC_ICMS_ST</t>
        </is>
      </c>
      <c r="M1" s="12" t="inlineStr">
        <is>
          <t>ICMS_ST</t>
        </is>
      </c>
      <c r="N1" s="12" t="inlineStr">
        <is>
          <t>IPI</t>
        </is>
      </c>
      <c r="O1" s="12" t="inlineStr">
        <is>
          <t>PIS</t>
        </is>
      </c>
      <c r="P1" s="12" t="inlineStr">
        <is>
          <t>COFINS</t>
        </is>
      </c>
      <c r="Q1" s="12" t="inlineStr">
        <is>
          <t>BC_ISS</t>
        </is>
      </c>
      <c r="R1" s="12" t="inlineStr">
        <is>
          <t>Aliq_ISS</t>
        </is>
      </c>
      <c r="S1" s="12" t="inlineStr">
        <is>
          <t>ISS</t>
        </is>
      </c>
      <c r="T1" s="12" t="inlineStr">
        <is>
          <t>ISS_Retido</t>
        </is>
      </c>
      <c r="U1" s="12" t="inlineStr">
        <is>
          <t>INSS_Retido</t>
        </is>
      </c>
      <c r="V1" s="12" t="inlineStr">
        <is>
          <t>IRRF_Retido</t>
        </is>
      </c>
      <c r="W1" s="12" t="inlineStr">
        <is>
          <t>CSLL_Retida</t>
        </is>
      </c>
      <c r="X1" s="12" t="inlineStr">
        <is>
          <t>Outras_Retencoes</t>
        </is>
      </c>
      <c r="Y1" s="12" t="inlineStr">
        <is>
          <t>IBS_Municipal</t>
        </is>
      </c>
      <c r="Z1" s="12" t="inlineStr">
        <is>
          <t>IBS_Estadual</t>
        </is>
      </c>
      <c r="AA1" s="12" t="inlineStr">
        <is>
          <t>CBS</t>
        </is>
      </c>
      <c r="AB1" s="12" t="inlineStr">
        <is>
          <t>Total_IBS_CBS</t>
        </is>
      </c>
      <c r="AC1" s="12" t="inlineStr">
        <is>
          <t>FUST</t>
        </is>
      </c>
      <c r="AD1" s="12" t="inlineStr">
        <is>
          <t>FUNTTEL</t>
        </is>
      </c>
      <c r="AE1" s="13" t="inlineStr">
        <is>
          <t>Fonte</t>
        </is>
      </c>
    </row>
    <row r="2">
      <c r="A2" s="14" t="inlineStr">
        <is>
          <t>D001</t>
        </is>
      </c>
      <c r="B2" s="14" t="inlineStr">
        <is>
          <t>1</t>
        </is>
      </c>
      <c r="C2" s="14" t="inlineStr">
        <is>
          <t>NFS-e</t>
        </is>
      </c>
      <c r="D2" s="15" t="inlineStr">
        <is>
          <t>626733</t>
        </is>
      </c>
      <c r="E2" s="14" t="inlineStr">
        <is>
          <t>SKAL /0001</t>
        </is>
      </c>
      <c r="F2" s="18" t="inlineStr">
        <is>
          <t>CONNECT INFORMACOES E TECNOLOGIA SA</t>
        </is>
      </c>
      <c r="G2" s="15" t="inlineStr">
        <is>
          <t>00.850.820/0001-72</t>
        </is>
      </c>
      <c r="H2" s="20" t="n">
        <v>2318.69</v>
      </c>
      <c r="I2" s="20" t="n">
        <v>0</v>
      </c>
      <c r="J2" s="21" t="n"/>
      <c r="K2" s="20" t="n">
        <v>0</v>
      </c>
      <c r="L2" s="20" t="n">
        <v>0</v>
      </c>
      <c r="M2" s="20" t="n">
        <v>0</v>
      </c>
      <c r="N2" s="20" t="n">
        <v>0</v>
      </c>
      <c r="O2" s="20" t="n">
        <v>0</v>
      </c>
      <c r="P2" s="20" t="n">
        <v>0</v>
      </c>
      <c r="Q2" s="20" t="n">
        <v>2318.69</v>
      </c>
      <c r="R2" s="22" t="n">
        <v>0.02</v>
      </c>
      <c r="S2" s="20" t="n">
        <v>46.37</v>
      </c>
      <c r="T2" s="20" t="n">
        <v>0</v>
      </c>
      <c r="U2" s="20" t="n">
        <v>0</v>
      </c>
      <c r="V2" s="20" t="n">
        <v>0</v>
      </c>
      <c r="W2" s="20" t="n">
        <v>0</v>
      </c>
      <c r="X2" s="20" t="n">
        <v>0</v>
      </c>
      <c r="Y2" s="20" t="n">
        <v>0</v>
      </c>
      <c r="Z2" s="20" t="n">
        <v>0</v>
      </c>
      <c r="AA2" s="20" t="n">
        <v>0</v>
      </c>
      <c r="AB2" s="20" t="n">
        <v>0</v>
      </c>
      <c r="AC2" s="20" t="n">
        <v>0</v>
      </c>
      <c r="AD2" s="20" t="n">
        <v>0</v>
      </c>
      <c r="AE2" s="18" t="inlineStr">
        <is>
          <t>NOTAS FISCAIS DE COMPRA AGOSTO 2026.pdf - p. 1</t>
        </is>
      </c>
    </row>
    <row r="3">
      <c r="A3" s="14" t="inlineStr">
        <is>
          <t>D002</t>
        </is>
      </c>
      <c r="B3" s="14" t="inlineStr">
        <is>
          <t>2, 5</t>
        </is>
      </c>
      <c r="C3" s="14" t="inlineStr">
        <is>
          <t>DPS</t>
        </is>
      </c>
      <c r="D3" s="15" t="inlineStr">
        <is>
          <t>9</t>
        </is>
      </c>
      <c r="E3" s="14" t="inlineStr">
        <is>
          <t>SKAL /0002</t>
        </is>
      </c>
      <c r="F3" s="18" t="inlineStr">
        <is>
          <t>JOSIMAR INOCENCIO DE MORAIS - ME</t>
        </is>
      </c>
      <c r="G3" s="15" t="inlineStr">
        <is>
          <t>02.950.057/0001-87</t>
        </is>
      </c>
      <c r="H3" s="20" t="n">
        <v>16600</v>
      </c>
      <c r="I3" s="20" t="n">
        <v>0</v>
      </c>
      <c r="J3" s="21" t="n"/>
      <c r="K3" s="20" t="n">
        <v>0</v>
      </c>
      <c r="L3" s="20" t="n">
        <v>0</v>
      </c>
      <c r="M3" s="20" t="n">
        <v>0</v>
      </c>
      <c r="N3" s="20" t="n">
        <v>0</v>
      </c>
      <c r="O3" s="20" t="n">
        <v>0</v>
      </c>
      <c r="P3" s="20" t="n">
        <v>0</v>
      </c>
      <c r="Q3" s="20" t="n">
        <v>16600</v>
      </c>
      <c r="R3" s="22" t="n">
        <v>0.05</v>
      </c>
      <c r="S3" s="20" t="n">
        <v>830</v>
      </c>
      <c r="T3" s="20" t="n">
        <v>0</v>
      </c>
      <c r="U3" s="20" t="n">
        <v>0</v>
      </c>
      <c r="V3" s="20" t="n">
        <v>0</v>
      </c>
      <c r="W3" s="20" t="n">
        <v>0</v>
      </c>
      <c r="X3" s="20" t="n">
        <v>0</v>
      </c>
      <c r="Y3" s="20" t="n">
        <v>0</v>
      </c>
      <c r="Z3" s="20" t="n">
        <v>0</v>
      </c>
      <c r="AA3" s="20" t="n">
        <v>0</v>
      </c>
      <c r="AB3" s="20" t="n">
        <v>0</v>
      </c>
      <c r="AC3" s="20" t="n">
        <v>0</v>
      </c>
      <c r="AD3" s="20" t="n">
        <v>0</v>
      </c>
      <c r="AE3" s="18" t="inlineStr">
        <is>
          <t>NOTAS FISCAIS DE COMPRA AGOSTO 2026.pdf - p. 2 e p. 5</t>
        </is>
      </c>
    </row>
    <row r="4">
      <c r="A4" s="14" t="inlineStr">
        <is>
          <t>D003</t>
        </is>
      </c>
      <c r="B4" s="14" t="inlineStr">
        <is>
          <t>3</t>
        </is>
      </c>
      <c r="C4" s="14" t="inlineStr">
        <is>
          <t>NFS-e</t>
        </is>
      </c>
      <c r="D4" s="15" t="inlineStr">
        <is>
          <t>626731</t>
        </is>
      </c>
      <c r="E4" s="14" t="inlineStr">
        <is>
          <t>KALFIX /0001</t>
        </is>
      </c>
      <c r="F4" s="18" t="inlineStr">
        <is>
          <t>CONNECT INFORMACOES E TECNOLOGIA SA</t>
        </is>
      </c>
      <c r="G4" s="15" t="inlineStr">
        <is>
          <t>00.850.820/0001-72</t>
        </is>
      </c>
      <c r="H4" s="20" t="n">
        <v>183.19</v>
      </c>
      <c r="I4" s="20" t="n">
        <v>0</v>
      </c>
      <c r="J4" s="21" t="n"/>
      <c r="K4" s="20" t="n">
        <v>0</v>
      </c>
      <c r="L4" s="20" t="n">
        <v>0</v>
      </c>
      <c r="M4" s="20" t="n">
        <v>0</v>
      </c>
      <c r="N4" s="20" t="n">
        <v>0</v>
      </c>
      <c r="O4" s="20" t="n">
        <v>0</v>
      </c>
      <c r="P4" s="20" t="n">
        <v>0</v>
      </c>
      <c r="Q4" s="20" t="n">
        <v>183.19</v>
      </c>
      <c r="R4" s="22" t="n">
        <v>0.02</v>
      </c>
      <c r="S4" s="20" t="n">
        <v>3.66</v>
      </c>
      <c r="T4" s="20" t="n">
        <v>0</v>
      </c>
      <c r="U4" s="20" t="n">
        <v>0</v>
      </c>
      <c r="V4" s="20" t="n">
        <v>0</v>
      </c>
      <c r="W4" s="20" t="n">
        <v>0</v>
      </c>
      <c r="X4" s="20" t="n">
        <v>0</v>
      </c>
      <c r="Y4" s="20" t="n">
        <v>0</v>
      </c>
      <c r="Z4" s="20" t="n">
        <v>0</v>
      </c>
      <c r="AA4" s="20" t="n">
        <v>0</v>
      </c>
      <c r="AB4" s="20" t="n">
        <v>0</v>
      </c>
      <c r="AC4" s="20" t="n">
        <v>0</v>
      </c>
      <c r="AD4" s="20" t="n">
        <v>0</v>
      </c>
      <c r="AE4" s="18" t="inlineStr">
        <is>
          <t>NOTAS FISCAIS DE COMPRA AGOSTO 2026.pdf - p. 3</t>
        </is>
      </c>
    </row>
    <row r="5">
      <c r="A5" s="14" t="inlineStr">
        <is>
          <t>D004</t>
        </is>
      </c>
      <c r="B5" s="14" t="inlineStr">
        <is>
          <t>4</t>
        </is>
      </c>
      <c r="C5" s="14" t="inlineStr">
        <is>
          <t>NFS-e</t>
        </is>
      </c>
      <c r="D5" s="15" t="inlineStr">
        <is>
          <t>787</t>
        </is>
      </c>
      <c r="E5" s="14" t="inlineStr">
        <is>
          <t>SKAL /0002</t>
        </is>
      </c>
      <c r="F5" s="18" t="inlineStr">
        <is>
          <t>EDWARD MOURA SOCIEDADE INDIVIDUAL DE ADVOCACIA</t>
        </is>
      </c>
      <c r="G5" s="15" t="inlineStr">
        <is>
          <t>09.244.087/0001-17</t>
        </is>
      </c>
      <c r="H5" s="20" t="n">
        <v>4075</v>
      </c>
      <c r="I5" s="20" t="n">
        <v>0</v>
      </c>
      <c r="J5" s="21" t="n"/>
      <c r="K5" s="20" t="n">
        <v>0</v>
      </c>
      <c r="L5" s="20" t="n">
        <v>0</v>
      </c>
      <c r="M5" s="20" t="n">
        <v>0</v>
      </c>
      <c r="N5" s="20" t="n">
        <v>0</v>
      </c>
      <c r="O5" s="20" t="n">
        <v>0</v>
      </c>
      <c r="P5" s="20" t="n">
        <v>0</v>
      </c>
      <c r="Q5" s="20" t="n">
        <v>4075</v>
      </c>
      <c r="R5" s="21" t="n"/>
      <c r="S5" s="32" t="n"/>
      <c r="T5" s="20" t="n">
        <v>0</v>
      </c>
      <c r="U5" s="20" t="n">
        <v>0</v>
      </c>
      <c r="V5" s="20" t="n">
        <v>0</v>
      </c>
      <c r="W5" s="20" t="n">
        <v>0</v>
      </c>
      <c r="X5" s="20" t="n">
        <v>0</v>
      </c>
      <c r="Y5" s="20" t="n">
        <v>0</v>
      </c>
      <c r="Z5" s="20" t="n">
        <v>0</v>
      </c>
      <c r="AA5" s="20" t="n">
        <v>0</v>
      </c>
      <c r="AB5" s="20" t="n">
        <v>0</v>
      </c>
      <c r="AC5" s="20" t="n">
        <v>0</v>
      </c>
      <c r="AD5" s="20" t="n">
        <v>0</v>
      </c>
      <c r="AE5" s="18" t="inlineStr">
        <is>
          <t>NOTAS FISCAIS DE COMPRA AGOSTO 2026.pdf - p. 4</t>
        </is>
      </c>
    </row>
    <row r="6">
      <c r="A6" s="14" t="inlineStr">
        <is>
          <t>D005</t>
        </is>
      </c>
      <c r="B6" s="14" t="inlineStr">
        <is>
          <t>7</t>
        </is>
      </c>
      <c r="C6" s="14" t="inlineStr">
        <is>
          <t>NF-e</t>
        </is>
      </c>
      <c r="D6" s="15" t="inlineStr">
        <is>
          <t>161081</t>
        </is>
      </c>
      <c r="E6" s="14" t="inlineStr">
        <is>
          <t>SKAL /0002</t>
        </is>
      </c>
      <c r="F6" s="18" t="inlineStr">
        <is>
          <t>MATRIX COMERCIALIZADORA DE ENERGIA ELETRICA S/A</t>
        </is>
      </c>
      <c r="G6" s="15" t="inlineStr">
        <is>
          <t>17.858.631/0001-49</t>
        </is>
      </c>
      <c r="H6" s="20" t="n">
        <v>9979.030000000001</v>
      </c>
      <c r="I6" s="20" t="n">
        <v>0</v>
      </c>
      <c r="J6" s="22" t="n">
        <v>0</v>
      </c>
      <c r="K6" s="20" t="n">
        <v>0</v>
      </c>
      <c r="L6" s="20" t="n">
        <v>9979.030000000001</v>
      </c>
      <c r="M6" s="20" t="n">
        <v>2245.28</v>
      </c>
      <c r="N6" s="20" t="n">
        <v>0</v>
      </c>
      <c r="O6" s="32" t="n"/>
      <c r="P6" s="32" t="n"/>
      <c r="Q6" s="20" t="n">
        <v>0</v>
      </c>
      <c r="R6" s="21" t="n"/>
      <c r="S6" s="20" t="n">
        <v>0</v>
      </c>
      <c r="T6" s="20" t="n">
        <v>0</v>
      </c>
      <c r="U6" s="20" t="n">
        <v>0</v>
      </c>
      <c r="V6" s="20" t="n">
        <v>0</v>
      </c>
      <c r="W6" s="20" t="n">
        <v>0</v>
      </c>
      <c r="X6" s="20" t="n">
        <v>0</v>
      </c>
      <c r="Y6" s="20" t="n">
        <v>0</v>
      </c>
      <c r="Z6" s="20" t="n">
        <v>0</v>
      </c>
      <c r="AA6" s="20" t="n">
        <v>0</v>
      </c>
      <c r="AB6" s="20" t="n">
        <v>0</v>
      </c>
      <c r="AC6" s="20" t="n">
        <v>0</v>
      </c>
      <c r="AD6" s="20" t="n">
        <v>0</v>
      </c>
      <c r="AE6" s="18" t="inlineStr">
        <is>
          <t>NOTAS FISCAIS DE COMPRA AGOSTO 2026.pdf - p. 7</t>
        </is>
      </c>
    </row>
    <row r="7">
      <c r="A7" s="14" t="inlineStr">
        <is>
          <t>D006</t>
        </is>
      </c>
      <c r="B7" s="14" t="inlineStr">
        <is>
          <t>8</t>
        </is>
      </c>
      <c r="C7" s="14" t="inlineStr">
        <is>
          <t>Nota de Débito</t>
        </is>
      </c>
      <c r="D7" s="15" t="inlineStr">
        <is>
          <t>8697</t>
        </is>
      </c>
      <c r="E7" s="14" t="inlineStr">
        <is>
          <t>SKAL /0002</t>
        </is>
      </c>
      <c r="F7" s="18" t="inlineStr">
        <is>
          <t>MATRIX COMERCIALIZADORA DE ENERGIA ELETRICA S/A</t>
        </is>
      </c>
      <c r="G7" s="15" t="inlineStr">
        <is>
          <t>17.858.631/0001-49</t>
        </is>
      </c>
      <c r="H7" s="20" t="n">
        <v>149.05</v>
      </c>
      <c r="I7" s="20" t="n">
        <v>0</v>
      </c>
      <c r="J7" s="21" t="n"/>
      <c r="K7" s="20" t="n">
        <v>0</v>
      </c>
      <c r="L7" s="20" t="n">
        <v>0</v>
      </c>
      <c r="M7" s="20" t="n">
        <v>0</v>
      </c>
      <c r="N7" s="20" t="n">
        <v>0</v>
      </c>
      <c r="O7" s="32" t="n"/>
      <c r="P7" s="32" t="n"/>
      <c r="Q7" s="20" t="n">
        <v>0</v>
      </c>
      <c r="R7" s="21" t="n"/>
      <c r="S7" s="20" t="n">
        <v>0</v>
      </c>
      <c r="T7" s="20" t="n">
        <v>0</v>
      </c>
      <c r="U7" s="20" t="n">
        <v>0</v>
      </c>
      <c r="V7" s="20" t="n">
        <v>0</v>
      </c>
      <c r="W7" s="20" t="n">
        <v>0</v>
      </c>
      <c r="X7" s="20" t="n">
        <v>0</v>
      </c>
      <c r="Y7" s="20" t="n">
        <v>0</v>
      </c>
      <c r="Z7" s="20" t="n">
        <v>0</v>
      </c>
      <c r="AA7" s="20" t="n">
        <v>0</v>
      </c>
      <c r="AB7" s="20" t="n">
        <v>0</v>
      </c>
      <c r="AC7" s="20" t="n">
        <v>0</v>
      </c>
      <c r="AD7" s="20" t="n">
        <v>0</v>
      </c>
      <c r="AE7" s="18" t="inlineStr">
        <is>
          <t>NOTAS FISCAIS DE COMPRA AGOSTO 2026.pdf - p. 8</t>
        </is>
      </c>
    </row>
    <row r="8">
      <c r="A8" s="14" t="inlineStr">
        <is>
          <t>D007</t>
        </is>
      </c>
      <c r="B8" s="14" t="inlineStr">
        <is>
          <t>11</t>
        </is>
      </c>
      <c r="C8" s="14" t="inlineStr">
        <is>
          <t>NFS-e</t>
        </is>
      </c>
      <c r="D8" s="15" t="inlineStr">
        <is>
          <t>472</t>
        </is>
      </c>
      <c r="E8" s="14" t="inlineStr">
        <is>
          <t>SKAL /0002</t>
        </is>
      </c>
      <c r="F8" s="18" t="inlineStr">
        <is>
          <t>AGUIA EXPRESS RH PRESTADORA DE SERVICOS EIRELI EPP</t>
        </is>
      </c>
      <c r="G8" s="15" t="inlineStr">
        <is>
          <t>18.787.111/0001-55</t>
        </is>
      </c>
      <c r="H8" s="20" t="n">
        <v>450</v>
      </c>
      <c r="I8" s="20" t="n">
        <v>0</v>
      </c>
      <c r="J8" s="21" t="n"/>
      <c r="K8" s="20" t="n">
        <v>0</v>
      </c>
      <c r="L8" s="20" t="n">
        <v>0</v>
      </c>
      <c r="M8" s="20" t="n">
        <v>0</v>
      </c>
      <c r="N8" s="20" t="n">
        <v>0</v>
      </c>
      <c r="O8" s="20" t="n">
        <v>0</v>
      </c>
      <c r="P8" s="20" t="n">
        <v>0</v>
      </c>
      <c r="Q8" s="20" t="n">
        <v>450</v>
      </c>
      <c r="R8" s="22" t="n">
        <v>0.05</v>
      </c>
      <c r="S8" s="20" t="n">
        <v>22.5</v>
      </c>
      <c r="T8" s="20" t="n">
        <v>0</v>
      </c>
      <c r="U8" s="20" t="n">
        <v>0</v>
      </c>
      <c r="V8" s="20" t="n">
        <v>0</v>
      </c>
      <c r="W8" s="20" t="n">
        <v>0</v>
      </c>
      <c r="X8" s="20" t="n">
        <v>0</v>
      </c>
      <c r="Y8" s="20" t="n">
        <v>0</v>
      </c>
      <c r="Z8" s="20" t="n">
        <v>0.43</v>
      </c>
      <c r="AA8" s="20" t="n">
        <v>3.85</v>
      </c>
      <c r="AB8" s="20" t="n">
        <v>4.28</v>
      </c>
      <c r="AC8" s="20" t="n">
        <v>0</v>
      </c>
      <c r="AD8" s="20" t="n">
        <v>0</v>
      </c>
      <c r="AE8" s="18" t="inlineStr">
        <is>
          <t>NOTAS FISCAIS DE COMPRA AGOSTO 2026.pdf - p. 11</t>
        </is>
      </c>
    </row>
    <row r="9">
      <c r="A9" s="14" t="inlineStr">
        <is>
          <t>D008</t>
        </is>
      </c>
      <c r="B9" s="14" t="inlineStr">
        <is>
          <t>12</t>
        </is>
      </c>
      <c r="C9" s="14" t="inlineStr">
        <is>
          <t>NFS-e</t>
        </is>
      </c>
      <c r="D9" s="15" t="inlineStr">
        <is>
          <t>220</t>
        </is>
      </c>
      <c r="E9" s="14" t="inlineStr">
        <is>
          <t>SKAL /0002</t>
        </is>
      </c>
      <c r="F9" s="18" t="inlineStr">
        <is>
          <t>FENIX PRESTADORA DE SERVICOS LTDA</t>
        </is>
      </c>
      <c r="G9" s="15" t="inlineStr">
        <is>
          <t>51.998.593/0001-68</t>
        </is>
      </c>
      <c r="H9" s="20" t="n">
        <v>35000</v>
      </c>
      <c r="I9" s="20" t="n">
        <v>0</v>
      </c>
      <c r="J9" s="21" t="n"/>
      <c r="K9" s="20" t="n">
        <v>0</v>
      </c>
      <c r="L9" s="20" t="n">
        <v>0</v>
      </c>
      <c r="M9" s="20" t="n">
        <v>0</v>
      </c>
      <c r="N9" s="20" t="n">
        <v>0</v>
      </c>
      <c r="O9" s="20" t="n">
        <v>0</v>
      </c>
      <c r="P9" s="20" t="n">
        <v>0</v>
      </c>
      <c r="Q9" s="20" t="n">
        <v>35000</v>
      </c>
      <c r="R9" s="21" t="n"/>
      <c r="S9" s="32" t="n"/>
      <c r="T9" s="20" t="n">
        <v>0</v>
      </c>
      <c r="U9" s="20" t="n">
        <v>0</v>
      </c>
      <c r="V9" s="20" t="n">
        <v>0</v>
      </c>
      <c r="W9" s="20" t="n">
        <v>0</v>
      </c>
      <c r="X9" s="20" t="n">
        <v>0</v>
      </c>
      <c r="Y9" s="20" t="n">
        <v>0</v>
      </c>
      <c r="Z9" s="20" t="n">
        <v>0</v>
      </c>
      <c r="AA9" s="20" t="n">
        <v>0</v>
      </c>
      <c r="AB9" s="20" t="n">
        <v>0</v>
      </c>
      <c r="AC9" s="20" t="n">
        <v>0</v>
      </c>
      <c r="AD9" s="20" t="n">
        <v>0</v>
      </c>
      <c r="AE9" s="18" t="inlineStr">
        <is>
          <t>NOTAS FISCAIS DE COMPRA AGOSTO 2026.pdf - p. 12</t>
        </is>
      </c>
    </row>
    <row r="10">
      <c r="A10" s="14" t="inlineStr">
        <is>
          <t>D009</t>
        </is>
      </c>
      <c r="B10" s="14" t="inlineStr">
        <is>
          <t>13</t>
        </is>
      </c>
      <c r="C10" s="14" t="inlineStr">
        <is>
          <t>CT-e</t>
        </is>
      </c>
      <c r="D10" s="15" t="inlineStr">
        <is>
          <t>845</t>
        </is>
      </c>
      <c r="E10" s="14" t="inlineStr">
        <is>
          <t>SKAL /0002</t>
        </is>
      </c>
      <c r="F10" s="18" t="inlineStr">
        <is>
          <t>F G INTELIGENCIA EM LOGISTICA LTDA</t>
        </is>
      </c>
      <c r="G10" s="15" t="inlineStr">
        <is>
          <t>42.709.787/0003-77</t>
        </is>
      </c>
      <c r="H10" s="20" t="n">
        <v>12530.1</v>
      </c>
      <c r="I10" s="20" t="n">
        <v>12530.1</v>
      </c>
      <c r="J10" s="22" t="n">
        <v>0.12</v>
      </c>
      <c r="K10" s="20" t="n">
        <v>1503.61</v>
      </c>
      <c r="L10" s="20" t="n">
        <v>0</v>
      </c>
      <c r="M10" s="20" t="n">
        <v>0</v>
      </c>
      <c r="N10" s="20" t="n">
        <v>0</v>
      </c>
      <c r="O10" s="32" t="n"/>
      <c r="P10" s="32" t="n"/>
      <c r="Q10" s="20" t="n">
        <v>0</v>
      </c>
      <c r="R10" s="21" t="n"/>
      <c r="S10" s="20" t="n">
        <v>0</v>
      </c>
      <c r="T10" s="20" t="n">
        <v>0</v>
      </c>
      <c r="U10" s="20" t="n">
        <v>0</v>
      </c>
      <c r="V10" s="20" t="n">
        <v>0</v>
      </c>
      <c r="W10" s="20" t="n">
        <v>0</v>
      </c>
      <c r="X10" s="20" t="n">
        <v>0</v>
      </c>
      <c r="Y10" s="20" t="n">
        <v>0</v>
      </c>
      <c r="Z10" s="20" t="n">
        <v>0</v>
      </c>
      <c r="AA10" s="20" t="n">
        <v>0</v>
      </c>
      <c r="AB10" s="20" t="n">
        <v>0</v>
      </c>
      <c r="AC10" s="20" t="n">
        <v>0</v>
      </c>
      <c r="AD10" s="20" t="n">
        <v>0</v>
      </c>
      <c r="AE10" s="18" t="inlineStr">
        <is>
          <t>NOTAS FISCAIS DE COMPRA AGOSTO 2026.pdf - p. 13</t>
        </is>
      </c>
    </row>
    <row r="11">
      <c r="A11" s="14" t="inlineStr">
        <is>
          <t>D010</t>
        </is>
      </c>
      <c r="B11" s="14" t="inlineStr">
        <is>
          <t>14</t>
        </is>
      </c>
      <c r="C11" s="14" t="inlineStr">
        <is>
          <t>CT-e</t>
        </is>
      </c>
      <c r="D11" s="15" t="inlineStr">
        <is>
          <t>842</t>
        </is>
      </c>
      <c r="E11" s="14" t="inlineStr">
        <is>
          <t>SKAL /0002</t>
        </is>
      </c>
      <c r="F11" s="18" t="inlineStr">
        <is>
          <t>F G INTELIGENCIA EM LOGISTICA LTDA</t>
        </is>
      </c>
      <c r="G11" s="15" t="inlineStr">
        <is>
          <t>42.709.787/0003-77</t>
        </is>
      </c>
      <c r="H11" s="20" t="n">
        <v>12437.7</v>
      </c>
      <c r="I11" s="20" t="n">
        <v>12437.7</v>
      </c>
      <c r="J11" s="22" t="n">
        <v>0.12</v>
      </c>
      <c r="K11" s="20" t="n">
        <v>1492.52</v>
      </c>
      <c r="L11" s="20" t="n">
        <v>0</v>
      </c>
      <c r="M11" s="20" t="n">
        <v>0</v>
      </c>
      <c r="N11" s="20" t="n">
        <v>0</v>
      </c>
      <c r="O11" s="32" t="n"/>
      <c r="P11" s="32" t="n"/>
      <c r="Q11" s="20" t="n">
        <v>0</v>
      </c>
      <c r="R11" s="21" t="n"/>
      <c r="S11" s="20" t="n">
        <v>0</v>
      </c>
      <c r="T11" s="20" t="n">
        <v>0</v>
      </c>
      <c r="U11" s="20" t="n">
        <v>0</v>
      </c>
      <c r="V11" s="20" t="n">
        <v>0</v>
      </c>
      <c r="W11" s="20" t="n">
        <v>0</v>
      </c>
      <c r="X11" s="20" t="n">
        <v>0</v>
      </c>
      <c r="Y11" s="20" t="n">
        <v>0</v>
      </c>
      <c r="Z11" s="20" t="n">
        <v>0</v>
      </c>
      <c r="AA11" s="20" t="n">
        <v>0</v>
      </c>
      <c r="AB11" s="20" t="n">
        <v>0</v>
      </c>
      <c r="AC11" s="20" t="n">
        <v>0</v>
      </c>
      <c r="AD11" s="20" t="n">
        <v>0</v>
      </c>
      <c r="AE11" s="18" t="inlineStr">
        <is>
          <t>NOTAS FISCAIS DE COMPRA AGOSTO 2026.pdf - p. 14</t>
        </is>
      </c>
    </row>
    <row r="12">
      <c r="A12" s="14" t="inlineStr">
        <is>
          <t>D011</t>
        </is>
      </c>
      <c r="B12" s="14" t="inlineStr">
        <is>
          <t>15</t>
        </is>
      </c>
      <c r="C12" s="14" t="inlineStr">
        <is>
          <t>NF-e</t>
        </is>
      </c>
      <c r="D12" s="15" t="inlineStr">
        <is>
          <t>0557315</t>
        </is>
      </c>
      <c r="E12" s="14" t="inlineStr">
        <is>
          <t>SKAL /0002</t>
        </is>
      </c>
      <c r="F12" s="18" t="inlineStr">
        <is>
          <t>COMPANHIA INDUSTRIAL DE CIMENTO APODI</t>
        </is>
      </c>
      <c r="G12" s="15" t="inlineStr">
        <is>
          <t>10.260.249/0003-51</t>
        </is>
      </c>
      <c r="H12" s="20" t="n">
        <v>19174.85</v>
      </c>
      <c r="I12" s="20" t="n">
        <v>19174.85</v>
      </c>
      <c r="J12" s="22" t="n">
        <v>0.12</v>
      </c>
      <c r="K12" s="20" t="n">
        <v>2300.98</v>
      </c>
      <c r="L12" s="20" t="n">
        <v>0</v>
      </c>
      <c r="M12" s="20" t="n">
        <v>0</v>
      </c>
      <c r="N12" s="20" t="n">
        <v>0</v>
      </c>
      <c r="O12" s="32" t="n"/>
      <c r="P12" s="32" t="n"/>
      <c r="Q12" s="20" t="n">
        <v>0</v>
      </c>
      <c r="R12" s="21" t="n"/>
      <c r="S12" s="20" t="n">
        <v>0</v>
      </c>
      <c r="T12" s="20" t="n">
        <v>0</v>
      </c>
      <c r="U12" s="20" t="n">
        <v>0</v>
      </c>
      <c r="V12" s="20" t="n">
        <v>0</v>
      </c>
      <c r="W12" s="20" t="n">
        <v>0</v>
      </c>
      <c r="X12" s="20" t="n">
        <v>0</v>
      </c>
      <c r="Y12" s="20" t="n">
        <v>0</v>
      </c>
      <c r="Z12" s="20" t="n">
        <v>0</v>
      </c>
      <c r="AA12" s="20" t="n">
        <v>0</v>
      </c>
      <c r="AB12" s="20" t="n">
        <v>0</v>
      </c>
      <c r="AC12" s="20" t="n">
        <v>0</v>
      </c>
      <c r="AD12" s="20" t="n">
        <v>0</v>
      </c>
      <c r="AE12" s="18" t="inlineStr">
        <is>
          <t>NOTAS FISCAIS DE COMPRA AGOSTO 2026.pdf - p. 15</t>
        </is>
      </c>
    </row>
    <row r="13">
      <c r="A13" s="14" t="inlineStr">
        <is>
          <t>D012</t>
        </is>
      </c>
      <c r="B13" s="14" t="inlineStr">
        <is>
          <t>16</t>
        </is>
      </c>
      <c r="C13" s="14" t="inlineStr">
        <is>
          <t>NF-e</t>
        </is>
      </c>
      <c r="D13" s="15" t="inlineStr">
        <is>
          <t>0557177</t>
        </is>
      </c>
      <c r="E13" s="14" t="inlineStr">
        <is>
          <t>SKAL /0002</t>
        </is>
      </c>
      <c r="F13" s="18" t="inlineStr">
        <is>
          <t>COMPANHIA INDUSTRIAL DE CIMENTO APODI</t>
        </is>
      </c>
      <c r="G13" s="15" t="inlineStr">
        <is>
          <t>10.260.249/0003-51</t>
        </is>
      </c>
      <c r="H13" s="20" t="n">
        <v>19033.45</v>
      </c>
      <c r="I13" s="20" t="n">
        <v>19033.45</v>
      </c>
      <c r="J13" s="22" t="n">
        <v>0.12</v>
      </c>
      <c r="K13" s="20" t="n">
        <v>2284.01</v>
      </c>
      <c r="L13" s="20" t="n">
        <v>0</v>
      </c>
      <c r="M13" s="20" t="n">
        <v>0</v>
      </c>
      <c r="N13" s="20" t="n">
        <v>0</v>
      </c>
      <c r="O13" s="32" t="n"/>
      <c r="P13" s="32" t="n"/>
      <c r="Q13" s="20" t="n">
        <v>0</v>
      </c>
      <c r="R13" s="21" t="n"/>
      <c r="S13" s="20" t="n">
        <v>0</v>
      </c>
      <c r="T13" s="20" t="n">
        <v>0</v>
      </c>
      <c r="U13" s="20" t="n">
        <v>0</v>
      </c>
      <c r="V13" s="20" t="n">
        <v>0</v>
      </c>
      <c r="W13" s="20" t="n">
        <v>0</v>
      </c>
      <c r="X13" s="20" t="n">
        <v>0</v>
      </c>
      <c r="Y13" s="20" t="n">
        <v>0</v>
      </c>
      <c r="Z13" s="20" t="n">
        <v>0</v>
      </c>
      <c r="AA13" s="20" t="n">
        <v>0</v>
      </c>
      <c r="AB13" s="20" t="n">
        <v>0</v>
      </c>
      <c r="AC13" s="20" t="n">
        <v>0</v>
      </c>
      <c r="AD13" s="20" t="n">
        <v>0</v>
      </c>
      <c r="AE13" s="18" t="inlineStr">
        <is>
          <t>NOTAS FISCAIS DE COMPRA AGOSTO 2026.pdf - p. 16</t>
        </is>
      </c>
    </row>
    <row r="14">
      <c r="A14" s="14" t="inlineStr">
        <is>
          <t>D013</t>
        </is>
      </c>
      <c r="B14" s="14" t="inlineStr">
        <is>
          <t>17</t>
        </is>
      </c>
      <c r="C14" s="14" t="inlineStr">
        <is>
          <t>NFCom</t>
        </is>
      </c>
      <c r="D14" s="15" t="inlineStr">
        <is>
          <t>000000227</t>
        </is>
      </c>
      <c r="E14" s="14" t="inlineStr">
        <is>
          <t>SKAL /0002</t>
        </is>
      </c>
      <c r="F14" s="18" t="inlineStr">
        <is>
          <t>DUO OPERACOES PROTOS LTDA</t>
        </is>
      </c>
      <c r="G14" s="15" t="inlineStr">
        <is>
          <t>63.865.191/0001-74</t>
        </is>
      </c>
      <c r="H14" s="20" t="n">
        <v>1000</v>
      </c>
      <c r="I14" s="20" t="n">
        <v>0</v>
      </c>
      <c r="J14" s="22" t="n">
        <v>0</v>
      </c>
      <c r="K14" s="20" t="n">
        <v>0</v>
      </c>
      <c r="L14" s="20" t="n">
        <v>0</v>
      </c>
      <c r="M14" s="20" t="n">
        <v>0</v>
      </c>
      <c r="N14" s="20" t="n">
        <v>0</v>
      </c>
      <c r="O14" s="20" t="n">
        <v>0</v>
      </c>
      <c r="P14" s="20" t="n">
        <v>0</v>
      </c>
      <c r="Q14" s="20" t="n">
        <v>0</v>
      </c>
      <c r="R14" s="21" t="n"/>
      <c r="S14" s="20" t="n">
        <v>0</v>
      </c>
      <c r="T14" s="20" t="n">
        <v>0</v>
      </c>
      <c r="U14" s="20" t="n">
        <v>0</v>
      </c>
      <c r="V14" s="20" t="n">
        <v>0</v>
      </c>
      <c r="W14" s="20" t="n">
        <v>0</v>
      </c>
      <c r="X14" s="20" t="n">
        <v>0</v>
      </c>
      <c r="Y14" s="20" t="n">
        <v>0</v>
      </c>
      <c r="Z14" s="20" t="n">
        <v>0</v>
      </c>
      <c r="AA14" s="20" t="n">
        <v>0</v>
      </c>
      <c r="AB14" s="20" t="n">
        <v>0</v>
      </c>
      <c r="AC14" s="20" t="n">
        <v>0</v>
      </c>
      <c r="AD14" s="20" t="n">
        <v>0</v>
      </c>
      <c r="AE14" s="18" t="inlineStr">
        <is>
          <t>NOTAS FISCAIS DE COMPRA AGOSTO 2026.pdf - p. 17</t>
        </is>
      </c>
    </row>
    <row r="15">
      <c r="A15" s="14" t="inlineStr">
        <is>
          <t>D014</t>
        </is>
      </c>
      <c r="B15" s="14" t="inlineStr">
        <is>
          <t>18</t>
        </is>
      </c>
      <c r="C15" s="14" t="inlineStr">
        <is>
          <t>NFCom</t>
        </is>
      </c>
      <c r="D15" s="15" t="inlineStr">
        <is>
          <t>000000226</t>
        </is>
      </c>
      <c r="E15" s="14" t="inlineStr">
        <is>
          <t>SKAL /0002</t>
        </is>
      </c>
      <c r="F15" s="18" t="inlineStr">
        <is>
          <t>DUO OPERACOES PROTOS LTDA</t>
        </is>
      </c>
      <c r="G15" s="15" t="inlineStr">
        <is>
          <t>63.865.191/0001-74</t>
        </is>
      </c>
      <c r="H15" s="20" t="n">
        <v>300</v>
      </c>
      <c r="I15" s="20" t="n">
        <v>0</v>
      </c>
      <c r="J15" s="22" t="n">
        <v>0</v>
      </c>
      <c r="K15" s="20" t="n">
        <v>0</v>
      </c>
      <c r="L15" s="20" t="n">
        <v>0</v>
      </c>
      <c r="M15" s="20" t="n">
        <v>0</v>
      </c>
      <c r="N15" s="20" t="n">
        <v>0</v>
      </c>
      <c r="O15" s="20" t="n">
        <v>0</v>
      </c>
      <c r="P15" s="20" t="n">
        <v>0</v>
      </c>
      <c r="Q15" s="20" t="n">
        <v>0</v>
      </c>
      <c r="R15" s="21" t="n"/>
      <c r="S15" s="20" t="n">
        <v>0</v>
      </c>
      <c r="T15" s="20" t="n">
        <v>0</v>
      </c>
      <c r="U15" s="20" t="n">
        <v>0</v>
      </c>
      <c r="V15" s="20" t="n">
        <v>0</v>
      </c>
      <c r="W15" s="20" t="n">
        <v>0</v>
      </c>
      <c r="X15" s="20" t="n">
        <v>0</v>
      </c>
      <c r="Y15" s="20" t="n">
        <v>0</v>
      </c>
      <c r="Z15" s="20" t="n">
        <v>0</v>
      </c>
      <c r="AA15" s="20" t="n">
        <v>0</v>
      </c>
      <c r="AB15" s="20" t="n">
        <v>0</v>
      </c>
      <c r="AC15" s="20" t="n">
        <v>0</v>
      </c>
      <c r="AD15" s="20" t="n">
        <v>0</v>
      </c>
      <c r="AE15" s="18" t="inlineStr">
        <is>
          <t>NOTAS FISCAIS DE COMPRA AGOSTO 2026.pdf - p. 18</t>
        </is>
      </c>
    </row>
    <row r="16">
      <c r="A16" s="14" t="inlineStr">
        <is>
          <t>D015</t>
        </is>
      </c>
      <c r="B16" s="14" t="inlineStr">
        <is>
          <t>19</t>
        </is>
      </c>
      <c r="C16" s="14" t="inlineStr">
        <is>
          <t>NFS-e</t>
        </is>
      </c>
      <c r="D16" s="15" t="inlineStr">
        <is>
          <t>19</t>
        </is>
      </c>
      <c r="E16" s="14" t="inlineStr">
        <is>
          <t>SKAL /0002</t>
        </is>
      </c>
      <c r="F16" s="18" t="inlineStr">
        <is>
          <t>VALDIR RIBEIRO DE MELO ME</t>
        </is>
      </c>
      <c r="G16" s="15" t="inlineStr">
        <is>
          <t>28.399.452/0001-07</t>
        </is>
      </c>
      <c r="H16" s="20" t="n">
        <v>3750</v>
      </c>
      <c r="I16" s="20" t="n">
        <v>0</v>
      </c>
      <c r="J16" s="21" t="n"/>
      <c r="K16" s="20" t="n">
        <v>0</v>
      </c>
      <c r="L16" s="20" t="n">
        <v>0</v>
      </c>
      <c r="M16" s="20" t="n">
        <v>0</v>
      </c>
      <c r="N16" s="20" t="n">
        <v>0</v>
      </c>
      <c r="O16" s="20" t="n">
        <v>0</v>
      </c>
      <c r="P16" s="20" t="n">
        <v>0</v>
      </c>
      <c r="Q16" s="20" t="n">
        <v>3750</v>
      </c>
      <c r="R16" s="21" t="n"/>
      <c r="S16" s="32" t="n"/>
      <c r="T16" s="20" t="n">
        <v>0</v>
      </c>
      <c r="U16" s="20" t="n">
        <v>0</v>
      </c>
      <c r="V16" s="20" t="n">
        <v>0</v>
      </c>
      <c r="W16" s="20" t="n">
        <v>0</v>
      </c>
      <c r="X16" s="20" t="n">
        <v>0</v>
      </c>
      <c r="Y16" s="20" t="n">
        <v>0</v>
      </c>
      <c r="Z16" s="20" t="n">
        <v>0</v>
      </c>
      <c r="AA16" s="20" t="n">
        <v>0</v>
      </c>
      <c r="AB16" s="20" t="n">
        <v>0</v>
      </c>
      <c r="AC16" s="20" t="n">
        <v>0</v>
      </c>
      <c r="AD16" s="20" t="n">
        <v>0</v>
      </c>
      <c r="AE16" s="18" t="inlineStr">
        <is>
          <t>NOTAS FISCAIS DE COMPRA AGOSTO 2026.pdf - p. 19</t>
        </is>
      </c>
    </row>
    <row r="17">
      <c r="A17" s="14" t="inlineStr">
        <is>
          <t>D016</t>
        </is>
      </c>
      <c r="B17" s="14" t="inlineStr">
        <is>
          <t>20</t>
        </is>
      </c>
      <c r="C17" s="14" t="inlineStr">
        <is>
          <t>NFS-e</t>
        </is>
      </c>
      <c r="D17" s="15" t="inlineStr">
        <is>
          <t>29</t>
        </is>
      </c>
      <c r="E17" s="14" t="inlineStr">
        <is>
          <t>SKAL /0002</t>
        </is>
      </c>
      <c r="F17" s="18" t="inlineStr">
        <is>
          <t>24.870.571 JORGE GUILHERME COSTA FERREIRA</t>
        </is>
      </c>
      <c r="G17" s="15" t="inlineStr">
        <is>
          <t>24.870.571/0001-45</t>
        </is>
      </c>
      <c r="H17" s="20" t="n">
        <v>7000</v>
      </c>
      <c r="I17" s="20" t="n">
        <v>0</v>
      </c>
      <c r="J17" s="21" t="n"/>
      <c r="K17" s="20" t="n">
        <v>0</v>
      </c>
      <c r="L17" s="20" t="n">
        <v>0</v>
      </c>
      <c r="M17" s="20" t="n">
        <v>0</v>
      </c>
      <c r="N17" s="20" t="n">
        <v>0</v>
      </c>
      <c r="O17" s="32" t="n"/>
      <c r="P17" s="32" t="n"/>
      <c r="Q17" s="32" t="n"/>
      <c r="R17" s="21" t="n"/>
      <c r="S17" s="32" t="n"/>
      <c r="T17" s="20" t="n">
        <v>0</v>
      </c>
      <c r="U17" s="20" t="n">
        <v>0</v>
      </c>
      <c r="V17" s="20" t="n">
        <v>0</v>
      </c>
      <c r="W17" s="20" t="n">
        <v>0</v>
      </c>
      <c r="X17" s="20" t="n">
        <v>0</v>
      </c>
      <c r="Y17" s="20" t="n">
        <v>0</v>
      </c>
      <c r="Z17" s="20" t="n">
        <v>0</v>
      </c>
      <c r="AA17" s="20" t="n">
        <v>0</v>
      </c>
      <c r="AB17" s="20" t="n">
        <v>0</v>
      </c>
      <c r="AC17" s="20" t="n">
        <v>0</v>
      </c>
      <c r="AD17" s="20" t="n">
        <v>0</v>
      </c>
      <c r="AE17" s="18" t="inlineStr">
        <is>
          <t>NOTAS FISCAIS DE COMPRA AGOSTO 2026.pdf - p. 20</t>
        </is>
      </c>
    </row>
    <row r="18">
      <c r="A18" s="14" t="inlineStr">
        <is>
          <t>D017</t>
        </is>
      </c>
      <c r="B18" s="14" t="inlineStr">
        <is>
          <t>21</t>
        </is>
      </c>
      <c r="C18" s="14" t="inlineStr">
        <is>
          <t>NF-e</t>
        </is>
      </c>
      <c r="D18" s="15" t="inlineStr">
        <is>
          <t>0557009</t>
        </is>
      </c>
      <c r="E18" s="14" t="inlineStr">
        <is>
          <t>SKAL /0002</t>
        </is>
      </c>
      <c r="F18" s="18" t="inlineStr">
        <is>
          <t>COMPANHIA INDUSTRIAL DE CIMENTO APODI</t>
        </is>
      </c>
      <c r="G18" s="15" t="inlineStr">
        <is>
          <t>10.260.249/0003-51</t>
        </is>
      </c>
      <c r="H18" s="20" t="n">
        <v>19230.4</v>
      </c>
      <c r="I18" s="20" t="n">
        <v>19230.4</v>
      </c>
      <c r="J18" s="22" t="n">
        <v>0.12</v>
      </c>
      <c r="K18" s="20" t="n">
        <v>2307.65</v>
      </c>
      <c r="L18" s="20" t="n">
        <v>0</v>
      </c>
      <c r="M18" s="20" t="n">
        <v>0</v>
      </c>
      <c r="N18" s="20" t="n">
        <v>0</v>
      </c>
      <c r="O18" s="32" t="n"/>
      <c r="P18" s="32" t="n"/>
      <c r="Q18" s="20" t="n">
        <v>0</v>
      </c>
      <c r="R18" s="21" t="n"/>
      <c r="S18" s="20" t="n">
        <v>0</v>
      </c>
      <c r="T18" s="20" t="n">
        <v>0</v>
      </c>
      <c r="U18" s="20" t="n">
        <v>0</v>
      </c>
      <c r="V18" s="20" t="n">
        <v>0</v>
      </c>
      <c r="W18" s="20" t="n">
        <v>0</v>
      </c>
      <c r="X18" s="20" t="n">
        <v>0</v>
      </c>
      <c r="Y18" s="20" t="n">
        <v>0</v>
      </c>
      <c r="Z18" s="20" t="n">
        <v>0</v>
      </c>
      <c r="AA18" s="20" t="n">
        <v>0</v>
      </c>
      <c r="AB18" s="20" t="n">
        <v>0</v>
      </c>
      <c r="AC18" s="20" t="n">
        <v>0</v>
      </c>
      <c r="AD18" s="20" t="n">
        <v>0</v>
      </c>
      <c r="AE18" s="18" t="inlineStr">
        <is>
          <t>NOTAS FISCAIS DE COMPRA AGOSTO 2026.pdf - p. 21</t>
        </is>
      </c>
    </row>
    <row r="19">
      <c r="A19" s="14" t="inlineStr">
        <is>
          <t>D018</t>
        </is>
      </c>
      <c r="B19" s="14" t="inlineStr">
        <is>
          <t>22</t>
        </is>
      </c>
      <c r="C19" s="14" t="inlineStr">
        <is>
          <t>NF-e</t>
        </is>
      </c>
      <c r="D19" s="15" t="inlineStr">
        <is>
          <t>000.004.462</t>
        </is>
      </c>
      <c r="E19" s="14" t="inlineStr">
        <is>
          <t>SKAL /0002</t>
        </is>
      </c>
      <c r="F19" s="18" t="inlineStr">
        <is>
          <t>CALCARIO CANTA GALO EXTRACAO E COMERCIO DE CALCARIO LTDA</t>
        </is>
      </c>
      <c r="G19" s="15" t="inlineStr">
        <is>
          <t>07.776.339/0002-04</t>
        </is>
      </c>
      <c r="H19" s="20" t="n">
        <v>4035</v>
      </c>
      <c r="I19" s="20" t="n">
        <v>1781.86</v>
      </c>
      <c r="J19" s="22" t="n">
        <v>0.12</v>
      </c>
      <c r="K19" s="20" t="n">
        <v>213.82</v>
      </c>
      <c r="L19" s="20" t="n">
        <v>0</v>
      </c>
      <c r="M19" s="20" t="n">
        <v>0</v>
      </c>
      <c r="N19" s="20" t="n">
        <v>0</v>
      </c>
      <c r="O19" s="32" t="n"/>
      <c r="P19" s="32" t="n"/>
      <c r="Q19" s="20" t="n">
        <v>0</v>
      </c>
      <c r="R19" s="21" t="n"/>
      <c r="S19" s="20" t="n">
        <v>0</v>
      </c>
      <c r="T19" s="20" t="n">
        <v>0</v>
      </c>
      <c r="U19" s="20" t="n">
        <v>0</v>
      </c>
      <c r="V19" s="20" t="n">
        <v>0</v>
      </c>
      <c r="W19" s="20" t="n">
        <v>0</v>
      </c>
      <c r="X19" s="20" t="n">
        <v>0</v>
      </c>
      <c r="Y19" s="20" t="n">
        <v>0</v>
      </c>
      <c r="Z19" s="20" t="n">
        <v>0</v>
      </c>
      <c r="AA19" s="20" t="n">
        <v>0</v>
      </c>
      <c r="AB19" s="20" t="n">
        <v>0</v>
      </c>
      <c r="AC19" s="20" t="n">
        <v>0</v>
      </c>
      <c r="AD19" s="20" t="n">
        <v>0</v>
      </c>
      <c r="AE19" s="18" t="inlineStr">
        <is>
          <t>NOTAS FISCAIS DE COMPRA AGOSTO 2026.pdf - p. 22</t>
        </is>
      </c>
    </row>
    <row r="20">
      <c r="A20" s="14" t="inlineStr">
        <is>
          <t>D019</t>
        </is>
      </c>
      <c r="B20" s="14" t="inlineStr">
        <is>
          <t>23</t>
        </is>
      </c>
      <c r="C20" s="14" t="inlineStr">
        <is>
          <t>CT-e</t>
        </is>
      </c>
      <c r="D20" s="15" t="inlineStr">
        <is>
          <t>839</t>
        </is>
      </c>
      <c r="E20" s="14" t="inlineStr">
        <is>
          <t>SKAL /0002</t>
        </is>
      </c>
      <c r="F20" s="18" t="inlineStr">
        <is>
          <t>F G INTELIGENCIA EM LOGISTICA LTDA</t>
        </is>
      </c>
      <c r="G20" s="15" t="inlineStr">
        <is>
          <t>42.709.787/0003-77</t>
        </is>
      </c>
      <c r="H20" s="20" t="n">
        <v>12566.4</v>
      </c>
      <c r="I20" s="20" t="n">
        <v>12566.4</v>
      </c>
      <c r="J20" s="22" t="n">
        <v>0.12</v>
      </c>
      <c r="K20" s="20" t="n">
        <v>1507.97</v>
      </c>
      <c r="L20" s="20" t="n">
        <v>0</v>
      </c>
      <c r="M20" s="20" t="n">
        <v>0</v>
      </c>
      <c r="N20" s="20" t="n">
        <v>0</v>
      </c>
      <c r="O20" s="32" t="n"/>
      <c r="P20" s="32" t="n"/>
      <c r="Q20" s="20" t="n">
        <v>0</v>
      </c>
      <c r="R20" s="21" t="n"/>
      <c r="S20" s="20" t="n">
        <v>0</v>
      </c>
      <c r="T20" s="20" t="n">
        <v>0</v>
      </c>
      <c r="U20" s="20" t="n">
        <v>0</v>
      </c>
      <c r="V20" s="20" t="n">
        <v>0</v>
      </c>
      <c r="W20" s="20" t="n">
        <v>0</v>
      </c>
      <c r="X20" s="20" t="n">
        <v>0</v>
      </c>
      <c r="Y20" s="20" t="n">
        <v>0</v>
      </c>
      <c r="Z20" s="20" t="n">
        <v>0</v>
      </c>
      <c r="AA20" s="20" t="n">
        <v>0</v>
      </c>
      <c r="AB20" s="20" t="n">
        <v>0</v>
      </c>
      <c r="AC20" s="20" t="n">
        <v>0</v>
      </c>
      <c r="AD20" s="20" t="n">
        <v>0</v>
      </c>
      <c r="AE20" s="18" t="inlineStr">
        <is>
          <t>NOTAS FISCAIS DE COMPRA AGOSTO 2026.pdf - p. 23</t>
        </is>
      </c>
    </row>
    <row r="21">
      <c r="A21" s="14" t="inlineStr">
        <is>
          <t>D020</t>
        </is>
      </c>
      <c r="B21" s="14" t="inlineStr">
        <is>
          <t>24</t>
        </is>
      </c>
      <c r="C21" s="14" t="inlineStr">
        <is>
          <t>NFS-e</t>
        </is>
      </c>
      <c r="D21" s="15" t="inlineStr">
        <is>
          <t>4591</t>
        </is>
      </c>
      <c r="E21" s="14" t="inlineStr">
        <is>
          <t>SKAL /0002</t>
        </is>
      </c>
      <c r="F21" s="18" t="inlineStr">
        <is>
          <t>K F DA S B LEMOS - ME</t>
        </is>
      </c>
      <c r="G21" s="15" t="inlineStr">
        <is>
          <t>08.877.746/0001-90</t>
        </is>
      </c>
      <c r="H21" s="20" t="n">
        <v>756.27</v>
      </c>
      <c r="I21" s="20" t="n">
        <v>0</v>
      </c>
      <c r="J21" s="21" t="n"/>
      <c r="K21" s="20" t="n">
        <v>0</v>
      </c>
      <c r="L21" s="20" t="n">
        <v>0</v>
      </c>
      <c r="M21" s="20" t="n">
        <v>0</v>
      </c>
      <c r="N21" s="20" t="n">
        <v>0</v>
      </c>
      <c r="O21" s="20" t="n">
        <v>0</v>
      </c>
      <c r="P21" s="20" t="n">
        <v>0</v>
      </c>
      <c r="Q21" s="20" t="n">
        <v>756.27</v>
      </c>
      <c r="R21" s="21" t="n"/>
      <c r="S21" s="32" t="n"/>
      <c r="T21" s="20" t="n">
        <v>0</v>
      </c>
      <c r="U21" s="20" t="n">
        <v>0</v>
      </c>
      <c r="V21" s="20" t="n">
        <v>0</v>
      </c>
      <c r="W21" s="20" t="n">
        <v>0</v>
      </c>
      <c r="X21" s="20" t="n">
        <v>0</v>
      </c>
      <c r="Y21" s="20" t="n">
        <v>0</v>
      </c>
      <c r="Z21" s="20" t="n">
        <v>0</v>
      </c>
      <c r="AA21" s="20" t="n">
        <v>0</v>
      </c>
      <c r="AB21" s="20" t="n">
        <v>0</v>
      </c>
      <c r="AC21" s="20" t="n">
        <v>0</v>
      </c>
      <c r="AD21" s="20" t="n">
        <v>0</v>
      </c>
      <c r="AE21" s="18" t="inlineStr">
        <is>
          <t>NOTAS FISCAIS DE COMPRA AGOSTO 2026.pdf - p. 24</t>
        </is>
      </c>
    </row>
    <row r="22">
      <c r="A22" s="14" t="inlineStr">
        <is>
          <t>D021</t>
        </is>
      </c>
      <c r="B22" s="14" t="inlineStr">
        <is>
          <t>25</t>
        </is>
      </c>
      <c r="C22" s="14" t="inlineStr">
        <is>
          <t>NFS-e</t>
        </is>
      </c>
      <c r="D22" s="15" t="inlineStr">
        <is>
          <t>41</t>
        </is>
      </c>
      <c r="E22" s="14" t="inlineStr">
        <is>
          <t>SKAL /0002</t>
        </is>
      </c>
      <c r="F22" s="18" t="inlineStr">
        <is>
          <t>48.714.053 MOACIR GONCALVES PALMEIRA JUNIOR</t>
        </is>
      </c>
      <c r="G22" s="15" t="inlineStr">
        <is>
          <t>48.714.053/0001-09</t>
        </is>
      </c>
      <c r="H22" s="20" t="n">
        <v>3681</v>
      </c>
      <c r="I22" s="20" t="n">
        <v>0</v>
      </c>
      <c r="J22" s="21" t="n"/>
      <c r="K22" s="20" t="n">
        <v>0</v>
      </c>
      <c r="L22" s="20" t="n">
        <v>0</v>
      </c>
      <c r="M22" s="20" t="n">
        <v>0</v>
      </c>
      <c r="N22" s="20" t="n">
        <v>0</v>
      </c>
      <c r="O22" s="32" t="n"/>
      <c r="P22" s="32" t="n"/>
      <c r="Q22" s="32" t="n"/>
      <c r="R22" s="21" t="n"/>
      <c r="S22" s="32" t="n"/>
      <c r="T22" s="20" t="n">
        <v>0</v>
      </c>
      <c r="U22" s="20" t="n">
        <v>0</v>
      </c>
      <c r="V22" s="20" t="n">
        <v>0</v>
      </c>
      <c r="W22" s="20" t="n">
        <v>0</v>
      </c>
      <c r="X22" s="20" t="n">
        <v>0</v>
      </c>
      <c r="Y22" s="20" t="n">
        <v>0</v>
      </c>
      <c r="Z22" s="20" t="n">
        <v>0</v>
      </c>
      <c r="AA22" s="20" t="n">
        <v>0</v>
      </c>
      <c r="AB22" s="20" t="n">
        <v>0</v>
      </c>
      <c r="AC22" s="20" t="n">
        <v>0</v>
      </c>
      <c r="AD22" s="20" t="n">
        <v>0</v>
      </c>
      <c r="AE22" s="18" t="inlineStr">
        <is>
          <t>NOTAS FISCAIS DE COMPRA AGOSTO 2026.pdf - p. 25</t>
        </is>
      </c>
    </row>
    <row r="23">
      <c r="A23" s="14" t="inlineStr">
        <is>
          <t>D022</t>
        </is>
      </c>
      <c r="B23" s="14" t="inlineStr">
        <is>
          <t>26</t>
        </is>
      </c>
      <c r="C23" s="14" t="inlineStr">
        <is>
          <t>NFS-e</t>
        </is>
      </c>
      <c r="D23" s="15" t="inlineStr">
        <is>
          <t>41</t>
        </is>
      </c>
      <c r="E23" s="14" t="inlineStr">
        <is>
          <t>KALFIX /0001</t>
        </is>
      </c>
      <c r="F23" s="18" t="inlineStr">
        <is>
          <t>49.765.012 CLAUDIANE DE ARAUJO MENDES CIPRIANO</t>
        </is>
      </c>
      <c r="G23" s="15" t="inlineStr">
        <is>
          <t>49.765.012/0001-04</t>
        </is>
      </c>
      <c r="H23" s="20" t="n">
        <v>3675.13</v>
      </c>
      <c r="I23" s="20" t="n">
        <v>0</v>
      </c>
      <c r="J23" s="21" t="n"/>
      <c r="K23" s="20" t="n">
        <v>0</v>
      </c>
      <c r="L23" s="20" t="n">
        <v>0</v>
      </c>
      <c r="M23" s="20" t="n">
        <v>0</v>
      </c>
      <c r="N23" s="20" t="n">
        <v>0</v>
      </c>
      <c r="O23" s="32" t="n"/>
      <c r="P23" s="32" t="n"/>
      <c r="Q23" s="32" t="n"/>
      <c r="R23" s="21" t="n"/>
      <c r="S23" s="32" t="n"/>
      <c r="T23" s="20" t="n">
        <v>0</v>
      </c>
      <c r="U23" s="20" t="n">
        <v>0</v>
      </c>
      <c r="V23" s="20" t="n">
        <v>0</v>
      </c>
      <c r="W23" s="20" t="n">
        <v>0</v>
      </c>
      <c r="X23" s="20" t="n">
        <v>0</v>
      </c>
      <c r="Y23" s="20" t="n">
        <v>0</v>
      </c>
      <c r="Z23" s="20" t="n">
        <v>0</v>
      </c>
      <c r="AA23" s="20" t="n">
        <v>0</v>
      </c>
      <c r="AB23" s="20" t="n">
        <v>0</v>
      </c>
      <c r="AC23" s="20" t="n">
        <v>0</v>
      </c>
      <c r="AD23" s="20" t="n">
        <v>0</v>
      </c>
      <c r="AE23" s="18" t="inlineStr">
        <is>
          <t>NOTAS FISCAIS DE COMPRA AGOSTO 2026.pdf - p. 26</t>
        </is>
      </c>
    </row>
    <row r="24">
      <c r="A24" s="14" t="inlineStr">
        <is>
          <t>D023</t>
        </is>
      </c>
      <c r="B24" s="14" t="inlineStr">
        <is>
          <t>27</t>
        </is>
      </c>
      <c r="C24" s="14" t="inlineStr">
        <is>
          <t>NFS-e</t>
        </is>
      </c>
      <c r="D24" s="15" t="inlineStr">
        <is>
          <t>219</t>
        </is>
      </c>
      <c r="E24" s="14" t="inlineStr">
        <is>
          <t>SKAL /0002</t>
        </is>
      </c>
      <c r="F24" s="18" t="inlineStr">
        <is>
          <t>FENIX PRESTADORA DE SERVICOS LTDA</t>
        </is>
      </c>
      <c r="G24" s="15" t="inlineStr">
        <is>
          <t>51.998.593/0001-68</t>
        </is>
      </c>
      <c r="H24" s="20" t="n">
        <v>9000</v>
      </c>
      <c r="I24" s="20" t="n">
        <v>0</v>
      </c>
      <c r="J24" s="21" t="n"/>
      <c r="K24" s="20" t="n">
        <v>0</v>
      </c>
      <c r="L24" s="20" t="n">
        <v>0</v>
      </c>
      <c r="M24" s="20" t="n">
        <v>0</v>
      </c>
      <c r="N24" s="20" t="n">
        <v>0</v>
      </c>
      <c r="O24" s="20" t="n">
        <v>0</v>
      </c>
      <c r="P24" s="20" t="n">
        <v>0</v>
      </c>
      <c r="Q24" s="20" t="n">
        <v>9000</v>
      </c>
      <c r="R24" s="21" t="n"/>
      <c r="S24" s="32" t="n"/>
      <c r="T24" s="20" t="n">
        <v>0</v>
      </c>
      <c r="U24" s="20" t="n">
        <v>0</v>
      </c>
      <c r="V24" s="20" t="n">
        <v>0</v>
      </c>
      <c r="W24" s="20" t="n">
        <v>0</v>
      </c>
      <c r="X24" s="20" t="n">
        <v>0</v>
      </c>
      <c r="Y24" s="20" t="n">
        <v>0</v>
      </c>
      <c r="Z24" s="20" t="n">
        <v>0</v>
      </c>
      <c r="AA24" s="20" t="n">
        <v>0</v>
      </c>
      <c r="AB24" s="20" t="n">
        <v>0</v>
      </c>
      <c r="AC24" s="20" t="n">
        <v>0</v>
      </c>
      <c r="AD24" s="20" t="n">
        <v>0</v>
      </c>
      <c r="AE24" s="18" t="inlineStr">
        <is>
          <t>NOTAS FISCAIS DE COMPRA AGOSTO 2026.pdf - p. 27</t>
        </is>
      </c>
    </row>
    <row r="25">
      <c r="A25" s="14" t="inlineStr">
        <is>
          <t>D024</t>
        </is>
      </c>
      <c r="B25" s="14" t="inlineStr">
        <is>
          <t>28</t>
        </is>
      </c>
      <c r="C25" s="14" t="inlineStr">
        <is>
          <t>NFS-e</t>
        </is>
      </c>
      <c r="D25" s="15" t="inlineStr">
        <is>
          <t>218</t>
        </is>
      </c>
      <c r="E25" s="14" t="inlineStr">
        <is>
          <t>SKAL /0002</t>
        </is>
      </c>
      <c r="F25" s="18" t="inlineStr">
        <is>
          <t>FENIX PRESTADORA DE SERVICOS LTDA</t>
        </is>
      </c>
      <c r="G25" s="15" t="inlineStr">
        <is>
          <t>51.998.593/0001-68</t>
        </is>
      </c>
      <c r="H25" s="20" t="n">
        <v>9000</v>
      </c>
      <c r="I25" s="20" t="n">
        <v>0</v>
      </c>
      <c r="J25" s="21" t="n"/>
      <c r="K25" s="20" t="n">
        <v>0</v>
      </c>
      <c r="L25" s="20" t="n">
        <v>0</v>
      </c>
      <c r="M25" s="20" t="n">
        <v>0</v>
      </c>
      <c r="N25" s="20" t="n">
        <v>0</v>
      </c>
      <c r="O25" s="20" t="n">
        <v>0</v>
      </c>
      <c r="P25" s="20" t="n">
        <v>0</v>
      </c>
      <c r="Q25" s="20" t="n">
        <v>9000</v>
      </c>
      <c r="R25" s="21" t="n"/>
      <c r="S25" s="32" t="n"/>
      <c r="T25" s="20" t="n">
        <v>0</v>
      </c>
      <c r="U25" s="20" t="n">
        <v>0</v>
      </c>
      <c r="V25" s="20" t="n">
        <v>0</v>
      </c>
      <c r="W25" s="20" t="n">
        <v>0</v>
      </c>
      <c r="X25" s="20" t="n">
        <v>0</v>
      </c>
      <c r="Y25" s="20" t="n">
        <v>0</v>
      </c>
      <c r="Z25" s="20" t="n">
        <v>0</v>
      </c>
      <c r="AA25" s="20" t="n">
        <v>0</v>
      </c>
      <c r="AB25" s="20" t="n">
        <v>0</v>
      </c>
      <c r="AC25" s="20" t="n">
        <v>0</v>
      </c>
      <c r="AD25" s="20" t="n">
        <v>0</v>
      </c>
      <c r="AE25" s="18" t="inlineStr">
        <is>
          <t>NOTAS FISCAIS DE COMPRA AGOSTO 2026.pdf - p. 28</t>
        </is>
      </c>
    </row>
  </sheetData>
  <autoFilter ref="A1:AE2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8" customWidth="1" min="3" max="3"/>
    <col width="15" customWidth="1" min="4" max="4"/>
    <col width="12" customWidth="1" min="5" max="5"/>
    <col width="24" customWidth="1" min="6" max="6"/>
    <col width="10" customWidth="1" min="7" max="7"/>
    <col width="14" customWidth="1" min="8" max="8"/>
    <col width="95" customWidth="1" min="9" max="9"/>
    <col width="40" customWidth="1" min="10" max="10"/>
  </cols>
  <sheetData>
    <row r="1" ht="36" customHeight="1">
      <c r="A1" s="12" t="inlineStr">
        <is>
          <t>Apoio_ID</t>
        </is>
      </c>
      <c r="B1" s="12" t="inlineStr">
        <is>
          <t>Pagina</t>
        </is>
      </c>
      <c r="C1" s="12" t="inlineStr">
        <is>
          <t>Tipo</t>
        </is>
      </c>
      <c r="D1" s="12" t="inlineStr">
        <is>
          <t>Relacionado_a</t>
        </is>
      </c>
      <c r="E1" s="12" t="inlineStr">
        <is>
          <t>Data</t>
        </is>
      </c>
      <c r="F1" s="12" t="inlineStr">
        <is>
          <t>Numero</t>
        </is>
      </c>
      <c r="G1" s="12" t="inlineStr">
        <is>
          <t>Valor</t>
        </is>
      </c>
      <c r="H1" s="12" t="inlineStr">
        <is>
          <t>Contabilizar</t>
        </is>
      </c>
      <c r="I1" s="13" t="inlineStr">
        <is>
          <t>Detalhes</t>
        </is>
      </c>
      <c r="J1" s="13" t="inlineStr">
        <is>
          <t>Fonte</t>
        </is>
      </c>
    </row>
    <row r="2">
      <c r="A2" s="14" t="inlineStr">
        <is>
          <t>A001</t>
        </is>
      </c>
      <c r="B2" s="14" t="inlineStr">
        <is>
          <t>5</t>
        </is>
      </c>
      <c r="C2" s="14" t="inlineStr">
        <is>
          <t>Duplicata visual de documento</t>
        </is>
      </c>
      <c r="D2" s="14" t="inlineStr">
        <is>
          <t>D002</t>
        </is>
      </c>
      <c r="E2" s="17" t="n"/>
      <c r="F2" s="15" t="inlineStr">
        <is>
          <t>DPS 9</t>
        </is>
      </c>
      <c r="G2" s="20" t="n">
        <v>16600</v>
      </c>
      <c r="H2" s="14" t="inlineStr">
        <is>
          <t>Não</t>
        </is>
      </c>
      <c r="I2" s="18" t="inlineStr">
        <is>
          <t>A página 5 repete o DPS nº 9 da página 2, com carimbos/assinaturas. Não somar novamente.</t>
        </is>
      </c>
      <c r="J2" s="18" t="inlineStr">
        <is>
          <t>NOTAS FISCAIS DE COMPRA AGOSTO 2026.pdf - p. 5</t>
        </is>
      </c>
    </row>
    <row r="3">
      <c r="A3" s="14" t="inlineStr">
        <is>
          <t>A002</t>
        </is>
      </c>
      <c r="B3" s="14" t="inlineStr">
        <is>
          <t>6</t>
        </is>
      </c>
      <c r="C3" s="14" t="inlineStr">
        <is>
          <t>Boleto Santander</t>
        </is>
      </c>
      <c r="D3" s="14" t="inlineStr">
        <is>
          <t>D002</t>
        </is>
      </c>
      <c r="E3" s="16" t="n">
        <v>46245</v>
      </c>
      <c r="F3" s="15" t="inlineStr">
        <is>
          <t>Nosso nº 0000000000274</t>
        </is>
      </c>
      <c r="G3" s="20" t="n">
        <v>16600</v>
      </c>
      <c r="H3" s="14" t="inlineStr">
        <is>
          <t>Não</t>
        </is>
      </c>
      <c r="I3" s="18" t="inlineStr">
        <is>
          <t>Beneficiário: JOSIMAR INOCENCIO DE MORAIS LTDA, CNPJ 02.950.057/0001-87. Vencimento 17/08/2026. Agência/Cód. Beneficiário 4653/009848584. Pagador impresso: SKAL IMPERMEABILIZACAO E TECNOLOGIA - CNPJ 23.655.038/0002-89. Linha digitável: 03399.98486 58400.000004 00027.401017 1 15410001660000. Multa após 18/08/2026 R$ 332,00; juros diário R$ 11,06.</t>
        </is>
      </c>
      <c r="J3" s="18" t="inlineStr">
        <is>
          <t>NOTAS FISCAIS DE COMPRA AGOSTO 2026.pdf - p. 6</t>
        </is>
      </c>
    </row>
    <row r="4">
      <c r="A4" s="14" t="inlineStr">
        <is>
          <t>A003</t>
        </is>
      </c>
      <c r="B4" s="14" t="inlineStr">
        <is>
          <t>9-10</t>
        </is>
      </c>
      <c r="C4" s="14" t="inlineStr">
        <is>
          <t>Demonstrativo de faturamento Matrix</t>
        </is>
      </c>
      <c r="D4" s="14" t="inlineStr">
        <is>
          <t>D005/D006</t>
        </is>
      </c>
      <c r="E4" s="17" t="n"/>
      <c r="F4" s="15" t="inlineStr">
        <is>
          <t>Contrato 139754</t>
        </is>
      </c>
      <c r="G4" s="32" t="n"/>
      <c r="H4" s="14" t="inlineStr">
        <is>
          <t>Não</t>
        </is>
      </c>
      <c r="I4" s="18" t="inlineStr">
        <is>
          <t>Demonstrativo de faturamento 07/2026, histórico de consumo e distribuição por unidade. Dados detalhados na aba Energia.</t>
        </is>
      </c>
      <c r="J4" s="18" t="inlineStr">
        <is>
          <t>NOTAS FISCAIS DE COMPRA AGOSTO 2026.pdf - p. 9 e p. 10</t>
        </is>
      </c>
    </row>
  </sheetData>
  <autoFilter ref="A1:J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30" customWidth="1" min="3" max="3"/>
    <col width="14" customWidth="1" min="4" max="4"/>
    <col width="15" customWidth="1" min="5" max="5"/>
    <col width="11" customWidth="1" min="6" max="6"/>
    <col width="10" customWidth="1" min="7" max="7"/>
    <col width="38" customWidth="1" min="8" max="8"/>
    <col width="12" customWidth="1" min="9" max="9"/>
    <col width="20" customWidth="1" min="10" max="10"/>
    <col width="42" customWidth="1" min="11" max="11"/>
  </cols>
  <sheetData>
    <row r="1" ht="36" customHeight="1">
      <c r="A1" s="12" t="inlineStr">
        <is>
          <t>CNPJ</t>
        </is>
      </c>
      <c r="B1" s="13" t="inlineStr">
        <is>
          <t>Razao_Social</t>
        </is>
      </c>
      <c r="C1" s="12" t="inlineStr">
        <is>
          <t>Fantasia</t>
        </is>
      </c>
      <c r="D1" s="12" t="inlineStr">
        <is>
          <t>IE</t>
        </is>
      </c>
      <c r="E1" s="12" t="inlineStr">
        <is>
          <t>IM</t>
        </is>
      </c>
      <c r="F1" s="12" t="inlineStr">
        <is>
          <t>Cidade</t>
        </is>
      </c>
      <c r="G1" s="12" t="inlineStr">
        <is>
          <t>UF</t>
        </is>
      </c>
      <c r="H1" s="13" t="inlineStr">
        <is>
          <t>Regime</t>
        </is>
      </c>
      <c r="I1" s="12" t="inlineStr">
        <is>
          <t>Documentos</t>
        </is>
      </c>
      <c r="J1" s="12" t="inlineStr">
        <is>
          <t>Valor_Total</t>
        </is>
      </c>
      <c r="K1" s="13" t="inlineStr">
        <is>
          <t>Fonte</t>
        </is>
      </c>
    </row>
    <row r="2">
      <c r="A2" s="15" t="inlineStr">
        <is>
          <t>24.870.571/0001-45</t>
        </is>
      </c>
      <c r="B2" s="18" t="inlineStr">
        <is>
          <t>24.870.571 JORGE GUILHERME COSTA FERREIRA</t>
        </is>
      </c>
      <c r="C2" s="14" t="inlineStr"/>
      <c r="D2" s="15" t="inlineStr"/>
      <c r="E2" s="15" t="inlineStr"/>
      <c r="F2" s="14" t="inlineStr">
        <is>
          <t>Teresina</t>
        </is>
      </c>
      <c r="G2" s="14" t="inlineStr">
        <is>
          <t>PI</t>
        </is>
      </c>
      <c r="H2" s="18" t="inlineStr">
        <is>
          <t>MEI / Simples Nacional</t>
        </is>
      </c>
      <c r="I2" s="14" t="n">
        <v>1</v>
      </c>
      <c r="J2" s="20" t="n">
        <v>7000</v>
      </c>
      <c r="K2" s="18" t="inlineStr">
        <is>
          <t>NOTAS FISCAIS DE COMPRA AGOSTO 2026.pdf - páginas 20</t>
        </is>
      </c>
    </row>
    <row r="3">
      <c r="A3" s="15" t="inlineStr">
        <is>
          <t>48.714.053/0001-09</t>
        </is>
      </c>
      <c r="B3" s="18" t="inlineStr">
        <is>
          <t>48.714.053 MOACIR GONCALVES PALMEIRA JUNIOR</t>
        </is>
      </c>
      <c r="C3" s="14" t="inlineStr"/>
      <c r="D3" s="15" t="inlineStr"/>
      <c r="E3" s="15" t="inlineStr"/>
      <c r="F3" s="14" t="inlineStr">
        <is>
          <t>Teresina</t>
        </is>
      </c>
      <c r="G3" s="14" t="inlineStr">
        <is>
          <t>PI</t>
        </is>
      </c>
      <c r="H3" s="18" t="inlineStr">
        <is>
          <t>MEI / Simples Nacional</t>
        </is>
      </c>
      <c r="I3" s="14" t="n">
        <v>1</v>
      </c>
      <c r="J3" s="20" t="n">
        <v>3681</v>
      </c>
      <c r="K3" s="18" t="inlineStr">
        <is>
          <t>NOTAS FISCAIS DE COMPRA AGOSTO 2026.pdf - páginas 25</t>
        </is>
      </c>
    </row>
    <row r="4">
      <c r="A4" s="15" t="inlineStr">
        <is>
          <t>49.765.012/0001-04</t>
        </is>
      </c>
      <c r="B4" s="18" t="inlineStr">
        <is>
          <t>49.765.012 CLAUDIANE DE ARAUJO MENDES CIPRIANO</t>
        </is>
      </c>
      <c r="C4" s="14" t="inlineStr"/>
      <c r="D4" s="15" t="inlineStr"/>
      <c r="E4" s="15" t="inlineStr"/>
      <c r="F4" s="14" t="inlineStr">
        <is>
          <t>Teresina</t>
        </is>
      </c>
      <c r="G4" s="14" t="inlineStr">
        <is>
          <t>PI</t>
        </is>
      </c>
      <c r="H4" s="18" t="inlineStr">
        <is>
          <t>MEI / Simples Nacional</t>
        </is>
      </c>
      <c r="I4" s="14" t="n">
        <v>1</v>
      </c>
      <c r="J4" s="20" t="n">
        <v>3675.13</v>
      </c>
      <c r="K4" s="18" t="inlineStr">
        <is>
          <t>NOTAS FISCAIS DE COMPRA AGOSTO 2026.pdf - páginas 26</t>
        </is>
      </c>
    </row>
    <row r="5">
      <c r="A5" s="15" t="inlineStr">
        <is>
          <t>18.787.111/0001-55</t>
        </is>
      </c>
      <c r="B5" s="18" t="inlineStr">
        <is>
          <t>AGUIA EXPRESS RH PRESTADORA DE SERVICOS EIRELI EPP</t>
        </is>
      </c>
      <c r="C5" s="14" t="inlineStr"/>
      <c r="D5" s="15" t="inlineStr"/>
      <c r="E5" s="15" t="inlineStr">
        <is>
          <t>3461858</t>
        </is>
      </c>
      <c r="F5" s="14" t="inlineStr">
        <is>
          <t>Fortaleza</t>
        </is>
      </c>
      <c r="G5" s="14" t="inlineStr">
        <is>
          <t>CE</t>
        </is>
      </c>
      <c r="H5" s="18" t="inlineStr">
        <is>
          <t>Não optante pelo Simples na data de competência</t>
        </is>
      </c>
      <c r="I5" s="14" t="n">
        <v>1</v>
      </c>
      <c r="J5" s="20" t="n">
        <v>450</v>
      </c>
      <c r="K5" s="18" t="inlineStr">
        <is>
          <t>NOTAS FISCAIS DE COMPRA AGOSTO 2026.pdf - páginas 11</t>
        </is>
      </c>
    </row>
    <row r="6">
      <c r="A6" s="15" t="inlineStr">
        <is>
          <t>07.776.339/0002-04</t>
        </is>
      </c>
      <c r="B6" s="18" t="inlineStr">
        <is>
          <t>CALCARIO CANTA GALO EXTRACAO E COMERCIO DE CALCARIO LTDA</t>
        </is>
      </c>
      <c r="C6" s="14" t="inlineStr">
        <is>
          <t>Canta Galo</t>
        </is>
      </c>
      <c r="D6" s="15" t="inlineStr"/>
      <c r="E6" s="15" t="inlineStr"/>
      <c r="F6" s="14" t="inlineStr">
        <is>
          <t>Acarape</t>
        </is>
      </c>
      <c r="G6" s="14" t="inlineStr">
        <is>
          <t>CE</t>
        </is>
      </c>
      <c r="H6" s="18" t="inlineStr"/>
      <c r="I6" s="14" t="n">
        <v>1</v>
      </c>
      <c r="J6" s="20" t="n">
        <v>4035</v>
      </c>
      <c r="K6" s="18" t="inlineStr">
        <is>
          <t>NOTAS FISCAIS DE COMPRA AGOSTO 2026.pdf - páginas 22</t>
        </is>
      </c>
    </row>
    <row r="7">
      <c r="A7" s="15" t="inlineStr">
        <is>
          <t>10.260.249/0003-51</t>
        </is>
      </c>
      <c r="B7" s="18" t="inlineStr">
        <is>
          <t>COMPANHIA INDUSTRIAL DE CIMENTO APODI</t>
        </is>
      </c>
      <c r="C7" s="14" t="inlineStr">
        <is>
          <t>Apodi</t>
        </is>
      </c>
      <c r="D7" s="15" t="inlineStr">
        <is>
          <t>064204839</t>
        </is>
      </c>
      <c r="E7" s="15" t="inlineStr"/>
      <c r="F7" s="14" t="inlineStr">
        <is>
          <t>Quixeré</t>
        </is>
      </c>
      <c r="G7" s="14" t="inlineStr">
        <is>
          <t>CE</t>
        </is>
      </c>
      <c r="H7" s="18" t="inlineStr"/>
      <c r="I7" s="14" t="n">
        <v>3</v>
      </c>
      <c r="J7" s="20" t="n">
        <v>57438.7</v>
      </c>
      <c r="K7" s="18" t="inlineStr">
        <is>
          <t>NOTAS FISCAIS DE COMPRA AGOSTO 2026.pdf - páginas 15, 16, 21</t>
        </is>
      </c>
    </row>
    <row r="8">
      <c r="A8" s="15" t="inlineStr">
        <is>
          <t>00.850.820/0001-72</t>
        </is>
      </c>
      <c r="B8" s="18" t="inlineStr">
        <is>
          <t>CONNECT INFORMACOES E TECNOLOGIA SA</t>
        </is>
      </c>
      <c r="C8" s="14" t="inlineStr">
        <is>
          <t>CONNECT INFORMACOES - MATRIZ</t>
        </is>
      </c>
      <c r="D8" s="15" t="inlineStr"/>
      <c r="E8" s="15" t="inlineStr">
        <is>
          <t>0793458300106</t>
        </is>
      </c>
      <c r="F8" s="14" t="inlineStr">
        <is>
          <t>Brasília</t>
        </is>
      </c>
      <c r="G8" s="14" t="inlineStr">
        <is>
          <t>DF</t>
        </is>
      </c>
      <c r="H8" s="18" t="inlineStr"/>
      <c r="I8" s="14" t="n">
        <v>2</v>
      </c>
      <c r="J8" s="20" t="n">
        <v>2501.88</v>
      </c>
      <c r="K8" s="18" t="inlineStr">
        <is>
          <t>NOTAS FISCAIS DE COMPRA AGOSTO 2026.pdf - páginas 1, 3</t>
        </is>
      </c>
    </row>
    <row r="9">
      <c r="A9" s="15" t="inlineStr">
        <is>
          <t>63.865.191/0001-74</t>
        </is>
      </c>
      <c r="B9" s="18" t="inlineStr">
        <is>
          <t>DUO OPERACOES PROTOS LTDA</t>
        </is>
      </c>
      <c r="C9" s="14" t="inlineStr"/>
      <c r="D9" s="15" t="inlineStr">
        <is>
          <t>19802928-4</t>
        </is>
      </c>
      <c r="E9" s="15" t="inlineStr"/>
      <c r="F9" s="14" t="inlineStr">
        <is>
          <t>Teresina</t>
        </is>
      </c>
      <c r="G9" s="14" t="inlineStr">
        <is>
          <t>PI</t>
        </is>
      </c>
      <c r="H9" s="18" t="inlineStr">
        <is>
          <t>Optante pelo Simples Nacional</t>
        </is>
      </c>
      <c r="I9" s="14" t="n">
        <v>2</v>
      </c>
      <c r="J9" s="20" t="n">
        <v>1300</v>
      </c>
      <c r="K9" s="18" t="inlineStr">
        <is>
          <t>NOTAS FISCAIS DE COMPRA AGOSTO 2026.pdf - páginas 17, 18</t>
        </is>
      </c>
    </row>
    <row r="10">
      <c r="A10" s="15" t="inlineStr">
        <is>
          <t>09.244.087/0001-17</t>
        </is>
      </c>
      <c r="B10" s="18" t="inlineStr">
        <is>
          <t>EDWARD MOURA SOCIEDADE INDIVIDUAL DE ADVOCACIA</t>
        </is>
      </c>
      <c r="C10" s="14" t="inlineStr"/>
      <c r="D10" s="15" t="inlineStr"/>
      <c r="E10" s="15" t="inlineStr">
        <is>
          <t>099247-0</t>
        </is>
      </c>
      <c r="F10" s="14" t="inlineStr">
        <is>
          <t>Teresina</t>
        </is>
      </c>
      <c r="G10" s="14" t="inlineStr">
        <is>
          <t>PI</t>
        </is>
      </c>
      <c r="H10" s="18" t="inlineStr">
        <is>
          <t>ME ou EPP optante pelo Simples Nacional</t>
        </is>
      </c>
      <c r="I10" s="14" t="n">
        <v>1</v>
      </c>
      <c r="J10" s="20" t="n">
        <v>4075</v>
      </c>
      <c r="K10" s="18" t="inlineStr">
        <is>
          <t>NOTAS FISCAIS DE COMPRA AGOSTO 2026.pdf - páginas 4</t>
        </is>
      </c>
    </row>
    <row r="11">
      <c r="A11" s="15" t="inlineStr">
        <is>
          <t>42.709.787/0003-77</t>
        </is>
      </c>
      <c r="B11" s="18" t="inlineStr">
        <is>
          <t>F G INTELIGENCIA EM LOGISTICA LTDA</t>
        </is>
      </c>
      <c r="C11" s="14" t="inlineStr">
        <is>
          <t>FG Transportes</t>
        </is>
      </c>
      <c r="D11" s="15" t="inlineStr">
        <is>
          <t>072061073</t>
        </is>
      </c>
      <c r="E11" s="15" t="inlineStr"/>
      <c r="F11" s="14" t="inlineStr">
        <is>
          <t>Aracati</t>
        </is>
      </c>
      <c r="G11" s="14" t="inlineStr">
        <is>
          <t>CE</t>
        </is>
      </c>
      <c r="H11" s="18" t="inlineStr"/>
      <c r="I11" s="14" t="n">
        <v>3</v>
      </c>
      <c r="J11" s="20" t="n">
        <v>37534.2</v>
      </c>
      <c r="K11" s="18" t="inlineStr">
        <is>
          <t>NOTAS FISCAIS DE COMPRA AGOSTO 2026.pdf - páginas 13, 14, 23</t>
        </is>
      </c>
    </row>
    <row r="12">
      <c r="A12" s="15" t="inlineStr">
        <is>
          <t>51.998.593/0001-68</t>
        </is>
      </c>
      <c r="B12" s="18" t="inlineStr">
        <is>
          <t>FENIX PRESTADORA DE SERVICOS LTDA</t>
        </is>
      </c>
      <c r="C12" s="14" t="inlineStr"/>
      <c r="D12" s="15" t="inlineStr"/>
      <c r="E12" s="15" t="inlineStr">
        <is>
          <t>677497-0</t>
        </is>
      </c>
      <c r="F12" s="14" t="inlineStr">
        <is>
          <t>Teresina</t>
        </is>
      </c>
      <c r="G12" s="14" t="inlineStr">
        <is>
          <t>PI</t>
        </is>
      </c>
      <c r="H12" s="18" t="inlineStr">
        <is>
          <t>ME ou EPP optante pelo Simples Nacional</t>
        </is>
      </c>
      <c r="I12" s="14" t="n">
        <v>3</v>
      </c>
      <c r="J12" s="20" t="n">
        <v>53000</v>
      </c>
      <c r="K12" s="18" t="inlineStr">
        <is>
          <t>NOTAS FISCAIS DE COMPRA AGOSTO 2026.pdf - páginas 12, 27, 28</t>
        </is>
      </c>
    </row>
    <row r="13">
      <c r="A13" s="15" t="inlineStr">
        <is>
          <t>02.950.057/0001-87</t>
        </is>
      </c>
      <c r="B13" s="18" t="inlineStr">
        <is>
          <t>JOSIMAR INOCENCIO DE MORAIS - ME</t>
        </is>
      </c>
      <c r="C13" s="14" t="inlineStr">
        <is>
          <t>MORAIS MIX</t>
        </is>
      </c>
      <c r="D13" s="15" t="inlineStr">
        <is>
          <t>0</t>
        </is>
      </c>
      <c r="E13" s="15" t="inlineStr">
        <is>
          <t>4771</t>
        </is>
      </c>
      <c r="F13" s="14" t="inlineStr">
        <is>
          <t>Cascavel</t>
        </is>
      </c>
      <c r="G13" s="14" t="inlineStr">
        <is>
          <t>CE</t>
        </is>
      </c>
      <c r="H13" s="18" t="inlineStr">
        <is>
          <t>Não optante pelo Simples</t>
        </is>
      </c>
      <c r="I13" s="14" t="n">
        <v>1</v>
      </c>
      <c r="J13" s="20" t="n">
        <v>16600</v>
      </c>
      <c r="K13" s="18" t="inlineStr">
        <is>
          <t>NOTAS FISCAIS DE COMPRA AGOSTO 2026.pdf - páginas 2, 5</t>
        </is>
      </c>
    </row>
    <row r="14">
      <c r="A14" s="15" t="inlineStr">
        <is>
          <t>08.877.746/0001-90</t>
        </is>
      </c>
      <c r="B14" s="18" t="inlineStr">
        <is>
          <t>K F DA S B LEMOS - ME</t>
        </is>
      </c>
      <c r="C14" s="14" t="inlineStr"/>
      <c r="D14" s="15" t="inlineStr"/>
      <c r="E14" s="15" t="inlineStr">
        <is>
          <t>097610-5</t>
        </is>
      </c>
      <c r="F14" s="14" t="inlineStr">
        <is>
          <t>Teresina</t>
        </is>
      </c>
      <c r="G14" s="14" t="inlineStr">
        <is>
          <t>PI</t>
        </is>
      </c>
      <c r="H14" s="18" t="inlineStr">
        <is>
          <t>ME ou EPP optante pelo Simples Nacional</t>
        </is>
      </c>
      <c r="I14" s="14" t="n">
        <v>1</v>
      </c>
      <c r="J14" s="20" t="n">
        <v>756.27</v>
      </c>
      <c r="K14" s="18" t="inlineStr">
        <is>
          <t>NOTAS FISCAIS DE COMPRA AGOSTO 2026.pdf - páginas 24</t>
        </is>
      </c>
    </row>
    <row r="15">
      <c r="A15" s="15" t="inlineStr">
        <is>
          <t>17.858.631/0001-49</t>
        </is>
      </c>
      <c r="B15" s="18" t="inlineStr">
        <is>
          <t>MATRIX COMERCIALIZADORA DE ENERGIA ELETRICA S/A</t>
        </is>
      </c>
      <c r="C15" s="14" t="inlineStr">
        <is>
          <t>Matrix</t>
        </is>
      </c>
      <c r="D15" s="15" t="inlineStr">
        <is>
          <t>142249870111</t>
        </is>
      </c>
      <c r="E15" s="15" t="inlineStr"/>
      <c r="F15" s="14" t="inlineStr">
        <is>
          <t>São Paulo</t>
        </is>
      </c>
      <c r="G15" s="14" t="inlineStr">
        <is>
          <t>SP</t>
        </is>
      </c>
      <c r="H15" s="18" t="inlineStr"/>
      <c r="I15" s="14" t="n">
        <v>2</v>
      </c>
      <c r="J15" s="20" t="n">
        <v>10128.08</v>
      </c>
      <c r="K15" s="18" t="inlineStr">
        <is>
          <t>NOTAS FISCAIS DE COMPRA AGOSTO 2026.pdf - páginas 7, 8</t>
        </is>
      </c>
    </row>
    <row r="16">
      <c r="A16" s="15" t="inlineStr">
        <is>
          <t>28.399.452/0001-07</t>
        </is>
      </c>
      <c r="B16" s="18" t="inlineStr">
        <is>
          <t>VALDIR RIBEIRO DE MELO ME</t>
        </is>
      </c>
      <c r="C16" s="14" t="inlineStr"/>
      <c r="D16" s="15" t="inlineStr"/>
      <c r="E16" s="15" t="inlineStr">
        <is>
          <t>490302-1</t>
        </is>
      </c>
      <c r="F16" s="14" t="inlineStr">
        <is>
          <t>Teresina</t>
        </is>
      </c>
      <c r="G16" s="14" t="inlineStr">
        <is>
          <t>PI</t>
        </is>
      </c>
      <c r="H16" s="18" t="inlineStr">
        <is>
          <t>ME ou EPP optante pelo Simples Nacional</t>
        </is>
      </c>
      <c r="I16" s="14" t="n">
        <v>1</v>
      </c>
      <c r="J16" s="20" t="n">
        <v>3750</v>
      </c>
      <c r="K16" s="18" t="inlineStr">
        <is>
          <t>NOTAS FISCAIS DE COMPRA AGOSTO 2026.pdf - páginas 19</t>
        </is>
      </c>
    </row>
  </sheetData>
  <autoFilter ref="A1:K1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1" customWidth="1" min="3" max="3"/>
    <col width="52" customWidth="1" min="4" max="4"/>
    <col width="15" customWidth="1" min="5" max="5"/>
    <col width="38" customWidth="1" min="6" max="6"/>
  </cols>
  <sheetData>
    <row r="1" ht="36" customHeight="1">
      <c r="A1" s="12" t="inlineStr">
        <is>
          <t>Pagina</t>
        </is>
      </c>
      <c r="B1" s="12" t="inlineStr">
        <is>
          <t>ID_Vinculo</t>
        </is>
      </c>
      <c r="C1" s="12" t="inlineStr">
        <is>
          <t>Classificacao</t>
        </is>
      </c>
      <c r="D1" s="13" t="inlineStr">
        <is>
          <t>Descricao</t>
        </is>
      </c>
      <c r="E1" s="12" t="inlineStr">
        <is>
          <t>Soma_Contabil</t>
        </is>
      </c>
      <c r="F1" s="13" t="inlineStr">
        <is>
          <t>Fonte</t>
        </is>
      </c>
    </row>
    <row r="2">
      <c r="A2" s="14" t="n">
        <v>1</v>
      </c>
      <c r="B2" s="14" t="inlineStr">
        <is>
          <t>D001</t>
        </is>
      </c>
      <c r="C2" s="14" t="inlineStr">
        <is>
          <t>Documento principal</t>
        </is>
      </c>
      <c r="D2" s="18" t="inlineStr">
        <is>
          <t>NFS-e Connect - SKAL /0001</t>
        </is>
      </c>
      <c r="E2" s="14" t="inlineStr">
        <is>
          <t>Sim</t>
        </is>
      </c>
      <c r="F2" s="18" t="inlineStr">
        <is>
          <t>NOTAS FISCAIS DE COMPRA AGOSTO 2026.pdf - p. 1</t>
        </is>
      </c>
    </row>
    <row r="3">
      <c r="A3" s="14" t="n">
        <v>2</v>
      </c>
      <c r="B3" s="14" t="inlineStr">
        <is>
          <t>D002</t>
        </is>
      </c>
      <c r="C3" s="14" t="inlineStr">
        <is>
          <t>Documento principal</t>
        </is>
      </c>
      <c r="D3" s="18" t="inlineStr">
        <is>
          <t>DPS Josimar / concretagem</t>
        </is>
      </c>
      <c r="E3" s="14" t="inlineStr">
        <is>
          <t>Sim</t>
        </is>
      </c>
      <c r="F3" s="18" t="inlineStr">
        <is>
          <t>NOTAS FISCAIS DE COMPRA AGOSTO 2026.pdf - p. 2</t>
        </is>
      </c>
    </row>
    <row r="4">
      <c r="A4" s="14" t="n">
        <v>3</v>
      </c>
      <c r="B4" s="14" t="inlineStr">
        <is>
          <t>D003</t>
        </is>
      </c>
      <c r="C4" s="14" t="inlineStr">
        <is>
          <t>Documento principal</t>
        </is>
      </c>
      <c r="D4" s="18" t="inlineStr">
        <is>
          <t>NFS-e Connect - KALFIX</t>
        </is>
      </c>
      <c r="E4" s="14" t="inlineStr">
        <is>
          <t>Sim</t>
        </is>
      </c>
      <c r="F4" s="18" t="inlineStr">
        <is>
          <t>NOTAS FISCAIS DE COMPRA AGOSTO 2026.pdf - p. 3</t>
        </is>
      </c>
    </row>
    <row r="5">
      <c r="A5" s="14" t="n">
        <v>4</v>
      </c>
      <c r="B5" s="14" t="inlineStr">
        <is>
          <t>D004</t>
        </is>
      </c>
      <c r="C5" s="14" t="inlineStr">
        <is>
          <t>Documento principal</t>
        </is>
      </c>
      <c r="D5" s="18" t="inlineStr">
        <is>
          <t>NFS-e honorários advocatícios</t>
        </is>
      </c>
      <c r="E5" s="14" t="inlineStr">
        <is>
          <t>Sim</t>
        </is>
      </c>
      <c r="F5" s="18" t="inlineStr">
        <is>
          <t>NOTAS FISCAIS DE COMPRA AGOSTO 2026.pdf - p. 4</t>
        </is>
      </c>
    </row>
    <row r="6">
      <c r="A6" s="14" t="n">
        <v>5</v>
      </c>
      <c r="B6" s="14" t="inlineStr">
        <is>
          <t>A001</t>
        </is>
      </c>
      <c r="C6" s="14" t="inlineStr">
        <is>
          <t>Duplicata</t>
        </is>
      </c>
      <c r="D6" s="18" t="inlineStr">
        <is>
          <t>Repetição do DPS 9 da p. 2</t>
        </is>
      </c>
      <c r="E6" s="14" t="inlineStr">
        <is>
          <t>Não</t>
        </is>
      </c>
      <c r="F6" s="18" t="inlineStr">
        <is>
          <t>NOTAS FISCAIS DE COMPRA AGOSTO 2026.pdf - p. 5</t>
        </is>
      </c>
    </row>
    <row r="7">
      <c r="A7" s="14" t="n">
        <v>6</v>
      </c>
      <c r="B7" s="14" t="inlineStr">
        <is>
          <t>A002</t>
        </is>
      </c>
      <c r="C7" s="14" t="inlineStr">
        <is>
          <t>Apoio financeiro</t>
        </is>
      </c>
      <c r="D7" s="18" t="inlineStr">
        <is>
          <t>Boleto do DPS 9</t>
        </is>
      </c>
      <c r="E7" s="14" t="inlineStr">
        <is>
          <t>Não</t>
        </is>
      </c>
      <c r="F7" s="18" t="inlineStr">
        <is>
          <t>NOTAS FISCAIS DE COMPRA AGOSTO 2026.pdf - p. 6</t>
        </is>
      </c>
    </row>
    <row r="8">
      <c r="A8" s="14" t="n">
        <v>7</v>
      </c>
      <c r="B8" s="14" t="inlineStr">
        <is>
          <t>D005</t>
        </is>
      </c>
      <c r="C8" s="14" t="inlineStr">
        <is>
          <t>Documento principal</t>
        </is>
      </c>
      <c r="D8" s="18" t="inlineStr">
        <is>
          <t>NF-e energia Matrix</t>
        </is>
      </c>
      <c r="E8" s="14" t="inlineStr">
        <is>
          <t>Sim</t>
        </is>
      </c>
      <c r="F8" s="18" t="inlineStr">
        <is>
          <t>NOTAS FISCAIS DE COMPRA AGOSTO 2026.pdf - p. 7</t>
        </is>
      </c>
    </row>
    <row r="9">
      <c r="A9" s="14" t="n">
        <v>8</v>
      </c>
      <c r="B9" s="14" t="inlineStr">
        <is>
          <t>D006</t>
        </is>
      </c>
      <c r="C9" s="14" t="inlineStr">
        <is>
          <t>Documento comercial</t>
        </is>
      </c>
      <c r="D9" s="18" t="inlineStr">
        <is>
          <t>Nota de débito Matrix</t>
        </is>
      </c>
      <c r="E9" s="14" t="inlineStr">
        <is>
          <t>Sim</t>
        </is>
      </c>
      <c r="F9" s="18" t="inlineStr">
        <is>
          <t>NOTAS FISCAIS DE COMPRA AGOSTO 2026.pdf - p. 8</t>
        </is>
      </c>
    </row>
    <row r="10">
      <c r="A10" s="14" t="n">
        <v>9</v>
      </c>
      <c r="B10" s="14" t="inlineStr">
        <is>
          <t>A003</t>
        </is>
      </c>
      <c r="C10" s="14" t="inlineStr">
        <is>
          <t>Apoio</t>
        </is>
      </c>
      <c r="D10" s="18" t="inlineStr">
        <is>
          <t>Demonstrativo Matrix - página 1</t>
        </is>
      </c>
      <c r="E10" s="14" t="inlineStr">
        <is>
          <t>Não</t>
        </is>
      </c>
      <c r="F10" s="18" t="inlineStr">
        <is>
          <t>NOTAS FISCAIS DE COMPRA AGOSTO 2026.pdf - p. 9</t>
        </is>
      </c>
    </row>
    <row r="11">
      <c r="A11" s="14" t="n">
        <v>10</v>
      </c>
      <c r="B11" s="14" t="inlineStr">
        <is>
          <t>A003</t>
        </is>
      </c>
      <c r="C11" s="14" t="inlineStr">
        <is>
          <t>Apoio</t>
        </is>
      </c>
      <c r="D11" s="18" t="inlineStr">
        <is>
          <t>Demonstrativo Matrix - página 2</t>
        </is>
      </c>
      <c r="E11" s="14" t="inlineStr">
        <is>
          <t>Não</t>
        </is>
      </c>
      <c r="F11" s="18" t="inlineStr">
        <is>
          <t>NOTAS FISCAIS DE COMPRA AGOSTO 2026.pdf - p. 10</t>
        </is>
      </c>
    </row>
    <row r="12">
      <c r="A12" s="14" t="n">
        <v>11</v>
      </c>
      <c r="B12" s="14" t="inlineStr">
        <is>
          <t>D007</t>
        </is>
      </c>
      <c r="C12" s="14" t="inlineStr">
        <is>
          <t>Documento principal</t>
        </is>
      </c>
      <c r="D12" s="18" t="inlineStr">
        <is>
          <t>NFS-e Águia Express RH</t>
        </is>
      </c>
      <c r="E12" s="14" t="inlineStr">
        <is>
          <t>Sim</t>
        </is>
      </c>
      <c r="F12" s="18" t="inlineStr">
        <is>
          <t>NOTAS FISCAIS DE COMPRA AGOSTO 2026.pdf - p. 11</t>
        </is>
      </c>
    </row>
    <row r="13">
      <c r="A13" s="14" t="n">
        <v>12</v>
      </c>
      <c r="B13" s="14" t="inlineStr">
        <is>
          <t>D008</t>
        </is>
      </c>
      <c r="C13" s="14" t="inlineStr">
        <is>
          <t>Documento principal</t>
        </is>
      </c>
      <c r="D13" s="18" t="inlineStr">
        <is>
          <t>NFS-e Fênix carga e descarga</t>
        </is>
      </c>
      <c r="E13" s="14" t="inlineStr">
        <is>
          <t>Sim</t>
        </is>
      </c>
      <c r="F13" s="18" t="inlineStr">
        <is>
          <t>NOTAS FISCAIS DE COMPRA AGOSTO 2026.pdf - p. 12</t>
        </is>
      </c>
    </row>
    <row r="14">
      <c r="A14" s="14" t="n">
        <v>13</v>
      </c>
      <c r="B14" s="14" t="inlineStr">
        <is>
          <t>D009</t>
        </is>
      </c>
      <c r="C14" s="14" t="inlineStr">
        <is>
          <t>Documento principal</t>
        </is>
      </c>
      <c r="D14" s="18" t="inlineStr">
        <is>
          <t>CT-e 845 FG</t>
        </is>
      </c>
      <c r="E14" s="14" t="inlineStr">
        <is>
          <t>Sim</t>
        </is>
      </c>
      <c r="F14" s="18" t="inlineStr">
        <is>
          <t>NOTAS FISCAIS DE COMPRA AGOSTO 2026.pdf - p. 13</t>
        </is>
      </c>
    </row>
    <row r="15">
      <c r="A15" s="14" t="n">
        <v>14</v>
      </c>
      <c r="B15" s="14" t="inlineStr">
        <is>
          <t>D010</t>
        </is>
      </c>
      <c r="C15" s="14" t="inlineStr">
        <is>
          <t>Documento principal</t>
        </is>
      </c>
      <c r="D15" s="18" t="inlineStr">
        <is>
          <t>CT-e 842 FG</t>
        </is>
      </c>
      <c r="E15" s="14" t="inlineStr">
        <is>
          <t>Sim</t>
        </is>
      </c>
      <c r="F15" s="18" t="inlineStr">
        <is>
          <t>NOTAS FISCAIS DE COMPRA AGOSTO 2026.pdf - p. 14</t>
        </is>
      </c>
    </row>
    <row r="16">
      <c r="A16" s="14" t="n">
        <v>15</v>
      </c>
      <c r="B16" s="14" t="inlineStr">
        <is>
          <t>D011</t>
        </is>
      </c>
      <c r="C16" s="14" t="inlineStr">
        <is>
          <t>Documento principal</t>
        </is>
      </c>
      <c r="D16" s="18" t="inlineStr">
        <is>
          <t>NF-e 0557315 Apodi</t>
        </is>
      </c>
      <c r="E16" s="14" t="inlineStr">
        <is>
          <t>Sim</t>
        </is>
      </c>
      <c r="F16" s="18" t="inlineStr">
        <is>
          <t>NOTAS FISCAIS DE COMPRA AGOSTO 2026.pdf - p. 15</t>
        </is>
      </c>
    </row>
    <row r="17">
      <c r="A17" s="14" t="n">
        <v>16</v>
      </c>
      <c r="B17" s="14" t="inlineStr">
        <is>
          <t>D012</t>
        </is>
      </c>
      <c r="C17" s="14" t="inlineStr">
        <is>
          <t>Documento principal</t>
        </is>
      </c>
      <c r="D17" s="18" t="inlineStr">
        <is>
          <t>NF-e 0557177 Apodi</t>
        </is>
      </c>
      <c r="E17" s="14" t="inlineStr">
        <is>
          <t>Sim</t>
        </is>
      </c>
      <c r="F17" s="18" t="inlineStr">
        <is>
          <t>NOTAS FISCAIS DE COMPRA AGOSTO 2026.pdf - p. 16</t>
        </is>
      </c>
    </row>
    <row r="18">
      <c r="A18" s="14" t="n">
        <v>17</v>
      </c>
      <c r="B18" s="14" t="inlineStr">
        <is>
          <t>D013</t>
        </is>
      </c>
      <c r="C18" s="14" t="inlineStr">
        <is>
          <t>Documento principal</t>
        </is>
      </c>
      <c r="D18" s="18" t="inlineStr">
        <is>
          <t>NFCom 227 Duo</t>
        </is>
      </c>
      <c r="E18" s="14" t="inlineStr">
        <is>
          <t>Sim</t>
        </is>
      </c>
      <c r="F18" s="18" t="inlineStr">
        <is>
          <t>NOTAS FISCAIS DE COMPRA AGOSTO 2026.pdf - p. 17</t>
        </is>
      </c>
    </row>
    <row r="19">
      <c r="A19" s="14" t="n">
        <v>18</v>
      </c>
      <c r="B19" s="14" t="inlineStr">
        <is>
          <t>D014</t>
        </is>
      </c>
      <c r="C19" s="14" t="inlineStr">
        <is>
          <t>Documento principal</t>
        </is>
      </c>
      <c r="D19" s="18" t="inlineStr">
        <is>
          <t>NFCom 226 Duo</t>
        </is>
      </c>
      <c r="E19" s="14" t="inlineStr">
        <is>
          <t>Sim</t>
        </is>
      </c>
      <c r="F19" s="18" t="inlineStr">
        <is>
          <t>NOTAS FISCAIS DE COMPRA AGOSTO 2026.pdf - p. 18</t>
        </is>
      </c>
    </row>
    <row r="20">
      <c r="A20" s="14" t="n">
        <v>19</v>
      </c>
      <c r="B20" s="14" t="inlineStr">
        <is>
          <t>D015</t>
        </is>
      </c>
      <c r="C20" s="14" t="inlineStr">
        <is>
          <t>Documento principal</t>
        </is>
      </c>
      <c r="D20" s="18" t="inlineStr">
        <is>
          <t>NFS-e 19 Valdir</t>
        </is>
      </c>
      <c r="E20" s="14" t="inlineStr">
        <is>
          <t>Sim</t>
        </is>
      </c>
      <c r="F20" s="18" t="inlineStr">
        <is>
          <t>NOTAS FISCAIS DE COMPRA AGOSTO 2026.pdf - p. 19</t>
        </is>
      </c>
    </row>
    <row r="21">
      <c r="A21" s="14" t="n">
        <v>20</v>
      </c>
      <c r="B21" s="14" t="inlineStr">
        <is>
          <t>D016</t>
        </is>
      </c>
      <c r="C21" s="14" t="inlineStr">
        <is>
          <t>Documento principal</t>
        </is>
      </c>
      <c r="D21" s="18" t="inlineStr">
        <is>
          <t>NFS-e 29 Jorge Guilherme</t>
        </is>
      </c>
      <c r="E21" s="14" t="inlineStr">
        <is>
          <t>Sim</t>
        </is>
      </c>
      <c r="F21" s="18" t="inlineStr">
        <is>
          <t>NOTAS FISCAIS DE COMPRA AGOSTO 2026.pdf - p. 20</t>
        </is>
      </c>
    </row>
    <row r="22">
      <c r="A22" s="14" t="n">
        <v>21</v>
      </c>
      <c r="B22" s="14" t="inlineStr">
        <is>
          <t>D017</t>
        </is>
      </c>
      <c r="C22" s="14" t="inlineStr">
        <is>
          <t>Documento principal</t>
        </is>
      </c>
      <c r="D22" s="18" t="inlineStr">
        <is>
          <t>NF-e 0557009 Apodi</t>
        </is>
      </c>
      <c r="E22" s="14" t="inlineStr">
        <is>
          <t>Sim</t>
        </is>
      </c>
      <c r="F22" s="18" t="inlineStr">
        <is>
          <t>NOTAS FISCAIS DE COMPRA AGOSTO 2026.pdf - p. 21</t>
        </is>
      </c>
    </row>
    <row r="23">
      <c r="A23" s="14" t="n">
        <v>22</v>
      </c>
      <c r="B23" s="14" t="inlineStr">
        <is>
          <t>D018</t>
        </is>
      </c>
      <c r="C23" s="14" t="inlineStr">
        <is>
          <t>Documento principal</t>
        </is>
      </c>
      <c r="D23" s="18" t="inlineStr">
        <is>
          <t>NF-e 000.004.462 Calcário Canta Galo</t>
        </is>
      </c>
      <c r="E23" s="14" t="inlineStr">
        <is>
          <t>Sim</t>
        </is>
      </c>
      <c r="F23" s="18" t="inlineStr">
        <is>
          <t>NOTAS FISCAIS DE COMPRA AGOSTO 2026.pdf - p. 22</t>
        </is>
      </c>
    </row>
    <row r="24">
      <c r="A24" s="14" t="n">
        <v>23</v>
      </c>
      <c r="B24" s="14" t="inlineStr">
        <is>
          <t>D019</t>
        </is>
      </c>
      <c r="C24" s="14" t="inlineStr">
        <is>
          <t>Documento principal</t>
        </is>
      </c>
      <c r="D24" s="18" t="inlineStr">
        <is>
          <t>CT-e 839 FG</t>
        </is>
      </c>
      <c r="E24" s="14" t="inlineStr">
        <is>
          <t>Sim</t>
        </is>
      </c>
      <c r="F24" s="18" t="inlineStr">
        <is>
          <t>NOTAS FISCAIS DE COMPRA AGOSTO 2026.pdf - p. 23</t>
        </is>
      </c>
    </row>
    <row r="25">
      <c r="A25" s="14" t="n">
        <v>24</v>
      </c>
      <c r="B25" s="14" t="inlineStr">
        <is>
          <t>D020</t>
        </is>
      </c>
      <c r="C25" s="14" t="inlineStr">
        <is>
          <t>Documento principal</t>
        </is>
      </c>
      <c r="D25" s="18" t="inlineStr">
        <is>
          <t>NFS-e 4591 K F da S B Lemos</t>
        </is>
      </c>
      <c r="E25" s="14" t="inlineStr">
        <is>
          <t>Sim</t>
        </is>
      </c>
      <c r="F25" s="18" t="inlineStr">
        <is>
          <t>NOTAS FISCAIS DE COMPRA AGOSTO 2026.pdf - p. 24</t>
        </is>
      </c>
    </row>
    <row r="26">
      <c r="A26" s="14" t="n">
        <v>25</v>
      </c>
      <c r="B26" s="14" t="inlineStr">
        <is>
          <t>D021</t>
        </is>
      </c>
      <c r="C26" s="14" t="inlineStr">
        <is>
          <t>Documento principal</t>
        </is>
      </c>
      <c r="D26" s="18" t="inlineStr">
        <is>
          <t>NFS-e 41 Moacir</t>
        </is>
      </c>
      <c r="E26" s="14" t="inlineStr">
        <is>
          <t>Sim</t>
        </is>
      </c>
      <c r="F26" s="18" t="inlineStr">
        <is>
          <t>NOTAS FISCAIS DE COMPRA AGOSTO 2026.pdf - p. 25</t>
        </is>
      </c>
    </row>
    <row r="27">
      <c r="A27" s="14" t="n">
        <v>26</v>
      </c>
      <c r="B27" s="14" t="inlineStr">
        <is>
          <t>D022</t>
        </is>
      </c>
      <c r="C27" s="14" t="inlineStr">
        <is>
          <t>Documento principal</t>
        </is>
      </c>
      <c r="D27" s="18" t="inlineStr">
        <is>
          <t>NFS-e 41 Claudiane - KALFIX</t>
        </is>
      </c>
      <c r="E27" s="14" t="inlineStr">
        <is>
          <t>Sim</t>
        </is>
      </c>
      <c r="F27" s="18" t="inlineStr">
        <is>
          <t>NOTAS FISCAIS DE COMPRA AGOSTO 2026.pdf - p. 26</t>
        </is>
      </c>
    </row>
    <row r="28">
      <c r="A28" s="14" t="n">
        <v>27</v>
      </c>
      <c r="B28" s="14" t="inlineStr">
        <is>
          <t>D023</t>
        </is>
      </c>
      <c r="C28" s="14" t="inlineStr">
        <is>
          <t>Documento principal</t>
        </is>
      </c>
      <c r="D28" s="18" t="inlineStr">
        <is>
          <t>NFS-e 219 Fênix - portaria KALFIX</t>
        </is>
      </c>
      <c r="E28" s="14" t="inlineStr">
        <is>
          <t>Sim</t>
        </is>
      </c>
      <c r="F28" s="18" t="inlineStr">
        <is>
          <t>NOTAS FISCAIS DE COMPRA AGOSTO 2026.pdf - p. 27</t>
        </is>
      </c>
    </row>
    <row r="29">
      <c r="A29" s="14" t="n">
        <v>28</v>
      </c>
      <c r="B29" s="14" t="inlineStr">
        <is>
          <t>D024</t>
        </is>
      </c>
      <c r="C29" s="14" t="inlineStr">
        <is>
          <t>Documento principal</t>
        </is>
      </c>
      <c r="D29" s="18" t="inlineStr">
        <is>
          <t>NFS-e 218 Fênix - portaria CIMEX</t>
        </is>
      </c>
      <c r="E29" s="14" t="inlineStr">
        <is>
          <t>Sim</t>
        </is>
      </c>
      <c r="F29" s="18" t="inlineStr">
        <is>
          <t>NOTAS FISCAIS DE COMPRA AGOSTO 2026.pdf - p. 28</t>
        </is>
      </c>
    </row>
  </sheetData>
  <autoFilter ref="A1:F2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8" customWidth="1" min="3" max="3"/>
    <col width="28" customWidth="1" min="4" max="4"/>
    <col width="30" customWidth="1" min="5" max="5"/>
    <col width="70" customWidth="1" min="6" max="6"/>
    <col width="11" customWidth="1" min="7" max="7"/>
  </cols>
  <sheetData>
    <row r="1" ht="36" customHeight="1">
      <c r="A1" s="12" t="inlineStr">
        <is>
          <t>Pagina</t>
        </is>
      </c>
      <c r="B1" s="12" t="inlineStr">
        <is>
          <t>Doc_ID</t>
        </is>
      </c>
      <c r="C1" s="13" t="inlineStr">
        <is>
          <t>Recebido</t>
        </is>
      </c>
      <c r="D1" s="13" t="inlineStr">
        <is>
          <t>Compras_Lancado</t>
        </is>
      </c>
      <c r="E1" s="13" t="inlineStr">
        <is>
          <t>Almoxarifado</t>
        </is>
      </c>
      <c r="F1" s="13" t="inlineStr">
        <is>
          <t>Outras_Anotacoes</t>
        </is>
      </c>
      <c r="G1" s="12" t="inlineStr">
        <is>
          <t>Confianca</t>
        </is>
      </c>
    </row>
    <row r="2">
      <c r="A2" s="14" t="n">
        <v>1</v>
      </c>
      <c r="B2" s="14" t="inlineStr">
        <is>
          <t>D001</t>
        </is>
      </c>
      <c r="C2" s="18" t="inlineStr">
        <is>
          <t>05/08/2026 (carimbo visual)</t>
        </is>
      </c>
      <c r="D2" s="18" t="inlineStr">
        <is>
          <t>05/08/2026 (carimbo visual)</t>
        </is>
      </c>
      <c r="E2" s="18" t="inlineStr"/>
      <c r="F2" s="18" t="inlineStr"/>
      <c r="G2" s="14" t="inlineStr">
        <is>
          <t>Média</t>
        </is>
      </c>
    </row>
    <row r="3">
      <c r="A3" s="14" t="n">
        <v>3</v>
      </c>
      <c r="B3" s="14" t="inlineStr">
        <is>
          <t>D003</t>
        </is>
      </c>
      <c r="C3" s="18" t="inlineStr">
        <is>
          <t>05/08/2026</t>
        </is>
      </c>
      <c r="D3" s="18" t="inlineStr">
        <is>
          <t>06/08/2026</t>
        </is>
      </c>
      <c r="E3" s="18" t="inlineStr"/>
      <c r="F3" s="18" t="inlineStr"/>
      <c r="G3" s="14" t="inlineStr">
        <is>
          <t>Alta</t>
        </is>
      </c>
    </row>
    <row r="4">
      <c r="A4" s="14" t="n">
        <v>4</v>
      </c>
      <c r="B4" s="14" t="inlineStr">
        <is>
          <t>D004</t>
        </is>
      </c>
      <c r="C4" s="18" t="inlineStr">
        <is>
          <t>18/08/2026</t>
        </is>
      </c>
      <c r="D4" s="18" t="inlineStr">
        <is>
          <t>18/08/2026</t>
        </is>
      </c>
      <c r="E4" s="18" t="inlineStr"/>
      <c r="F4" s="18" t="inlineStr"/>
      <c r="G4" s="14" t="inlineStr">
        <is>
          <t>Alta</t>
        </is>
      </c>
    </row>
    <row r="5">
      <c r="A5" s="14" t="n">
        <v>5</v>
      </c>
      <c r="B5" s="14" t="inlineStr">
        <is>
          <t>D002</t>
        </is>
      </c>
      <c r="C5" s="18" t="inlineStr">
        <is>
          <t>17/08/2026 (visual)</t>
        </is>
      </c>
      <c r="D5" s="18" t="inlineStr">
        <is>
          <t>17/08/2026 (visual)</t>
        </is>
      </c>
      <c r="E5" s="18" t="inlineStr"/>
      <c r="F5" s="18" t="inlineStr">
        <is>
          <t>Página duplicada do DPS 9.</t>
        </is>
      </c>
      <c r="G5" s="14" t="inlineStr">
        <is>
          <t>Média</t>
        </is>
      </c>
    </row>
    <row r="6">
      <c r="A6" s="14" t="n">
        <v>7</v>
      </c>
      <c r="B6" s="14" t="inlineStr">
        <is>
          <t>D005</t>
        </is>
      </c>
      <c r="C6" s="18" t="inlineStr">
        <is>
          <t>13/08/2026 (visual)</t>
        </is>
      </c>
      <c r="D6" s="18" t="inlineStr">
        <is>
          <t>13/08/2026 (visual)</t>
        </is>
      </c>
      <c r="E6" s="18" t="inlineStr"/>
      <c r="F6" s="18" t="inlineStr"/>
      <c r="G6" s="14" t="inlineStr">
        <is>
          <t>Média</t>
        </is>
      </c>
    </row>
    <row r="7">
      <c r="A7" s="14" t="n">
        <v>11</v>
      </c>
      <c r="B7" s="14" t="inlineStr">
        <is>
          <t>D007</t>
        </is>
      </c>
      <c r="C7" s="18" t="inlineStr">
        <is>
          <t>05/08/2026</t>
        </is>
      </c>
      <c r="D7" s="18" t="inlineStr">
        <is>
          <t>06/08/2026</t>
        </is>
      </c>
      <c r="E7" s="18" t="inlineStr"/>
      <c r="F7" s="18" t="inlineStr"/>
      <c r="G7" s="14" t="inlineStr">
        <is>
          <t>Alta</t>
        </is>
      </c>
    </row>
    <row r="8">
      <c r="A8" s="14" t="n">
        <v>12</v>
      </c>
      <c r="B8" s="14" t="inlineStr">
        <is>
          <t>D008</t>
        </is>
      </c>
      <c r="C8" s="18" t="inlineStr">
        <is>
          <t>05/08/2026</t>
        </is>
      </c>
      <c r="D8" s="18" t="inlineStr">
        <is>
          <t>06/08/2026</t>
        </is>
      </c>
      <c r="E8" s="18" t="inlineStr"/>
      <c r="F8" s="18" t="inlineStr">
        <is>
          <t>Anotação: R$ 17.500,00 “hoje” 11/08/26; assinatura/data 10/08/26 no rodapé.</t>
        </is>
      </c>
      <c r="G8" s="14" t="inlineStr">
        <is>
          <t>Alta</t>
        </is>
      </c>
    </row>
    <row r="9">
      <c r="A9" s="14" t="n">
        <v>13</v>
      </c>
      <c r="B9" s="14" t="inlineStr">
        <is>
          <t>D009</t>
        </is>
      </c>
      <c r="C9" s="18" t="inlineStr"/>
      <c r="D9" s="18" t="inlineStr"/>
      <c r="E9" s="18" t="inlineStr">
        <is>
          <t>Lançado em 07/08/2026</t>
        </is>
      </c>
      <c r="F9" s="18" t="inlineStr">
        <is>
          <t>Carimbo/assinatura de almoxarifado.</t>
        </is>
      </c>
      <c r="G9" s="14" t="inlineStr">
        <is>
          <t>Alta</t>
        </is>
      </c>
    </row>
    <row r="10">
      <c r="A10" s="14" t="n">
        <v>14</v>
      </c>
      <c r="B10" s="14" t="inlineStr">
        <is>
          <t>D010</t>
        </is>
      </c>
      <c r="C10" s="18" t="inlineStr"/>
      <c r="D10" s="18" t="inlineStr"/>
      <c r="E10" s="18" t="inlineStr">
        <is>
          <t>Lançado em 07/08/2026 (visual)</t>
        </is>
      </c>
      <c r="F10" s="18" t="inlineStr">
        <is>
          <t>Assinatura de almoxarifado; data manuscrita 06/08/26.</t>
        </is>
      </c>
      <c r="G10" s="14" t="inlineStr">
        <is>
          <t>Média</t>
        </is>
      </c>
    </row>
    <row r="11">
      <c r="A11" s="14" t="n">
        <v>15</v>
      </c>
      <c r="B11" s="14" t="inlineStr">
        <is>
          <t>D011</t>
        </is>
      </c>
      <c r="C11" s="18" t="inlineStr"/>
      <c r="D11" s="18" t="inlineStr"/>
      <c r="E11" s="18" t="inlineStr">
        <is>
          <t>Lançado em 06/08/2026 (visual)</t>
        </is>
      </c>
      <c r="F11" s="18" t="inlineStr">
        <is>
          <t>Data manuscrita do almoxarifado 07/08/26.</t>
        </is>
      </c>
      <c r="G11" s="14" t="inlineStr">
        <is>
          <t>Média</t>
        </is>
      </c>
    </row>
    <row r="12">
      <c r="A12" s="14" t="n">
        <v>16</v>
      </c>
      <c r="B12" s="14" t="inlineStr">
        <is>
          <t>D012</t>
        </is>
      </c>
      <c r="C12" s="18" t="inlineStr"/>
      <c r="D12" s="18" t="inlineStr"/>
      <c r="E12" s="18" t="inlineStr">
        <is>
          <t>Lançado em 06/08/2026 (visual)</t>
        </is>
      </c>
      <c r="F12" s="18" t="inlineStr">
        <is>
          <t>Data manuscrita 06/08/26.</t>
        </is>
      </c>
      <c r="G12" s="14" t="inlineStr">
        <is>
          <t>Média</t>
        </is>
      </c>
    </row>
    <row r="13">
      <c r="A13" s="14" t="n">
        <v>17</v>
      </c>
      <c r="B13" s="14" t="inlineStr">
        <is>
          <t>D013</t>
        </is>
      </c>
      <c r="C13" s="18" t="inlineStr">
        <is>
          <t>10/08/2026</t>
        </is>
      </c>
      <c r="D13" s="18" t="inlineStr">
        <is>
          <t>10/08/2026</t>
        </is>
      </c>
      <c r="E13" s="18" t="inlineStr"/>
      <c r="F13" s="18" t="inlineStr"/>
      <c r="G13" s="14" t="inlineStr">
        <is>
          <t>Alta</t>
        </is>
      </c>
    </row>
    <row r="14">
      <c r="A14" s="14" t="n">
        <v>18</v>
      </c>
      <c r="B14" s="14" t="inlineStr">
        <is>
          <t>D014</t>
        </is>
      </c>
      <c r="C14" s="18" t="inlineStr">
        <is>
          <t>10/08/2026</t>
        </is>
      </c>
      <c r="D14" s="18" t="inlineStr">
        <is>
          <t>10/08/2026</t>
        </is>
      </c>
      <c r="E14" s="18" t="inlineStr"/>
      <c r="F14" s="18" t="inlineStr"/>
      <c r="G14" s="14" t="inlineStr">
        <is>
          <t>Alta</t>
        </is>
      </c>
    </row>
    <row r="15">
      <c r="A15" s="14" t="n">
        <v>19</v>
      </c>
      <c r="B15" s="14" t="inlineStr">
        <is>
          <t>D015</t>
        </is>
      </c>
      <c r="C15" s="18" t="inlineStr">
        <is>
          <t>07/08/2026</t>
        </is>
      </c>
      <c r="D15" s="18" t="inlineStr">
        <is>
          <t>07/08/2026 (visual)</t>
        </is>
      </c>
      <c r="E15" s="18" t="inlineStr"/>
      <c r="F15" s="18" t="inlineStr">
        <is>
          <t>“Pg - A vista 20/07”; “Serv. Galpão Oficina”.</t>
        </is>
      </c>
      <c r="G15" s="14" t="inlineStr">
        <is>
          <t>Média</t>
        </is>
      </c>
    </row>
    <row r="16">
      <c r="A16" s="14" t="n">
        <v>20</v>
      </c>
      <c r="B16" s="14" t="inlineStr">
        <is>
          <t>D016</t>
        </is>
      </c>
      <c r="C16" s="18" t="inlineStr">
        <is>
          <t>07/08/2026</t>
        </is>
      </c>
      <c r="D16" s="18" t="inlineStr">
        <is>
          <t>07/08/2026</t>
        </is>
      </c>
      <c r="E16" s="18" t="inlineStr"/>
      <c r="F16" s="18" t="inlineStr"/>
      <c r="G16" s="14" t="inlineStr">
        <is>
          <t>Alta</t>
        </is>
      </c>
    </row>
    <row r="17">
      <c r="A17" s="14" t="n">
        <v>21</v>
      </c>
      <c r="B17" s="14" t="inlineStr">
        <is>
          <t>D017</t>
        </is>
      </c>
      <c r="C17" s="18" t="inlineStr"/>
      <c r="D17" s="18" t="inlineStr"/>
      <c r="E17" s="18" t="inlineStr">
        <is>
          <t>Lançado em 04/08/2026</t>
        </is>
      </c>
      <c r="F17" s="18" t="inlineStr">
        <is>
          <t>Data manuscrita 04/08/26.</t>
        </is>
      </c>
      <c r="G17" s="14" t="inlineStr">
        <is>
          <t>Alta</t>
        </is>
      </c>
    </row>
    <row r="18">
      <c r="A18" s="14" t="n">
        <v>22</v>
      </c>
      <c r="B18" s="14" t="inlineStr">
        <is>
          <t>D018</t>
        </is>
      </c>
      <c r="C18" s="18" t="inlineStr"/>
      <c r="D18" s="18" t="inlineStr"/>
      <c r="E18" s="18" t="inlineStr">
        <is>
          <t>Lançado em 03/08/2026</t>
        </is>
      </c>
      <c r="F18" s="18" t="inlineStr">
        <is>
          <t>Data manuscrita 03/08/26.</t>
        </is>
      </c>
      <c r="G18" s="14" t="inlineStr">
        <is>
          <t>Alta</t>
        </is>
      </c>
    </row>
    <row r="19">
      <c r="A19" s="14" t="n">
        <v>23</v>
      </c>
      <c r="B19" s="14" t="inlineStr">
        <is>
          <t>D019</t>
        </is>
      </c>
      <c r="C19" s="18" t="inlineStr"/>
      <c r="D19" s="18" t="inlineStr"/>
      <c r="E19" s="18" t="inlineStr">
        <is>
          <t>Lançado em 03/08/2026 (visual)</t>
        </is>
      </c>
      <c r="F19" s="18" t="inlineStr">
        <is>
          <t>Data manuscrita 04/08/26.</t>
        </is>
      </c>
      <c r="G19" s="14" t="inlineStr">
        <is>
          <t>Média</t>
        </is>
      </c>
    </row>
    <row r="20">
      <c r="A20" s="14" t="n">
        <v>24</v>
      </c>
      <c r="B20" s="14" t="inlineStr">
        <is>
          <t>D020</t>
        </is>
      </c>
      <c r="C20" s="18" t="inlineStr">
        <is>
          <t>04/08/2026</t>
        </is>
      </c>
      <c r="D20" s="18" t="inlineStr">
        <is>
          <t>04/08/2026</t>
        </is>
      </c>
      <c r="E20" s="18" t="inlineStr"/>
      <c r="F20" s="18" t="inlineStr">
        <is>
          <t>Data manuscrita 10/08/26.</t>
        </is>
      </c>
      <c r="G20" s="14" t="inlineStr">
        <is>
          <t>Alta</t>
        </is>
      </c>
    </row>
    <row r="21">
      <c r="A21" s="14" t="n">
        <v>25</v>
      </c>
      <c r="B21" s="14" t="inlineStr">
        <is>
          <t>D021</t>
        </is>
      </c>
      <c r="C21" s="18" t="inlineStr"/>
      <c r="D21" s="18" t="inlineStr">
        <is>
          <t>03/08/2026 (carimbo visual)</t>
        </is>
      </c>
      <c r="E21" s="18" t="inlineStr"/>
      <c r="F21" s="18" t="inlineStr"/>
      <c r="G21" s="14" t="inlineStr">
        <is>
          <t>Média</t>
        </is>
      </c>
    </row>
    <row r="22">
      <c r="A22" s="14" t="n">
        <v>26</v>
      </c>
      <c r="B22" s="14" t="inlineStr">
        <is>
          <t>D022</t>
        </is>
      </c>
      <c r="C22" s="18" t="inlineStr">
        <is>
          <t>03/08/2026</t>
        </is>
      </c>
      <c r="D22" s="18" t="inlineStr">
        <is>
          <t>03/08/2026 (visual)</t>
        </is>
      </c>
      <c r="E22" s="18" t="inlineStr"/>
      <c r="F22" s="18" t="inlineStr">
        <is>
          <t>Anotação “cópia”.</t>
        </is>
      </c>
      <c r="G22" s="14" t="inlineStr">
        <is>
          <t>Média</t>
        </is>
      </c>
    </row>
    <row r="23">
      <c r="A23" s="14" t="n">
        <v>27</v>
      </c>
      <c r="B23" s="14" t="inlineStr">
        <is>
          <t>D023</t>
        </is>
      </c>
      <c r="C23" s="18" t="inlineStr">
        <is>
          <t>05/08/2026</t>
        </is>
      </c>
      <c r="D23" s="18" t="inlineStr">
        <is>
          <t>05/08/2026</t>
        </is>
      </c>
      <c r="E23" s="18" t="inlineStr"/>
      <c r="F23" s="18" t="inlineStr"/>
      <c r="G23" s="14" t="inlineStr">
        <is>
          <t>Alta</t>
        </is>
      </c>
    </row>
    <row r="24">
      <c r="A24" s="14" t="n">
        <v>28</v>
      </c>
      <c r="B24" s="14" t="inlineStr">
        <is>
          <t>D024</t>
        </is>
      </c>
      <c r="C24" s="18" t="inlineStr">
        <is>
          <t>05/08/2026</t>
        </is>
      </c>
      <c r="D24" s="18" t="inlineStr">
        <is>
          <t>05/08/2026</t>
        </is>
      </c>
      <c r="E24" s="18" t="inlineStr"/>
      <c r="F24" s="18" t="inlineStr"/>
      <c r="G24" s="14" t="inlineStr">
        <is>
          <t>Alta</t>
        </is>
      </c>
    </row>
  </sheetData>
  <autoFilter ref="A1:G2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2026-08-18T20:02:46Z</dcterms:created>
  <dcterms:modified xmlns:dcterms="http://purl.org/dc/terms/" xmlns:xsi="http://www.w3.org/2001/XMLSchema-instance" xsi:type="dcterms:W3CDTF">2026-08-18T20:02:46Z</dcterms:modified>
</cp:coreProperties>
</file>